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NG_WB_OS\dat\"/>
    </mc:Choice>
  </mc:AlternateContent>
  <xr:revisionPtr revIDLastSave="0" documentId="13_ncr:1_{44C45FE1-F99E-4A8B-B3DF-B7C660571EE3}" xr6:coauthVersionLast="47" xr6:coauthVersionMax="47" xr10:uidLastSave="{00000000-0000-0000-0000-000000000000}"/>
  <bookViews>
    <workbookView xWindow="-108" yWindow="-108" windowWidth="23256" windowHeight="12456" firstSheet="3" activeTab="10" xr2:uid="{00000000-000D-0000-FFFF-FFFF00000000}"/>
  </bookViews>
  <sheets>
    <sheet name="Dictionary" sheetId="27" r:id="rId1"/>
    <sheet name="Layout" sheetId="37" r:id="rId2"/>
    <sheet name="MACC" sheetId="77" r:id="rId3"/>
    <sheet name="sets" sheetId="38" r:id="rId4"/>
    <sheet name="maps" sheetId="39" r:id="rId5"/>
    <sheet name="PowerMix" sheetId="80" r:id="rId6"/>
    <sheet name="EmiInv" sheetId="73" r:id="rId7"/>
    <sheet name="mapK" sheetId="71" r:id="rId8"/>
    <sheet name="pnest" sheetId="59" r:id="rId9"/>
    <sheet name="defPar" sheetId="9" r:id="rId10"/>
    <sheet name="fmNest" sheetId="74" r:id="rId11"/>
    <sheet name="actPar" sheetId="66" r:id="rId12"/>
    <sheet name="comPar" sheetId="67" r:id="rId13"/>
    <sheet name="hohPar" sheetId="68" r:id="rId14"/>
    <sheet name="GDPComposition" sheetId="78" r:id="rId15"/>
    <sheet name="EnTech" sheetId="79" r:id="rId16"/>
    <sheet name="othPar" sheetId="69" r:id="rId17"/>
    <sheet name="GHGMitigation" sheetId="75" r:id="rId18"/>
    <sheet name="Energy" sheetId="76" r:id="rId19"/>
    <sheet name="Nutrients" sheetId="81" r:id="rId20"/>
    <sheet name="SAM" sheetId="72" r:id="rId21"/>
    <sheet name="Labor" sheetId="46" r:id="rId22"/>
  </sheets>
  <definedNames>
    <definedName name="ActLab">#REF!</definedName>
    <definedName name="ActLab0">#REF!</definedName>
    <definedName name="ActMap">#REF!</definedName>
    <definedName name="actProd">#REF!</definedName>
    <definedName name="AEEI">#REF!</definedName>
    <definedName name="BridgeFileName">#REF!</definedName>
    <definedName name="CommAgg">#REF!</definedName>
    <definedName name="CommElas">#REF!</definedName>
    <definedName name="CommLab">#REF!</definedName>
    <definedName name="CommLab0">#REF!</definedName>
    <definedName name="CommMap">#REF!</definedName>
    <definedName name="depr">#REF!</definedName>
    <definedName name="Description">#REF!</definedName>
    <definedName name="Dyntab">#REF!</definedName>
    <definedName name="EMICO2">#REF!</definedName>
    <definedName name="escale">#REF!</definedName>
    <definedName name="EXR">#REF!</definedName>
    <definedName name="fdComm">#REF!</definedName>
    <definedName name="fdCommMap">#REF!</definedName>
    <definedName name="GDDebt0">#REF!</definedName>
    <definedName name="GDPMod">#REF!</definedName>
    <definedName name="GDPScen">#REF!</definedName>
    <definedName name="GFDebt0">#REF!</definedName>
    <definedName name="hhElas">defPar!$B$12:$C$35</definedName>
    <definedName name="ifEnglish">#REF!</definedName>
    <definedName name="inscale">#REF!</definedName>
    <definedName name="KSAMA0">#REF!</definedName>
    <definedName name="Labvol">#REF!</definedName>
    <definedName name="Lang">#REF!</definedName>
    <definedName name="miscElas">defPar!#REF!</definedName>
    <definedName name="NRGPrice">#REF!</definedName>
    <definedName name="PFDebt0">#REF!</definedName>
    <definedName name="Pop">#REF!</definedName>
    <definedName name="popScen">#REF!</definedName>
    <definedName name="prodElas">#REF!</definedName>
    <definedName name="pscale">#REF!</definedName>
    <definedName name="RGDDebt0">#REF!</definedName>
    <definedName name="RGFDebt0">#REF!</definedName>
    <definedName name="RoR0">#REF!</definedName>
    <definedName name="RPFDebt0">#REF!</definedName>
    <definedName name="SAM0">#REF!</definedName>
    <definedName name="SAMFileName">#REF!</definedName>
    <definedName name="SAMLab">#REF!</definedName>
    <definedName name="SamLab0">#REF!</definedName>
    <definedName name="samMap">#REF!</definedName>
    <definedName name="SAMVAL">#REF!</definedName>
    <definedName name="scenFileName">#REF!</definedName>
    <definedName name="timeScen">#REF!</definedName>
    <definedName name="wDir">#REF!</definedName>
  </definedNames>
  <calcPr calcId="191029"/>
</workbook>
</file>

<file path=xl/calcChain.xml><?xml version="1.0" encoding="utf-8"?>
<calcChain xmlns="http://schemas.openxmlformats.org/spreadsheetml/2006/main">
  <c r="D26" i="37" l="1"/>
  <c r="D31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5" i="37"/>
  <c r="D6" i="37"/>
  <c r="V2" i="38" l="1"/>
  <c r="U2" i="38"/>
  <c r="V3" i="38"/>
  <c r="U3" i="38"/>
  <c r="D4" i="75"/>
  <c r="E4" i="75" s="1"/>
  <c r="F4" i="75" s="1"/>
  <c r="G4" i="75" s="1"/>
  <c r="H4" i="75" s="1"/>
  <c r="I4" i="75" s="1"/>
  <c r="J4" i="75" s="1"/>
  <c r="K4" i="75" s="1"/>
  <c r="L4" i="75" s="1"/>
  <c r="M4" i="75" s="1"/>
  <c r="N4" i="75" s="1"/>
  <c r="O4" i="75" s="1"/>
  <c r="P4" i="75" s="1"/>
  <c r="Q4" i="75" s="1"/>
  <c r="R4" i="75" s="1"/>
  <c r="S4" i="75" s="1"/>
  <c r="T4" i="75" s="1"/>
  <c r="U4" i="75" s="1"/>
  <c r="V4" i="75" s="1"/>
  <c r="W4" i="75" s="1"/>
  <c r="X4" i="75" s="1"/>
  <c r="Y4" i="75" s="1"/>
  <c r="Z4" i="75" s="1"/>
  <c r="AA4" i="75" s="1"/>
  <c r="AB4" i="75" s="1"/>
  <c r="AC4" i="75" s="1"/>
  <c r="AD4" i="75" s="1"/>
  <c r="AE4" i="75" s="1"/>
  <c r="AF4" i="75" s="1"/>
  <c r="AG4" i="75" s="1"/>
  <c r="AH4" i="75" s="1"/>
  <c r="AI4" i="75" s="1"/>
  <c r="AJ4" i="75" s="1"/>
  <c r="AK4" i="75" s="1"/>
  <c r="AL4" i="75" s="1"/>
  <c r="AM4" i="75" s="1"/>
  <c r="AN4" i="75" s="1"/>
  <c r="AO4" i="75" s="1"/>
  <c r="AP4" i="75" s="1"/>
  <c r="AQ4" i="75" s="1"/>
  <c r="AR4" i="75" s="1"/>
  <c r="AS4" i="75" s="1"/>
  <c r="AT4" i="75" s="1"/>
  <c r="AU4" i="75" s="1"/>
  <c r="AV4" i="75" s="1"/>
  <c r="AW4" i="75" s="1"/>
  <c r="AX4" i="75" s="1"/>
  <c r="AY4" i="75" s="1"/>
  <c r="AZ4" i="75" s="1"/>
  <c r="BA4" i="75" s="1"/>
  <c r="BB4" i="75" s="1"/>
  <c r="BC4" i="75" s="1"/>
  <c r="BD4" i="75" s="1"/>
  <c r="BE4" i="75" s="1"/>
  <c r="BF4" i="75" s="1"/>
  <c r="BG4" i="75" s="1"/>
  <c r="BH4" i="75" s="1"/>
  <c r="BI4" i="75" s="1"/>
  <c r="BJ4" i="75" s="1"/>
  <c r="BK4" i="75" s="1"/>
  <c r="BL4" i="75" s="1"/>
  <c r="BM4" i="75" s="1"/>
  <c r="BN4" i="75" s="1"/>
  <c r="BO4" i="75" s="1"/>
  <c r="BP4" i="75" s="1"/>
  <c r="BQ4" i="75" s="1"/>
  <c r="BR4" i="75" s="1"/>
  <c r="BS4" i="75" s="1"/>
  <c r="BT4" i="75" s="1"/>
  <c r="BU4" i="75" s="1"/>
  <c r="BV4" i="75" s="1"/>
  <c r="BW4" i="75" s="1"/>
  <c r="BX4" i="75" s="1"/>
  <c r="BY4" i="75" s="1"/>
  <c r="BZ4" i="75" s="1"/>
  <c r="CA4" i="75" s="1"/>
  <c r="CB4" i="75" s="1"/>
  <c r="CC4" i="75" s="1"/>
  <c r="CD4" i="75" s="1"/>
  <c r="CE4" i="75" s="1"/>
  <c r="CF4" i="75" s="1"/>
  <c r="CG4" i="75" s="1"/>
  <c r="CH4" i="75" s="1"/>
  <c r="D3" i="75"/>
  <c r="E3" i="75" s="1"/>
  <c r="F3" i="75" s="1"/>
  <c r="G3" i="75" s="1"/>
  <c r="H3" i="75" s="1"/>
  <c r="I3" i="75" s="1"/>
  <c r="J3" i="75" s="1"/>
  <c r="K3" i="75" s="1"/>
  <c r="L3" i="75" s="1"/>
  <c r="M3" i="75" s="1"/>
  <c r="N3" i="75" s="1"/>
  <c r="O3" i="75" s="1"/>
  <c r="P3" i="75" s="1"/>
  <c r="Q3" i="75" s="1"/>
  <c r="R3" i="75" s="1"/>
  <c r="S3" i="75" s="1"/>
  <c r="T3" i="75" s="1"/>
  <c r="U3" i="75" s="1"/>
  <c r="V3" i="75" s="1"/>
  <c r="W3" i="75" s="1"/>
  <c r="X3" i="75" s="1"/>
  <c r="Y3" i="75" s="1"/>
  <c r="Z3" i="75" s="1"/>
  <c r="AA3" i="75" s="1"/>
  <c r="AB3" i="75" s="1"/>
  <c r="AC3" i="75" s="1"/>
  <c r="AD3" i="75" s="1"/>
  <c r="AE3" i="75" s="1"/>
  <c r="AF3" i="75" s="1"/>
  <c r="AG3" i="75" s="1"/>
  <c r="AH3" i="75" s="1"/>
  <c r="AI3" i="75" s="1"/>
  <c r="AJ3" i="75" s="1"/>
  <c r="AK3" i="75" s="1"/>
  <c r="AL3" i="75" s="1"/>
  <c r="AM3" i="75" s="1"/>
  <c r="AN3" i="75" s="1"/>
  <c r="AO3" i="75" s="1"/>
  <c r="AP3" i="75" s="1"/>
  <c r="AQ3" i="75" s="1"/>
  <c r="AR3" i="75" s="1"/>
  <c r="AS3" i="75" s="1"/>
  <c r="AT3" i="75" s="1"/>
  <c r="AU3" i="75" s="1"/>
  <c r="AV3" i="75" s="1"/>
  <c r="AW3" i="75" s="1"/>
  <c r="AX3" i="75" s="1"/>
  <c r="AY3" i="75" s="1"/>
  <c r="AZ3" i="75" s="1"/>
  <c r="BA3" i="75" s="1"/>
  <c r="BB3" i="75" s="1"/>
  <c r="BC3" i="75" s="1"/>
  <c r="BD3" i="75" s="1"/>
  <c r="BE3" i="75" s="1"/>
  <c r="BF3" i="75" s="1"/>
  <c r="BG3" i="75" s="1"/>
  <c r="BH3" i="75" s="1"/>
  <c r="BI3" i="75" s="1"/>
  <c r="BJ3" i="75" s="1"/>
  <c r="BK3" i="75" s="1"/>
  <c r="BL3" i="75" s="1"/>
  <c r="BM3" i="75" s="1"/>
  <c r="BN3" i="75" s="1"/>
  <c r="BO3" i="75" s="1"/>
  <c r="BP3" i="75" s="1"/>
  <c r="BQ3" i="75" s="1"/>
  <c r="BR3" i="75" s="1"/>
  <c r="BS3" i="75" s="1"/>
  <c r="BT3" i="75" s="1"/>
  <c r="BU3" i="75" s="1"/>
  <c r="BV3" i="75" s="1"/>
  <c r="BW3" i="75" s="1"/>
  <c r="BX3" i="75" s="1"/>
  <c r="BY3" i="75" s="1"/>
  <c r="BZ3" i="75" s="1"/>
  <c r="CA3" i="75" s="1"/>
  <c r="CB3" i="75" s="1"/>
  <c r="CC3" i="75" s="1"/>
  <c r="CD3" i="75" s="1"/>
  <c r="CE3" i="75" s="1"/>
  <c r="CF3" i="75" s="1"/>
  <c r="CG3" i="75" s="1"/>
  <c r="CH3" i="75" s="1"/>
  <c r="D2" i="75"/>
  <c r="E2" i="75" s="1"/>
  <c r="F2" i="75" s="1"/>
  <c r="G2" i="75" s="1"/>
  <c r="H2" i="75" s="1"/>
  <c r="I2" i="75" s="1"/>
  <c r="J2" i="75" s="1"/>
  <c r="K2" i="75" s="1"/>
  <c r="L2" i="75" s="1"/>
  <c r="M2" i="75" s="1"/>
  <c r="N2" i="75" s="1"/>
  <c r="O2" i="75" s="1"/>
  <c r="P2" i="75" s="1"/>
  <c r="Q2" i="75" s="1"/>
  <c r="R2" i="75" s="1"/>
  <c r="S2" i="75" s="1"/>
  <c r="T2" i="75" s="1"/>
  <c r="U2" i="75" s="1"/>
  <c r="V2" i="75" s="1"/>
  <c r="W2" i="75" s="1"/>
  <c r="X2" i="75" s="1"/>
  <c r="Y2" i="75" s="1"/>
  <c r="Z2" i="75" s="1"/>
  <c r="AA2" i="75" s="1"/>
  <c r="AB2" i="75" s="1"/>
  <c r="AC2" i="75" s="1"/>
  <c r="AD2" i="75" s="1"/>
  <c r="AE2" i="75" s="1"/>
  <c r="AF2" i="75" s="1"/>
  <c r="AG2" i="75" s="1"/>
  <c r="AH2" i="75" s="1"/>
  <c r="AI2" i="75" s="1"/>
  <c r="AJ2" i="75" s="1"/>
  <c r="AK2" i="75" s="1"/>
  <c r="AL2" i="75" s="1"/>
  <c r="AM2" i="75" s="1"/>
  <c r="AN2" i="75" s="1"/>
  <c r="AO2" i="75" s="1"/>
  <c r="AP2" i="75" s="1"/>
  <c r="AQ2" i="75" s="1"/>
  <c r="AR2" i="75" s="1"/>
  <c r="AS2" i="75" s="1"/>
  <c r="AT2" i="75" s="1"/>
  <c r="AU2" i="75" s="1"/>
  <c r="AV2" i="75" s="1"/>
  <c r="AW2" i="75" s="1"/>
  <c r="AX2" i="75" s="1"/>
  <c r="AY2" i="75" s="1"/>
  <c r="AZ2" i="75" s="1"/>
  <c r="BA2" i="75" s="1"/>
  <c r="BB2" i="75" s="1"/>
  <c r="BC2" i="75" s="1"/>
  <c r="BD2" i="75" s="1"/>
  <c r="BE2" i="75" s="1"/>
  <c r="BF2" i="75" s="1"/>
  <c r="BG2" i="75" s="1"/>
  <c r="BH2" i="75" s="1"/>
  <c r="BI2" i="75" s="1"/>
  <c r="BJ2" i="75" s="1"/>
  <c r="BK2" i="75" s="1"/>
  <c r="BL2" i="75" s="1"/>
  <c r="BM2" i="75" s="1"/>
  <c r="BN2" i="75" s="1"/>
  <c r="BO2" i="75" s="1"/>
  <c r="BP2" i="75" s="1"/>
  <c r="BQ2" i="75" s="1"/>
  <c r="BR2" i="75" s="1"/>
  <c r="BS2" i="75" s="1"/>
  <c r="BT2" i="75" s="1"/>
  <c r="BU2" i="75" s="1"/>
  <c r="BV2" i="75" s="1"/>
  <c r="BW2" i="75" s="1"/>
  <c r="BX2" i="75" s="1"/>
  <c r="BY2" i="75" s="1"/>
  <c r="BZ2" i="75" s="1"/>
  <c r="CA2" i="75" s="1"/>
  <c r="CB2" i="75" s="1"/>
  <c r="CC2" i="75" s="1"/>
  <c r="CD2" i="75" s="1"/>
  <c r="CE2" i="75" s="1"/>
  <c r="CF2" i="75" s="1"/>
  <c r="CG2" i="75" s="1"/>
  <c r="CH2" i="75" s="1"/>
  <c r="D1" i="75"/>
  <c r="E1" i="75" s="1"/>
  <c r="F1" i="75" s="1"/>
  <c r="G1" i="75" s="1"/>
  <c r="H1" i="75" s="1"/>
  <c r="I1" i="75" s="1"/>
  <c r="J1" i="75" s="1"/>
  <c r="K1" i="75" s="1"/>
  <c r="L1" i="75" s="1"/>
  <c r="M1" i="75" s="1"/>
  <c r="N1" i="75" s="1"/>
  <c r="O1" i="75" s="1"/>
  <c r="P1" i="75" s="1"/>
  <c r="Q1" i="75" s="1"/>
  <c r="R1" i="75" s="1"/>
  <c r="S1" i="75" s="1"/>
  <c r="T1" i="75" s="1"/>
  <c r="U1" i="75" s="1"/>
  <c r="V1" i="75" s="1"/>
  <c r="W1" i="75" s="1"/>
  <c r="X1" i="75" s="1"/>
  <c r="Y1" i="75" s="1"/>
  <c r="Z1" i="75" s="1"/>
  <c r="AA1" i="75" s="1"/>
  <c r="AB1" i="75" s="1"/>
  <c r="AC1" i="75" s="1"/>
  <c r="AD1" i="75" s="1"/>
  <c r="AE1" i="75" s="1"/>
  <c r="AF1" i="75" s="1"/>
  <c r="AG1" i="75" s="1"/>
  <c r="AH1" i="75" s="1"/>
  <c r="AI1" i="75" s="1"/>
  <c r="AJ1" i="75" s="1"/>
  <c r="AK1" i="75" s="1"/>
  <c r="AL1" i="75" s="1"/>
  <c r="AM1" i="75" s="1"/>
  <c r="AN1" i="75" s="1"/>
  <c r="AO1" i="75" s="1"/>
  <c r="AP1" i="75" s="1"/>
  <c r="AQ1" i="75" s="1"/>
  <c r="AR1" i="75" s="1"/>
  <c r="AS1" i="75" s="1"/>
  <c r="AT1" i="75" s="1"/>
  <c r="AU1" i="75" s="1"/>
  <c r="AV1" i="75" s="1"/>
  <c r="AW1" i="75" s="1"/>
  <c r="AX1" i="75" s="1"/>
  <c r="AY1" i="75" s="1"/>
  <c r="AZ1" i="75" s="1"/>
  <c r="BA1" i="75" s="1"/>
  <c r="BB1" i="75" s="1"/>
  <c r="BC1" i="75" s="1"/>
  <c r="BD1" i="75" s="1"/>
  <c r="BE1" i="75" s="1"/>
  <c r="BF1" i="75" s="1"/>
  <c r="BG1" i="75" s="1"/>
  <c r="BH1" i="75" s="1"/>
  <c r="BI1" i="75" s="1"/>
  <c r="BJ1" i="75" s="1"/>
  <c r="BK1" i="75" s="1"/>
  <c r="BL1" i="75" s="1"/>
  <c r="BM1" i="75" s="1"/>
  <c r="BN1" i="75" s="1"/>
  <c r="BO1" i="75" s="1"/>
  <c r="BP1" i="75" s="1"/>
  <c r="BQ1" i="75" s="1"/>
  <c r="BR1" i="75" s="1"/>
  <c r="BS1" i="75" s="1"/>
  <c r="BT1" i="75" s="1"/>
  <c r="BU1" i="75" s="1"/>
  <c r="BV1" i="75" s="1"/>
  <c r="BW1" i="75" s="1"/>
  <c r="BX1" i="75" s="1"/>
  <c r="BY1" i="75" s="1"/>
  <c r="BZ1" i="75" s="1"/>
  <c r="CA1" i="75" s="1"/>
  <c r="CB1" i="75" s="1"/>
  <c r="CC1" i="75" s="1"/>
  <c r="CD1" i="75" s="1"/>
  <c r="CE1" i="75" s="1"/>
  <c r="CF1" i="75" s="1"/>
  <c r="CG1" i="75" s="1"/>
  <c r="CH1" i="75" s="1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K3" i="39"/>
  <c r="J3" i="39"/>
  <c r="I3" i="39"/>
  <c r="H3" i="39"/>
  <c r="G3" i="39"/>
  <c r="F3" i="39"/>
  <c r="E3" i="39"/>
  <c r="D3" i="39"/>
  <c r="C3" i="39"/>
  <c r="B3" i="39"/>
  <c r="A3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K2" i="39"/>
  <c r="J2" i="39"/>
  <c r="I2" i="39"/>
  <c r="H2" i="39"/>
  <c r="G2" i="39"/>
  <c r="F2" i="39"/>
  <c r="E2" i="39"/>
  <c r="D2" i="39"/>
  <c r="C2" i="39"/>
  <c r="B2" i="39"/>
  <c r="A2" i="39"/>
  <c r="T3" i="38"/>
  <c r="S3" i="38"/>
  <c r="Q3" i="38"/>
  <c r="P3" i="38"/>
  <c r="O3" i="38"/>
  <c r="N3" i="38"/>
  <c r="M3" i="38"/>
  <c r="L3" i="38"/>
  <c r="K3" i="38"/>
  <c r="J3" i="38"/>
  <c r="I3" i="38"/>
  <c r="H3" i="38"/>
  <c r="G3" i="38"/>
  <c r="D3" i="38"/>
  <c r="C3" i="38"/>
  <c r="B3" i="38"/>
  <c r="T2" i="38"/>
  <c r="S2" i="38"/>
  <c r="Q2" i="38"/>
  <c r="P2" i="38"/>
  <c r="O2" i="38"/>
  <c r="N2" i="38"/>
  <c r="M2" i="38"/>
  <c r="L2" i="38"/>
  <c r="K2" i="38"/>
  <c r="J2" i="38"/>
  <c r="I2" i="38"/>
  <c r="H2" i="38"/>
  <c r="G2" i="38"/>
  <c r="D2" i="38"/>
  <c r="C2" i="38"/>
  <c r="B2" i="38"/>
  <c r="R4" i="27" l="1"/>
  <c r="R6" i="27"/>
  <c r="R5" i="27"/>
  <c r="R3" i="27"/>
  <c r="R2" i="27"/>
</calcChain>
</file>

<file path=xl/sharedStrings.xml><?xml version="1.0" encoding="utf-8"?>
<sst xmlns="http://schemas.openxmlformats.org/spreadsheetml/2006/main" count="4825" uniqueCount="1738">
  <si>
    <t>inv</t>
  </si>
  <si>
    <t>Capital</t>
  </si>
  <si>
    <t>Government</t>
  </si>
  <si>
    <t>PLT15</t>
  </si>
  <si>
    <t>P1564</t>
  </si>
  <si>
    <t>P65UP</t>
  </si>
  <si>
    <t>PTOTL</t>
  </si>
  <si>
    <t>USD</t>
  </si>
  <si>
    <t>e</t>
  </si>
  <si>
    <t>Old</t>
  </si>
  <si>
    <t>New</t>
  </si>
  <si>
    <t>omegap0</t>
  </si>
  <si>
    <t>invElas0</t>
  </si>
  <si>
    <t>sigmam0</t>
  </si>
  <si>
    <t>sigmas0</t>
  </si>
  <si>
    <t>inf</t>
  </si>
  <si>
    <t>incElas0</t>
  </si>
  <si>
    <t>prcElas0</t>
  </si>
  <si>
    <t>sigmamg0</t>
  </si>
  <si>
    <t>cap</t>
  </si>
  <si>
    <t>is</t>
  </si>
  <si>
    <t>stb</t>
  </si>
  <si>
    <t>row</t>
  </si>
  <si>
    <t>ssb</t>
  </si>
  <si>
    <t>ptx</t>
  </si>
  <si>
    <t>psb</t>
  </si>
  <si>
    <t>dtx</t>
  </si>
  <si>
    <t>mtx</t>
  </si>
  <si>
    <t>etx</t>
  </si>
  <si>
    <t>omegam0</t>
  </si>
  <si>
    <t>etae0</t>
  </si>
  <si>
    <t>ctx</t>
  </si>
  <si>
    <t>GDP</t>
  </si>
  <si>
    <t>ginv</t>
  </si>
  <si>
    <t>stx</t>
  </si>
  <si>
    <t>Land</t>
  </si>
  <si>
    <t>Transport</t>
  </si>
  <si>
    <t>Enterprises</t>
  </si>
  <si>
    <t>Tariffs</t>
  </si>
  <si>
    <t>co2</t>
  </si>
  <si>
    <t>ch4</t>
  </si>
  <si>
    <t>coa</t>
  </si>
  <si>
    <t>pdr</t>
  </si>
  <si>
    <t>gas</t>
  </si>
  <si>
    <t>p_c</t>
  </si>
  <si>
    <t>gdt</t>
  </si>
  <si>
    <t>wht</t>
  </si>
  <si>
    <t>gro</t>
  </si>
  <si>
    <t>v_f</t>
  </si>
  <si>
    <t>osd</t>
  </si>
  <si>
    <t>pfb</t>
  </si>
  <si>
    <t>ocr</t>
  </si>
  <si>
    <t>ctl</t>
  </si>
  <si>
    <t>oap</t>
  </si>
  <si>
    <t>rmk</t>
  </si>
  <si>
    <t>wol</t>
  </si>
  <si>
    <t>frs</t>
  </si>
  <si>
    <t>fsh</t>
  </si>
  <si>
    <t>oil</t>
  </si>
  <si>
    <t>cmt</t>
  </si>
  <si>
    <t>omt</t>
  </si>
  <si>
    <t>vol</t>
  </si>
  <si>
    <t>mil</t>
  </si>
  <si>
    <t>pcr</t>
  </si>
  <si>
    <t>sgr</t>
  </si>
  <si>
    <t>ofd</t>
  </si>
  <si>
    <t>b_t</t>
  </si>
  <si>
    <t>tex</t>
  </si>
  <si>
    <t>wap</t>
  </si>
  <si>
    <t>lea</t>
  </si>
  <si>
    <t>lum</t>
  </si>
  <si>
    <t>ppp</t>
  </si>
  <si>
    <t>nmm</t>
  </si>
  <si>
    <t>nfm</t>
  </si>
  <si>
    <t>fmp</t>
  </si>
  <si>
    <t>mvh</t>
  </si>
  <si>
    <t>otn</t>
  </si>
  <si>
    <t>ele</t>
  </si>
  <si>
    <t>ome</t>
  </si>
  <si>
    <t>omf</t>
  </si>
  <si>
    <t>wtr</t>
  </si>
  <si>
    <t>cns</t>
  </si>
  <si>
    <t>trd</t>
  </si>
  <si>
    <t>otp</t>
  </si>
  <si>
    <t>wtp</t>
  </si>
  <si>
    <t>atp</t>
  </si>
  <si>
    <t>cmn</t>
  </si>
  <si>
    <t>ofi</t>
  </si>
  <si>
    <t>obs</t>
  </si>
  <si>
    <t>ros</t>
  </si>
  <si>
    <t>osg</t>
  </si>
  <si>
    <t>dwe</t>
  </si>
  <si>
    <t>n2o</t>
  </si>
  <si>
    <t>lnd</t>
  </si>
  <si>
    <t>LAYOUT</t>
  </si>
  <si>
    <t>Data Type</t>
  </si>
  <si>
    <t>Name</t>
  </si>
  <si>
    <t>Location</t>
  </si>
  <si>
    <t>Row dimension</t>
  </si>
  <si>
    <t>Column dimension</t>
  </si>
  <si>
    <t>Total dimension</t>
  </si>
  <si>
    <t>rdim</t>
  </si>
  <si>
    <t>cdim</t>
  </si>
  <si>
    <t>dim</t>
  </si>
  <si>
    <t>par</t>
  </si>
  <si>
    <t>mapaGTAP</t>
  </si>
  <si>
    <t>Model Specific Sets</t>
  </si>
  <si>
    <t>Maps</t>
  </si>
  <si>
    <t>mapcGTAP</t>
  </si>
  <si>
    <t>set</t>
  </si>
  <si>
    <t>eps</t>
  </si>
  <si>
    <t>Rest of the World</t>
  </si>
  <si>
    <t>SAM0</t>
  </si>
  <si>
    <t>dset</t>
  </si>
  <si>
    <t>cohorts</t>
  </si>
  <si>
    <t>mapis</t>
  </si>
  <si>
    <t>h+f</t>
  </si>
  <si>
    <t>l</t>
  </si>
  <si>
    <t>sigmaf0</t>
  </si>
  <si>
    <t>TnD</t>
  </si>
  <si>
    <t>GasBL</t>
  </si>
  <si>
    <t>WindBL</t>
  </si>
  <si>
    <t>HydroBL</t>
  </si>
  <si>
    <t>GasP</t>
  </si>
  <si>
    <t>inscale</t>
  </si>
  <si>
    <t>pscale</t>
  </si>
  <si>
    <t>escale</t>
  </si>
  <si>
    <t>Manu</t>
  </si>
  <si>
    <t>Serv</t>
  </si>
  <si>
    <t>g-govt</t>
  </si>
  <si>
    <t>NuclearBL</t>
  </si>
  <si>
    <t>c_b</t>
  </si>
  <si>
    <t>i_s</t>
  </si>
  <si>
    <t>manu</t>
  </si>
  <si>
    <t>serv</t>
  </si>
  <si>
    <t>DebtStkD0</t>
  </si>
  <si>
    <t>DebtStkF0</t>
  </si>
  <si>
    <t>i-ginv</t>
  </si>
  <si>
    <t>adpinv</t>
  </si>
  <si>
    <t>c-frs</t>
  </si>
  <si>
    <t>c-gas</t>
  </si>
  <si>
    <t>c-oxt</t>
  </si>
  <si>
    <t>c-b_t</t>
  </si>
  <si>
    <t>c-tex</t>
  </si>
  <si>
    <t>c-p_c</t>
  </si>
  <si>
    <t>c-chm</t>
  </si>
  <si>
    <t>c-bph</t>
  </si>
  <si>
    <t>c-omf</t>
  </si>
  <si>
    <t>c-gdt</t>
  </si>
  <si>
    <t>c-wtr</t>
  </si>
  <si>
    <t>c-cns</t>
  </si>
  <si>
    <t>c-trd</t>
  </si>
  <si>
    <t>c-afs</t>
  </si>
  <si>
    <t>c-otp</t>
  </si>
  <si>
    <t>c-wtp</t>
  </si>
  <si>
    <t>c-atp</t>
  </si>
  <si>
    <t>c-cmn</t>
  </si>
  <si>
    <t>c-ofi</t>
  </si>
  <si>
    <t>c-ins</t>
  </si>
  <si>
    <t>c-osg</t>
  </si>
  <si>
    <t>c-edu</t>
  </si>
  <si>
    <t>c-hht</t>
  </si>
  <si>
    <t>f-Land</t>
  </si>
  <si>
    <t>e-ent</t>
  </si>
  <si>
    <t>f-Capital</t>
  </si>
  <si>
    <t>t-tmm_world</t>
  </si>
  <si>
    <t>t-PRODTAX</t>
  </si>
  <si>
    <t>t-DIRTAX</t>
  </si>
  <si>
    <t>w-ww_world</t>
  </si>
  <si>
    <t>c-ely</t>
  </si>
  <si>
    <t>c-fod</t>
  </si>
  <si>
    <t>c-wod</t>
  </si>
  <si>
    <t>c-osr</t>
  </si>
  <si>
    <t>t-tss</t>
  </si>
  <si>
    <t>t-vat</t>
  </si>
  <si>
    <t>DebtIntD0</t>
  </si>
  <si>
    <t>DebtIntF0</t>
  </si>
  <si>
    <t>h-Dec1</t>
  </si>
  <si>
    <t>h-Dec2</t>
  </si>
  <si>
    <t>h-Dec3</t>
  </si>
  <si>
    <t>h-Dec4</t>
  </si>
  <si>
    <t>h-Dec5</t>
  </si>
  <si>
    <t>h-Dec6</t>
  </si>
  <si>
    <t>h-Dec7</t>
  </si>
  <si>
    <t>h-Dec8</t>
  </si>
  <si>
    <t>h-Dec9</t>
  </si>
  <si>
    <t>h-DecX</t>
  </si>
  <si>
    <t>t-Land</t>
  </si>
  <si>
    <t>t-Capital</t>
  </si>
  <si>
    <t>t-NatlRes</t>
  </si>
  <si>
    <t>Electricity</t>
  </si>
  <si>
    <t>Construction</t>
  </si>
  <si>
    <t>Trade</t>
  </si>
  <si>
    <t>Education</t>
  </si>
  <si>
    <t>Activities</t>
  </si>
  <si>
    <t>Commodities</t>
  </si>
  <si>
    <t>Unskilled Formal Labor</t>
  </si>
  <si>
    <t>Quintile 1 (poorest)</t>
  </si>
  <si>
    <t>Quintile 2</t>
  </si>
  <si>
    <t>Quintile 3</t>
  </si>
  <si>
    <t>Quintile 4</t>
  </si>
  <si>
    <t>Quintile 5</t>
  </si>
  <si>
    <t>Quintile 6</t>
  </si>
  <si>
    <t>Quintile 7</t>
  </si>
  <si>
    <t>Quintile 8</t>
  </si>
  <si>
    <t>Quintile 9</t>
  </si>
  <si>
    <t>Quintile 10 (richest)</t>
  </si>
  <si>
    <t>Factors</t>
  </si>
  <si>
    <t>Households</t>
  </si>
  <si>
    <t>Institutions</t>
  </si>
  <si>
    <t>Taxes</t>
  </si>
  <si>
    <t>Production tax</t>
  </si>
  <si>
    <t>Diret tax</t>
  </si>
  <si>
    <t>Excise tax</t>
  </si>
  <si>
    <t>Value added tax</t>
  </si>
  <si>
    <t>CoalBL</t>
  </si>
  <si>
    <t>OilBL</t>
  </si>
  <si>
    <t>OtherBL</t>
  </si>
  <si>
    <t>HydroP</t>
  </si>
  <si>
    <t>OilP</t>
  </si>
  <si>
    <t>SolarP</t>
  </si>
  <si>
    <t>Textiles</t>
  </si>
  <si>
    <t>debt</t>
  </si>
  <si>
    <t>oxt</t>
  </si>
  <si>
    <t>chm</t>
  </si>
  <si>
    <t>bph</t>
  </si>
  <si>
    <t>ins</t>
  </si>
  <si>
    <t>Forestry</t>
  </si>
  <si>
    <t>Indu</t>
  </si>
  <si>
    <t>a-crp</t>
  </si>
  <si>
    <t>a-coa</t>
  </si>
  <si>
    <t>a-trd</t>
  </si>
  <si>
    <t>a-NuclearP</t>
  </si>
  <si>
    <t>c-crp</t>
  </si>
  <si>
    <t>c-coa</t>
  </si>
  <si>
    <t>i-CGDS</t>
  </si>
  <si>
    <t>a-lvs</t>
  </si>
  <si>
    <t>a-oil</t>
  </si>
  <si>
    <t>a-afs</t>
  </si>
  <si>
    <t>a-CoalP</t>
  </si>
  <si>
    <t>c-lvs</t>
  </si>
  <si>
    <t>c-oil</t>
  </si>
  <si>
    <t>a-frs</t>
  </si>
  <si>
    <t>a-gas</t>
  </si>
  <si>
    <t>a-otp</t>
  </si>
  <si>
    <t>a-GasP</t>
  </si>
  <si>
    <t>a-oxt</t>
  </si>
  <si>
    <t>a-wtp</t>
  </si>
  <si>
    <t>a-p_c</t>
  </si>
  <si>
    <t>a-WindP</t>
  </si>
  <si>
    <t>a-fod</t>
  </si>
  <si>
    <t>a-atp</t>
  </si>
  <si>
    <t>a-HydroP</t>
  </si>
  <si>
    <t>a-b_t</t>
  </si>
  <si>
    <t>a-cmn</t>
  </si>
  <si>
    <t>a-OtherP</t>
  </si>
  <si>
    <t>a-tex</t>
  </si>
  <si>
    <t>a-ofi</t>
  </si>
  <si>
    <t>a-SolarP</t>
  </si>
  <si>
    <t>a-wod</t>
  </si>
  <si>
    <t>a-ins</t>
  </si>
  <si>
    <t>a-osr</t>
  </si>
  <si>
    <t>a-chm</t>
  </si>
  <si>
    <t>a-osg</t>
  </si>
  <si>
    <t>a-bph</t>
  </si>
  <si>
    <t>a-edu</t>
  </si>
  <si>
    <t>a-hht</t>
  </si>
  <si>
    <t>a-i_s</t>
  </si>
  <si>
    <t>c-i_s</t>
  </si>
  <si>
    <t>a-nfm</t>
  </si>
  <si>
    <t>c-nfm</t>
  </si>
  <si>
    <t>a-fmp</t>
  </si>
  <si>
    <t>c-fmp</t>
  </si>
  <si>
    <t>a-ele</t>
  </si>
  <si>
    <t>c-ele</t>
  </si>
  <si>
    <t>a-mvh</t>
  </si>
  <si>
    <t>c-mvh</t>
  </si>
  <si>
    <t>a-omf</t>
  </si>
  <si>
    <t>a-TnD</t>
  </si>
  <si>
    <t>c-TnD</t>
  </si>
  <si>
    <t>a-wtr</t>
  </si>
  <si>
    <t>a-cns</t>
  </si>
  <si>
    <t>rpp</t>
  </si>
  <si>
    <t>eeq</t>
  </si>
  <si>
    <t>afs</t>
  </si>
  <si>
    <t>whs</t>
  </si>
  <si>
    <t>rsa</t>
  </si>
  <si>
    <t>edu</t>
  </si>
  <si>
    <t>hht</t>
  </si>
  <si>
    <t>ener</t>
  </si>
  <si>
    <t>Fugi</t>
  </si>
  <si>
    <t>Crop Production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</si>
  <si>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</si>
  <si>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</si>
  <si>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</si>
  <si>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</si>
  <si>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</si>
  <si>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</si>
  <si>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</si>
  <si>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</si>
  <si>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goats, horses</t>
  </si>
  <si>
    <t>Animal products nec</t>
  </si>
  <si>
    <t>Raw milk</t>
  </si>
  <si>
    <t>Wool, silk-worm cocoons</t>
  </si>
  <si>
    <t>Fishing</t>
  </si>
  <si>
    <t>Coal</t>
  </si>
  <si>
    <t>Oil</t>
  </si>
  <si>
    <t>Gas</t>
  </si>
  <si>
    <t>Beverages and tobacco products</t>
  </si>
  <si>
    <t>Petroleum, coal products</t>
  </si>
  <si>
    <t>Chemical products</t>
  </si>
  <si>
    <t>Basic pharmaceutical products</t>
  </si>
  <si>
    <t>Mineral products nec</t>
  </si>
  <si>
    <t>Ferrous metals</t>
  </si>
  <si>
    <t>Metals nec</t>
  </si>
  <si>
    <t>Metal products</t>
  </si>
  <si>
    <t>Motor vehicles and parts</t>
  </si>
  <si>
    <t>Manufactures nec</t>
  </si>
  <si>
    <t>ely</t>
  </si>
  <si>
    <t>Accommodation, Food and service activities</t>
  </si>
  <si>
    <t>Water transport</t>
  </si>
  <si>
    <t>Air transport</t>
  </si>
  <si>
    <t>Communication</t>
  </si>
  <si>
    <t>Financial services nec</t>
  </si>
  <si>
    <t>Insurance (formerly isr)</t>
  </si>
  <si>
    <t>Business services nec</t>
  </si>
  <si>
    <t>Public Administration and defense</t>
  </si>
  <si>
    <t>Human health and social work activities</t>
  </si>
  <si>
    <t>Livestock production</t>
  </si>
  <si>
    <t>Other Extraction</t>
  </si>
  <si>
    <t>Food products</t>
  </si>
  <si>
    <t>Wood products and paper</t>
  </si>
  <si>
    <t>Electrical equipment, electronics, machinery and equipment</t>
  </si>
  <si>
    <t>Electricity transmission and distribution</t>
  </si>
  <si>
    <t>Nuvlear Power</t>
  </si>
  <si>
    <t>Coal Power</t>
  </si>
  <si>
    <t>Gas Power</t>
  </si>
  <si>
    <t>Wind Power</t>
  </si>
  <si>
    <t>Hydro Power</t>
  </si>
  <si>
    <t>Other Power</t>
  </si>
  <si>
    <t>Solar Power</t>
  </si>
  <si>
    <t>Water, waste and utilities</t>
  </si>
  <si>
    <t>Gas distribution</t>
  </si>
  <si>
    <t>labus</t>
  </si>
  <si>
    <t>labsk</t>
  </si>
  <si>
    <t>va</t>
  </si>
  <si>
    <t>nd</t>
  </si>
  <si>
    <t>f-top</t>
  </si>
  <si>
    <t>pnest</t>
  </si>
  <si>
    <t>na</t>
  </si>
  <si>
    <t>tran</t>
  </si>
  <si>
    <t>agri</t>
  </si>
  <si>
    <t>cons</t>
  </si>
  <si>
    <t>mine</t>
  </si>
  <si>
    <t>t-labSk</t>
  </si>
  <si>
    <t>t-labUs</t>
  </si>
  <si>
    <t>f-FrSkl</t>
  </si>
  <si>
    <t>f-FrNsk</t>
  </si>
  <si>
    <t>f-InNsk</t>
  </si>
  <si>
    <t>f-NatlRes</t>
  </si>
  <si>
    <t>Natural Resources</t>
  </si>
  <si>
    <t>Skilled formal Labor</t>
  </si>
  <si>
    <t>Unskilled formal Labor</t>
  </si>
  <si>
    <t>a-nmm</t>
  </si>
  <si>
    <t>c-nmm</t>
  </si>
  <si>
    <t>hema</t>
  </si>
  <si>
    <t>wast</t>
  </si>
  <si>
    <t>trad</t>
  </si>
  <si>
    <t>GrDomProd</t>
  </si>
  <si>
    <t>GrDomProdGro</t>
  </si>
  <si>
    <t>allIndustry</t>
  </si>
  <si>
    <t>allServices</t>
  </si>
  <si>
    <t>mapaagr</t>
  </si>
  <si>
    <t>aagr</t>
  </si>
  <si>
    <t>agriculture</t>
  </si>
  <si>
    <t>All industry</t>
  </si>
  <si>
    <t>mining</t>
  </si>
  <si>
    <t>manufacturing</t>
  </si>
  <si>
    <t>energy</t>
  </si>
  <si>
    <t>construction</t>
  </si>
  <si>
    <t>All services</t>
  </si>
  <si>
    <t>Waste and water</t>
  </si>
  <si>
    <t>services</t>
  </si>
  <si>
    <t>GDP Growth</t>
  </si>
  <si>
    <t>epsRor0</t>
  </si>
  <si>
    <t>PhiPcInv0</t>
  </si>
  <si>
    <t>depr0</t>
  </si>
  <si>
    <t>capoutRate0</t>
  </si>
  <si>
    <t>AirpolEff0</t>
  </si>
  <si>
    <t>heavy manufacturin</t>
  </si>
  <si>
    <t>Comment</t>
  </si>
  <si>
    <t>maptax</t>
  </si>
  <si>
    <t>labor0</t>
  </si>
  <si>
    <t>labor quantities for initial SAM, aggregated to model SAM dimensions in base.inc</t>
  </si>
  <si>
    <t>natres</t>
  </si>
  <si>
    <t>vat</t>
  </si>
  <si>
    <t>omegaSav0</t>
  </si>
  <si>
    <t>omegaSavEntr0</t>
  </si>
  <si>
    <t>omegaFund0</t>
  </si>
  <si>
    <t>omegax0</t>
  </si>
  <si>
    <t>epsRorE0</t>
  </si>
  <si>
    <t>Elasticity between savings and total consumption</t>
  </si>
  <si>
    <t>Elasticity between savings and transfers to HHs</t>
  </si>
  <si>
    <t>Elasticity between government and private bonds</t>
  </si>
  <si>
    <t>Depreciation rate</t>
  </si>
  <si>
    <t>Capital stock GDP ratio</t>
  </si>
  <si>
    <t>Elasticity of labor productivity to air pollution</t>
  </si>
  <si>
    <t>Elasticity between exports and domestic supply</t>
  </si>
  <si>
    <t>Elasticity among commodities when an activity produces multiple commodities</t>
  </si>
  <si>
    <t>Disinvestment Elasticity for declining sectors</t>
  </si>
  <si>
    <t>Elasticity among activities when a commodity is produced by multiple activities</t>
  </si>
  <si>
    <t>Elasticity between imports and domestic demand</t>
  </si>
  <si>
    <t>Elasticity between margin commodities</t>
  </si>
  <si>
    <t>Import supply Elasticity</t>
  </si>
  <si>
    <t>Export demand Elasticity</t>
  </si>
  <si>
    <t>Elasticity of capital supply to capital stock</t>
  </si>
  <si>
    <t>Elasticity of expected return on capital to capital stock</t>
  </si>
  <si>
    <t xml:space="preserve">Share of investment that is not added to capital stock </t>
  </si>
  <si>
    <t>Explanation</t>
  </si>
  <si>
    <t>parameter</t>
  </si>
  <si>
    <t>value</t>
  </si>
  <si>
    <t>eta10</t>
  </si>
  <si>
    <t>eta20</t>
  </si>
  <si>
    <t>eta1a0</t>
  </si>
  <si>
    <t>eta2a0</t>
  </si>
  <si>
    <t>omegasavf0</t>
  </si>
  <si>
    <t>rhosavf0</t>
  </si>
  <si>
    <t>riskPrem0</t>
  </si>
  <si>
    <t>retrow0</t>
  </si>
  <si>
    <t>ggdppcrow0</t>
  </si>
  <si>
    <t>efficiency param. returns</t>
  </si>
  <si>
    <t>efficiency param. GDP p.c. growth</t>
  </si>
  <si>
    <t xml:space="preserve">Country risk premium </t>
  </si>
  <si>
    <t>expected return rate in the row</t>
  </si>
  <si>
    <t>expected per capita GDP growth rate in the row</t>
  </si>
  <si>
    <t>Elasticity of foreign new public debt to interest rate</t>
  </si>
  <si>
    <t>Threshold after which gov consumption is dampended</t>
  </si>
  <si>
    <t>debtGdpTgt0</t>
  </si>
  <si>
    <t>sigmaFInt0</t>
  </si>
  <si>
    <t>Foreign Debt Stock</t>
  </si>
  <si>
    <t>Domestic Debt Stock</t>
  </si>
  <si>
    <t>Interest on foreign debt</t>
  </si>
  <si>
    <t>Interest on domestic debt</t>
  </si>
  <si>
    <t>SAM scale factor</t>
  </si>
  <si>
    <t>Population Scale factor</t>
  </si>
  <si>
    <t>Emissions scale factor</t>
  </si>
  <si>
    <t>Exchange rate Dom Currency per USD</t>
  </si>
  <si>
    <t>actPar</t>
  </si>
  <si>
    <t>actPar!A1</t>
  </si>
  <si>
    <t>exceptions in activity parameters</t>
  </si>
  <si>
    <t>exceptions in commodity parameters</t>
  </si>
  <si>
    <t>exceptions in HH parameters</t>
  </si>
  <si>
    <t>default parameter values</t>
  </si>
  <si>
    <t>Initial SAM</t>
  </si>
  <si>
    <t>exceptions inother parameters</t>
  </si>
  <si>
    <t>othpar</t>
  </si>
  <si>
    <t>othPar!A1</t>
  </si>
  <si>
    <t>comPar</t>
  </si>
  <si>
    <t>hohPar</t>
  </si>
  <si>
    <t>comPar!A1</t>
  </si>
  <si>
    <t>defPar</t>
  </si>
  <si>
    <t>defPar!B2</t>
  </si>
  <si>
    <t>mapkNestShr</t>
  </si>
  <si>
    <t>sigmacNest0</t>
  </si>
  <si>
    <t>Substitutional elasticities in demand nests</t>
  </si>
  <si>
    <t xml:space="preserve"> </t>
  </si>
  <si>
    <t>a-pdr_0</t>
  </si>
  <si>
    <t>a-wht_0</t>
  </si>
  <si>
    <t>a-gro_0</t>
  </si>
  <si>
    <t>a-v_f_0</t>
  </si>
  <si>
    <t>a-osd_0</t>
  </si>
  <si>
    <t>a-c_b_0</t>
  </si>
  <si>
    <t>a-pfb_0</t>
  </si>
  <si>
    <t>a-ocr_0</t>
  </si>
  <si>
    <t>a-ctl_0</t>
  </si>
  <si>
    <t>a-oap_0</t>
  </si>
  <si>
    <t>a-rmk_0</t>
  </si>
  <si>
    <t>a-wol_0</t>
  </si>
  <si>
    <t>a-frs_0</t>
  </si>
  <si>
    <t>a-fsh_0</t>
  </si>
  <si>
    <t>a-coa_0</t>
  </si>
  <si>
    <t>a-oil_0</t>
  </si>
  <si>
    <t>a-gas_0</t>
  </si>
  <si>
    <t>a-oxt_0</t>
  </si>
  <si>
    <t>a-cmt_0</t>
  </si>
  <si>
    <t>a-omt_0</t>
  </si>
  <si>
    <t>a-vol_0</t>
  </si>
  <si>
    <t>a-mil_0</t>
  </si>
  <si>
    <t>a-pcr_0</t>
  </si>
  <si>
    <t>a-sgr_0</t>
  </si>
  <si>
    <t>a-ofd_0</t>
  </si>
  <si>
    <t>a-b_t_0</t>
  </si>
  <si>
    <t>a-tex_0</t>
  </si>
  <si>
    <t>a-wap_0</t>
  </si>
  <si>
    <t>a-lea_0</t>
  </si>
  <si>
    <t>a-lum_0</t>
  </si>
  <si>
    <t>a-ppp_0</t>
  </si>
  <si>
    <t>a-p_c_0</t>
  </si>
  <si>
    <t>a-chm_0</t>
  </si>
  <si>
    <t>a-bph_0</t>
  </si>
  <si>
    <t>a-rpp_0</t>
  </si>
  <si>
    <t>a-nmm_0</t>
  </si>
  <si>
    <t>a-i_s_0</t>
  </si>
  <si>
    <t>a-nfm_0</t>
  </si>
  <si>
    <t>a-fmp_0</t>
  </si>
  <si>
    <t>a-ele_0</t>
  </si>
  <si>
    <t>a-eeq_0</t>
  </si>
  <si>
    <t>a-ome_0</t>
  </si>
  <si>
    <t>a-mvh_0</t>
  </si>
  <si>
    <t>a-otn_0</t>
  </si>
  <si>
    <t>a-omf_0</t>
  </si>
  <si>
    <t>a-TnD_0</t>
  </si>
  <si>
    <t>a-NuclearBL_0</t>
  </si>
  <si>
    <t>a-CoalBL_0</t>
  </si>
  <si>
    <t>a-GasBL_0</t>
  </si>
  <si>
    <t>a-WindBL_0</t>
  </si>
  <si>
    <t>a-HydroBL_0</t>
  </si>
  <si>
    <t>a-OilBL_0</t>
  </si>
  <si>
    <t>a-OtherBL_0</t>
  </si>
  <si>
    <t>a-GasP_0</t>
  </si>
  <si>
    <t>a-HydroP_0</t>
  </si>
  <si>
    <t>a-OilP_0</t>
  </si>
  <si>
    <t>a-SolarP_0</t>
  </si>
  <si>
    <t>a-gdt_0</t>
  </si>
  <si>
    <t>a-wtr_0</t>
  </si>
  <si>
    <t>a-cns_0</t>
  </si>
  <si>
    <t>a-trd_0</t>
  </si>
  <si>
    <t>a-afs_0</t>
  </si>
  <si>
    <t>a-otp_0</t>
  </si>
  <si>
    <t>a-wtp_0</t>
  </si>
  <si>
    <t>a-atp_0</t>
  </si>
  <si>
    <t>a-whs_0</t>
  </si>
  <si>
    <t>a-cmn_0</t>
  </si>
  <si>
    <t>a-ofi_0</t>
  </si>
  <si>
    <t>a-ins_0</t>
  </si>
  <si>
    <t>a-rsa_0</t>
  </si>
  <si>
    <t>a-obs_0</t>
  </si>
  <si>
    <t>a-ros_0</t>
  </si>
  <si>
    <t>a-osg_0</t>
  </si>
  <si>
    <t>a-edu_0</t>
  </si>
  <si>
    <t>a-hht_0</t>
  </si>
  <si>
    <t>a-dwe_0</t>
  </si>
  <si>
    <t>c-pdr_0</t>
  </si>
  <si>
    <t>c-wht_0</t>
  </si>
  <si>
    <t>c-gro_0</t>
  </si>
  <si>
    <t>c-v_f_0</t>
  </si>
  <si>
    <t>c-osd_0</t>
  </si>
  <si>
    <t>c-c_b_0</t>
  </si>
  <si>
    <t>c-pfb_0</t>
  </si>
  <si>
    <t>c-ocr_0</t>
  </si>
  <si>
    <t>c-ctl_0</t>
  </si>
  <si>
    <t>c-oap_0</t>
  </si>
  <si>
    <t>c-rmk_0</t>
  </si>
  <si>
    <t>c-wol_0</t>
  </si>
  <si>
    <t>c-frs_0</t>
  </si>
  <si>
    <t>c-fsh_0</t>
  </si>
  <si>
    <t>c-coa_0</t>
  </si>
  <si>
    <t>c-oil_0</t>
  </si>
  <si>
    <t>c-gas_0</t>
  </si>
  <si>
    <t>c-oxt_0</t>
  </si>
  <si>
    <t>c-cmt_0</t>
  </si>
  <si>
    <t>c-omt_0</t>
  </si>
  <si>
    <t>c-vol_0</t>
  </si>
  <si>
    <t>c-mil_0</t>
  </si>
  <si>
    <t>c-pcr_0</t>
  </si>
  <si>
    <t>c-sgr_0</t>
  </si>
  <si>
    <t>c-ofd_0</t>
  </si>
  <si>
    <t>c-b_t_0</t>
  </si>
  <si>
    <t>c-tex_0</t>
  </si>
  <si>
    <t>c-wap_0</t>
  </si>
  <si>
    <t>c-lea_0</t>
  </si>
  <si>
    <t>c-lum_0</t>
  </si>
  <si>
    <t>c-ppp_0</t>
  </si>
  <si>
    <t>c-p_c_0</t>
  </si>
  <si>
    <t>c-chm_0</t>
  </si>
  <si>
    <t>c-bph_0</t>
  </si>
  <si>
    <t>c-rpp_0</t>
  </si>
  <si>
    <t>c-nmm_0</t>
  </si>
  <si>
    <t>c-i_s_0</t>
  </si>
  <si>
    <t>c-nfm_0</t>
  </si>
  <si>
    <t>c-fmp_0</t>
  </si>
  <si>
    <t>c-ele_0</t>
  </si>
  <si>
    <t>c-eeq_0</t>
  </si>
  <si>
    <t>c-ome_0</t>
  </si>
  <si>
    <t>c-mvh_0</t>
  </si>
  <si>
    <t>c-otn_0</t>
  </si>
  <si>
    <t>c-omf_0</t>
  </si>
  <si>
    <t>c-TnD_0</t>
  </si>
  <si>
    <t>c-NuclearBL_0</t>
  </si>
  <si>
    <t>c-CoalBL_0</t>
  </si>
  <si>
    <t>c-GasBL_0</t>
  </si>
  <si>
    <t>c-WindBL_0</t>
  </si>
  <si>
    <t>c-HydroBL_0</t>
  </si>
  <si>
    <t>c-OilBL_0</t>
  </si>
  <si>
    <t>c-OtherBL_0</t>
  </si>
  <si>
    <t>c-GasP_0</t>
  </si>
  <si>
    <t>c-HydroP_0</t>
  </si>
  <si>
    <t>c-OilP_0</t>
  </si>
  <si>
    <t>c-SolarP_0</t>
  </si>
  <si>
    <t>c-gdt_0</t>
  </si>
  <si>
    <t>c-wtr_0</t>
  </si>
  <si>
    <t>c-cns_0</t>
  </si>
  <si>
    <t>c-trd_0</t>
  </si>
  <si>
    <t>c-afs_0</t>
  </si>
  <si>
    <t>c-otp_0</t>
  </si>
  <si>
    <t>c-wtp_0</t>
  </si>
  <si>
    <t>c-atp_0</t>
  </si>
  <si>
    <t>c-whs_0</t>
  </si>
  <si>
    <t>c-cmn_0</t>
  </si>
  <si>
    <t>c-ofi_0</t>
  </si>
  <si>
    <t>c-ins_0</t>
  </si>
  <si>
    <t>c-rsa_0</t>
  </si>
  <si>
    <t>c-obs_0</t>
  </si>
  <si>
    <t>c-ros_0</t>
  </si>
  <si>
    <t>c-osg_0</t>
  </si>
  <si>
    <t>c-edu_0</t>
  </si>
  <si>
    <t>c-hht_0</t>
  </si>
  <si>
    <t>c-dwe_0</t>
  </si>
  <si>
    <t>m-otp_0</t>
  </si>
  <si>
    <t>m-wtp_0</t>
  </si>
  <si>
    <t>m-atp_0</t>
  </si>
  <si>
    <t>f-Land_0</t>
  </si>
  <si>
    <t>f-tech_aspros_0</t>
  </si>
  <si>
    <t>f-clerks_0</t>
  </si>
  <si>
    <t>f-service_shop_0</t>
  </si>
  <si>
    <t>f-off_mgr_pros_0</t>
  </si>
  <si>
    <t>f-ag_othlowsk_0</t>
  </si>
  <si>
    <t>f-Capital_0</t>
  </si>
  <si>
    <t>f-NatlRes_0</t>
  </si>
  <si>
    <t>h-hhold_0</t>
  </si>
  <si>
    <t>g-govt_0</t>
  </si>
  <si>
    <t>e-ent_0</t>
  </si>
  <si>
    <t>debt_0</t>
  </si>
  <si>
    <t>i-ginv_0</t>
  </si>
  <si>
    <t>i-CGDS_0</t>
  </si>
  <si>
    <t>w-ww_world_0</t>
  </si>
  <si>
    <t>a-pdr</t>
  </si>
  <si>
    <t>a-wht</t>
  </si>
  <si>
    <t>a-gro</t>
  </si>
  <si>
    <t>a-v_f</t>
  </si>
  <si>
    <t>a-osd</t>
  </si>
  <si>
    <t>a-c_b</t>
  </si>
  <si>
    <t>a-pfb</t>
  </si>
  <si>
    <t>a-ocr</t>
  </si>
  <si>
    <t>a-ctl</t>
  </si>
  <si>
    <t>a-oap</t>
  </si>
  <si>
    <t>a-rmk</t>
  </si>
  <si>
    <t>a-wol</t>
  </si>
  <si>
    <t>a-fsh</t>
  </si>
  <si>
    <t>a-cmt</t>
  </si>
  <si>
    <t>a-omt</t>
  </si>
  <si>
    <t>a-vol</t>
  </si>
  <si>
    <t>a-mil</t>
  </si>
  <si>
    <t>a-pcr</t>
  </si>
  <si>
    <t>a-sgr</t>
  </si>
  <si>
    <t>a-ofd</t>
  </si>
  <si>
    <t>a-wap</t>
  </si>
  <si>
    <t>a-lea</t>
  </si>
  <si>
    <t>a-lum</t>
  </si>
  <si>
    <t>a-ppp</t>
  </si>
  <si>
    <t>a-rpp</t>
  </si>
  <si>
    <t>a-eeq</t>
  </si>
  <si>
    <t>a-ome</t>
  </si>
  <si>
    <t>a-otn</t>
  </si>
  <si>
    <t>a-NuclearBL</t>
  </si>
  <si>
    <t>a-CoalBL</t>
  </si>
  <si>
    <t>a-GasBL</t>
  </si>
  <si>
    <t>a-WindBL</t>
  </si>
  <si>
    <t>a-HydroBL</t>
  </si>
  <si>
    <t>a-OilBL</t>
  </si>
  <si>
    <t>a-OtherBL</t>
  </si>
  <si>
    <t>a-OilP</t>
  </si>
  <si>
    <t>a-gdt</t>
  </si>
  <si>
    <t>a-whs</t>
  </si>
  <si>
    <t>a-rsa</t>
  </si>
  <si>
    <t>a-obs</t>
  </si>
  <si>
    <t>a-ros</t>
  </si>
  <si>
    <t>a-dwe</t>
  </si>
  <si>
    <t>c-pdr</t>
  </si>
  <si>
    <t>c-wht</t>
  </si>
  <si>
    <t>c-gro</t>
  </si>
  <si>
    <t>c-v_f</t>
  </si>
  <si>
    <t>c-osd</t>
  </si>
  <si>
    <t>c-c_b</t>
  </si>
  <si>
    <t>c-pfb</t>
  </si>
  <si>
    <t>c-ocr</t>
  </si>
  <si>
    <t>c-ctl</t>
  </si>
  <si>
    <t>c-oap</t>
  </si>
  <si>
    <t>c-rmk</t>
  </si>
  <si>
    <t>c-wol</t>
  </si>
  <si>
    <t>c-fsh</t>
  </si>
  <si>
    <t>c-cmt</t>
  </si>
  <si>
    <t>c-omt</t>
  </si>
  <si>
    <t>c-vol</t>
  </si>
  <si>
    <t>c-mil</t>
  </si>
  <si>
    <t>c-pcr</t>
  </si>
  <si>
    <t>c-sgr</t>
  </si>
  <si>
    <t>c-ofd</t>
  </si>
  <si>
    <t>c-wap</t>
  </si>
  <si>
    <t>c-lea</t>
  </si>
  <si>
    <t>c-lum</t>
  </si>
  <si>
    <t>c-ppp</t>
  </si>
  <si>
    <t>c-rpp</t>
  </si>
  <si>
    <t>c-eeq</t>
  </si>
  <si>
    <t>c-ome</t>
  </si>
  <si>
    <t>c-otn</t>
  </si>
  <si>
    <t>c-whs</t>
  </si>
  <si>
    <t>c-rsa</t>
  </si>
  <si>
    <t>c-obs</t>
  </si>
  <si>
    <t>c-ros</t>
  </si>
  <si>
    <t>c-dwe</t>
  </si>
  <si>
    <t>m-otp</t>
  </si>
  <si>
    <t>m-wtp</t>
  </si>
  <si>
    <t>m-atp</t>
  </si>
  <si>
    <t>f-tech_aspros</t>
  </si>
  <si>
    <t>f-clerks</t>
  </si>
  <si>
    <t>f-service_shop</t>
  </si>
  <si>
    <t>f-off_mgr_pros</t>
  </si>
  <si>
    <t>f-ag_othlowsk</t>
  </si>
  <si>
    <t>h-hhold</t>
  </si>
  <si>
    <t>GHGs</t>
  </si>
  <si>
    <t>Acid</t>
  </si>
  <si>
    <t xml:space="preserve"> TOFP</t>
  </si>
  <si>
    <t xml:space="preserve"> PMTn</t>
  </si>
  <si>
    <t xml:space="preserve"> PMTF</t>
  </si>
  <si>
    <t xml:space="preserve"> AirT </t>
  </si>
  <si>
    <t>SAM!A1</t>
  </si>
  <si>
    <t>emiInventory_OFF</t>
  </si>
  <si>
    <t>emiinv!A2</t>
  </si>
  <si>
    <t>cap_labSk</t>
  </si>
  <si>
    <t>cap_labsk</t>
  </si>
  <si>
    <t>wtr_land</t>
  </si>
  <si>
    <t>cap_natlres</t>
  </si>
  <si>
    <t>cap_ener</t>
  </si>
  <si>
    <t>ely_tnd</t>
  </si>
  <si>
    <t>gas_gdt</t>
  </si>
  <si>
    <t>ener_gasoil</t>
  </si>
  <si>
    <t>ener_fossil</t>
  </si>
  <si>
    <t>crops</t>
  </si>
  <si>
    <t>anim_meat</t>
  </si>
  <si>
    <t>Paddy rice production</t>
  </si>
  <si>
    <t>Wheat production</t>
  </si>
  <si>
    <t>Coarse grains production</t>
  </si>
  <si>
    <t>Fruits and vegetable production</t>
  </si>
  <si>
    <t>Oilseeds production</t>
  </si>
  <si>
    <t>Sugar cane and beet production</t>
  </si>
  <si>
    <t>Production of plant based fibres</t>
  </si>
  <si>
    <t>Production of other crops</t>
  </si>
  <si>
    <t>Ruminants for meat</t>
  </si>
  <si>
    <t>Other animal production</t>
  </si>
  <si>
    <t>Raw milk production</t>
  </si>
  <si>
    <t>Wool production</t>
  </si>
  <si>
    <t>Forestry production</t>
  </si>
  <si>
    <t>Fisheries</t>
  </si>
  <si>
    <t>Coal extraction</t>
  </si>
  <si>
    <t>Oil extraction</t>
  </si>
  <si>
    <t>Gas extraction</t>
  </si>
  <si>
    <t>Other extraction</t>
  </si>
  <si>
    <t>Cattle meat production</t>
  </si>
  <si>
    <t>Other meat production</t>
  </si>
  <si>
    <t>Vegetable oil and cake production</t>
  </si>
  <si>
    <t>Dairies</t>
  </si>
  <si>
    <t>Rice processing</t>
  </si>
  <si>
    <t>Sugar processing</t>
  </si>
  <si>
    <t>Other food industries</t>
  </si>
  <si>
    <t>Beverages and tobacco production</t>
  </si>
  <si>
    <t>Textile production</t>
  </si>
  <si>
    <t>Production of wearing apparel</t>
  </si>
  <si>
    <t>Production of leather</t>
  </si>
  <si>
    <t>Production of wood products</t>
  </si>
  <si>
    <t>Paper and publishing industries</t>
  </si>
  <si>
    <t>Raffineries</t>
  </si>
  <si>
    <t>Chemical industries</t>
  </si>
  <si>
    <t>Production of basic pharmaceuticals</t>
  </si>
  <si>
    <t>Rubber and plastic production</t>
  </si>
  <si>
    <t>Non-metal mineral industries</t>
  </si>
  <si>
    <t>Produciton of iron and steel</t>
  </si>
  <si>
    <t>Production of other metals</t>
  </si>
  <si>
    <t>Production of electrical equipment</t>
  </si>
  <si>
    <t>Nuclear base load powr</t>
  </si>
  <si>
    <t>Hydro base load power</t>
  </si>
  <si>
    <t>Base load power from oil</t>
  </si>
  <si>
    <t>Other base load power</t>
  </si>
  <si>
    <t>Hydro peak load power</t>
  </si>
  <si>
    <t>Base load power from coal</t>
  </si>
  <si>
    <t>Base load power from gas</t>
  </si>
  <si>
    <t>Base load powr from wind</t>
  </si>
  <si>
    <t>Peak load power from gas</t>
  </si>
  <si>
    <t>Peak load power from oil</t>
  </si>
  <si>
    <t>Solar peak load power</t>
  </si>
  <si>
    <t>Gas distribution industry</t>
  </si>
  <si>
    <t>Water and waste treatment industry</t>
  </si>
  <si>
    <t>Construction services</t>
  </si>
  <si>
    <t>Hotel and restaurants</t>
  </si>
  <si>
    <t>Water transport industry</t>
  </si>
  <si>
    <t>Other financial services</t>
  </si>
  <si>
    <t>Insurance services</t>
  </si>
  <si>
    <t>Educational services</t>
  </si>
  <si>
    <t>Imputed rents</t>
  </si>
  <si>
    <t>Coarse grains</t>
  </si>
  <si>
    <t>Fruits and vegetables</t>
  </si>
  <si>
    <t>Oilseeds</t>
  </si>
  <si>
    <t>Sugar cane and beet</t>
  </si>
  <si>
    <t>Plant base fibres</t>
  </si>
  <si>
    <t>Other crops</t>
  </si>
  <si>
    <t xml:space="preserve">Other animal products </t>
  </si>
  <si>
    <t>Wool</t>
  </si>
  <si>
    <t>Forestry products</t>
  </si>
  <si>
    <t>Fishery products</t>
  </si>
  <si>
    <t>Other extracted products</t>
  </si>
  <si>
    <t>Cattle meat</t>
  </si>
  <si>
    <t>Other meat</t>
  </si>
  <si>
    <t>Vegetable oils and cakes</t>
  </si>
  <si>
    <t>Dairy products</t>
  </si>
  <si>
    <t>Processed rice</t>
  </si>
  <si>
    <t>Sugar</t>
  </si>
  <si>
    <t>Other food products</t>
  </si>
  <si>
    <t>Beverages and tobacco</t>
  </si>
  <si>
    <t>Wearing apparel</t>
  </si>
  <si>
    <t>Leather</t>
  </si>
  <si>
    <t>Wood products</t>
  </si>
  <si>
    <t>Paper and publishing</t>
  </si>
  <si>
    <t>Petroleum and coke</t>
  </si>
  <si>
    <t>Chemicals</t>
  </si>
  <si>
    <t>Basic pharmaceuticals</t>
  </si>
  <si>
    <t>Rubber and plastic</t>
  </si>
  <si>
    <t>Non-metal minerals</t>
  </si>
  <si>
    <t>Iron and steel</t>
  </si>
  <si>
    <t>Other metals</t>
  </si>
  <si>
    <t>Electrical equipment</t>
  </si>
  <si>
    <t>Electricity and heat</t>
  </si>
  <si>
    <t>Water and waste treatment</t>
  </si>
  <si>
    <t>Hotel and restaurant services</t>
  </si>
  <si>
    <t>Other transport services</t>
  </si>
  <si>
    <t>Water transport services</t>
  </si>
  <si>
    <t>Air transport services</t>
  </si>
  <si>
    <t>Air transport industry</t>
  </si>
  <si>
    <t>Clerks</t>
  </si>
  <si>
    <t>Natural ressources</t>
  </si>
  <si>
    <t>Other transport margin</t>
  </si>
  <si>
    <t>Water transport margin</t>
  </si>
  <si>
    <t>Air transport margin</t>
  </si>
  <si>
    <t>Debt</t>
  </si>
  <si>
    <t>Government investment</t>
  </si>
  <si>
    <t>Land taxes</t>
  </si>
  <si>
    <t>Capital taxes</t>
  </si>
  <si>
    <t>Natural ressource taxes</t>
  </si>
  <si>
    <t>Export taxes</t>
  </si>
  <si>
    <t>Import taxes</t>
  </si>
  <si>
    <t>Production taxes</t>
  </si>
  <si>
    <t>Direct taxes</t>
  </si>
  <si>
    <t>Rest-of-the-World</t>
  </si>
  <si>
    <t>Computer, electronic and optical production</t>
  </si>
  <si>
    <t>Production of other equipment</t>
  </si>
  <si>
    <t>Production of motor vehicles</t>
  </si>
  <si>
    <t>Produciton of other transport equipment</t>
  </si>
  <si>
    <t>Other manufacturing</t>
  </si>
  <si>
    <t>Power distribution</t>
  </si>
  <si>
    <t>Wholesale and retail trade</t>
  </si>
  <si>
    <t>Warehousing</t>
  </si>
  <si>
    <t>Communication and information services</t>
  </si>
  <si>
    <t>Real estate services</t>
  </si>
  <si>
    <t>Other busines services</t>
  </si>
  <si>
    <t>Recreation services</t>
  </si>
  <si>
    <t>Public adminstration</t>
  </si>
  <si>
    <t>Computers, electronic and optical products</t>
  </si>
  <si>
    <t>Other machinery</t>
  </si>
  <si>
    <t>Motor vehicles</t>
  </si>
  <si>
    <t>Other transport equipment</t>
  </si>
  <si>
    <t>Other manufactues</t>
  </si>
  <si>
    <t>Powr distribution</t>
  </si>
  <si>
    <t>Communication and information</t>
  </si>
  <si>
    <t>Insurance</t>
  </si>
  <si>
    <t>Health and social services</t>
  </si>
  <si>
    <t>Labor taxes, clerks</t>
  </si>
  <si>
    <t>Agricultural and other low skiled labor</t>
  </si>
  <si>
    <t>Labor taxes, agriculture and other low skilled</t>
  </si>
  <si>
    <t xml:space="preserve">Technicians and associate professionals </t>
  </si>
  <si>
    <t>Service and shop workers</t>
  </si>
  <si>
    <t xml:space="preserve">Labor taxes, Technicians and associate professionals </t>
  </si>
  <si>
    <t>Labor taxes, Service and shop workers</t>
  </si>
  <si>
    <t>Senior officials and managers, professionals</t>
  </si>
  <si>
    <t>Labor taxes,  Senior officials and managers, professionals</t>
  </si>
  <si>
    <t>Savings/Investments</t>
  </si>
  <si>
    <t>Sales taxes</t>
  </si>
  <si>
    <t>Unskilled labor bundle</t>
  </si>
  <si>
    <t>Skilled labor bundle</t>
  </si>
  <si>
    <t>Capital-natural resources bundle</t>
  </si>
  <si>
    <t>Capital-skilled labor bundle</t>
  </si>
  <si>
    <t>Energy</t>
  </si>
  <si>
    <t>Gas-oil bundle</t>
  </si>
  <si>
    <t>Gas-oil-coal bundle</t>
  </si>
  <si>
    <t>Capital-energy bundle</t>
  </si>
  <si>
    <t>Water-land bundle</t>
  </si>
  <si>
    <t>Electricity and its distribution</t>
  </si>
  <si>
    <t>Gas and its distribution</t>
  </si>
  <si>
    <t>Value added</t>
  </si>
  <si>
    <t>Crops bundle</t>
  </si>
  <si>
    <t>Animal products and meat bundle</t>
  </si>
  <si>
    <t>Intermediate bundle</t>
  </si>
  <si>
    <t>Total production bundle</t>
  </si>
  <si>
    <t>Elasticity of stock changes with regard to relative delta in expected price</t>
  </si>
  <si>
    <t>rhoPDelSt0</t>
  </si>
  <si>
    <t>Elasticity of stock changes to targeted stock over production</t>
  </si>
  <si>
    <t>rhoXDelSt0</t>
  </si>
  <si>
    <t>Target stock over production level</t>
  </si>
  <si>
    <t>alphaSt0</t>
  </si>
  <si>
    <t>alphaST0</t>
  </si>
  <si>
    <t>Default income elasticity for aggregate commodity group (overwritten by hohpar)</t>
  </si>
  <si>
    <t>Default price elasticity for aggregate commodity group (overwritten by hohpar)</t>
  </si>
  <si>
    <t>cropLand</t>
  </si>
  <si>
    <t>agrLand</t>
  </si>
  <si>
    <t>agrLab</t>
  </si>
  <si>
    <t>manuLab</t>
  </si>
  <si>
    <t>restLab</t>
  </si>
  <si>
    <t>additive</t>
  </si>
  <si>
    <t>omegaCET</t>
  </si>
  <si>
    <t>factSupElas</t>
  </si>
  <si>
    <t>RestLab</t>
  </si>
  <si>
    <t>Factor market nestings</t>
  </si>
  <si>
    <t>fmNest</t>
  </si>
  <si>
    <t>fmNest!B2</t>
  </si>
  <si>
    <t>f-capital</t>
  </si>
  <si>
    <t>f-land</t>
  </si>
  <si>
    <t>f-natlRes</t>
  </si>
  <si>
    <t>grasLand</t>
  </si>
  <si>
    <t>Maping from activities to GTAP</t>
  </si>
  <si>
    <t>Maping from products to GTAP</t>
  </si>
  <si>
    <t>All accounts (plus nests)</t>
  </si>
  <si>
    <t>Energy products</t>
  </si>
  <si>
    <t>Debt account</t>
  </si>
  <si>
    <t>Labor accounts</t>
  </si>
  <si>
    <t>Capital account</t>
  </si>
  <si>
    <t>Land accounts</t>
  </si>
  <si>
    <t>All investment account</t>
  </si>
  <si>
    <t>Government investment account</t>
  </si>
  <si>
    <t>Adaptive investment account</t>
  </si>
  <si>
    <t>Stoch changes account</t>
  </si>
  <si>
    <t>Maps from tax types to tax accounts</t>
  </si>
  <si>
    <t>Aggregation from proto to final SAM</t>
  </si>
  <si>
    <t>Demand bundle composition</t>
  </si>
  <si>
    <t>Map from aggregated to single sectors</t>
  </si>
  <si>
    <t>Production nesting</t>
  </si>
  <si>
    <t>subselas</t>
  </si>
  <si>
    <t>Elasticity between demand bundles other final  Demand</t>
  </si>
  <si>
    <t>debt to gdp default threshhold, used in specific savf closure</t>
  </si>
  <si>
    <t>positive scaling parameter, used in specific savf closure</t>
  </si>
  <si>
    <t>Parameters for factor market nests</t>
  </si>
  <si>
    <t>fmNestPar</t>
  </si>
  <si>
    <t>Substitution elasticities for production nests</t>
  </si>
  <si>
    <t>mapk!B5</t>
  </si>
  <si>
    <t>t-exp</t>
  </si>
  <si>
    <t>t-imp</t>
  </si>
  <si>
    <t>t-stx</t>
  </si>
  <si>
    <t>t-tech_aspros</t>
  </si>
  <si>
    <t>t-clerks</t>
  </si>
  <si>
    <t>t-service_shop</t>
  </si>
  <si>
    <t>t-off_mgr_pros</t>
  </si>
  <si>
    <t>t-ag_othlowsk</t>
  </si>
  <si>
    <t>t-prodtax</t>
  </si>
  <si>
    <t>t-dirtax</t>
  </si>
  <si>
    <t>t-tech_aspros_0</t>
  </si>
  <si>
    <t>t-clerks_0</t>
  </si>
  <si>
    <t>t-service_shop_0</t>
  </si>
  <si>
    <t>t-off_mgr_pros_0</t>
  </si>
  <si>
    <t>t-ag_othlowsk_0</t>
  </si>
  <si>
    <t>t-Capital_0</t>
  </si>
  <si>
    <t>t-Land_0</t>
  </si>
  <si>
    <t>t-NatlRes_0</t>
  </si>
  <si>
    <t>t-exp_0</t>
  </si>
  <si>
    <t>t-imp_0</t>
  </si>
  <si>
    <t>t-prodtax_0</t>
  </si>
  <si>
    <t>t-dirtax_0</t>
  </si>
  <si>
    <t>t-stx_0</t>
  </si>
  <si>
    <t>Power mix</t>
  </si>
  <si>
    <t>powerMix</t>
  </si>
  <si>
    <t>powerMix!A1</t>
  </si>
  <si>
    <t>carbonTax</t>
  </si>
  <si>
    <t>GHG mitigation</t>
  </si>
  <si>
    <t>GHGMitigation</t>
  </si>
  <si>
    <t>GHGMitigation!A1</t>
  </si>
  <si>
    <t>BAU</t>
  </si>
  <si>
    <t>ceilingBench</t>
  </si>
  <si>
    <t>ceilingBaseline</t>
  </si>
  <si>
    <t>ceilingAbsolute</t>
  </si>
  <si>
    <t xml:space="preserve">par </t>
  </si>
  <si>
    <t>nrgfac</t>
  </si>
  <si>
    <t>nrgFac</t>
  </si>
  <si>
    <t>Energy shifter nest</t>
  </si>
  <si>
    <t>Energy projections</t>
  </si>
  <si>
    <t>energyProj</t>
  </si>
  <si>
    <t>Energy!A1</t>
  </si>
  <si>
    <t>MeatDairy</t>
  </si>
  <si>
    <t>FoodOther</t>
  </si>
  <si>
    <t>f-AEZ1_0</t>
  </si>
  <si>
    <t>f-AEZ2_0</t>
  </si>
  <si>
    <t>f-AEZ3_0</t>
  </si>
  <si>
    <t>f-AEZ4_0</t>
  </si>
  <si>
    <t>f-AEZ5_0</t>
  </si>
  <si>
    <t>f-AEZ6_0</t>
  </si>
  <si>
    <t>f-AEZ7_0</t>
  </si>
  <si>
    <t>f-AEZ8_0</t>
  </si>
  <si>
    <t>f-AEZ9_0</t>
  </si>
  <si>
    <t>f-AEZ10_0</t>
  </si>
  <si>
    <t>f-AEZ11_0</t>
  </si>
  <si>
    <t>f-AEZ12_0</t>
  </si>
  <si>
    <t>f-AEZ13_0</t>
  </si>
  <si>
    <t>f-AEZ14_0</t>
  </si>
  <si>
    <t>f-AEZ15_0</t>
  </si>
  <si>
    <t>f-AEZ16_0</t>
  </si>
  <si>
    <t>f-AEZ17_0</t>
  </si>
  <si>
    <t>f-AEZ18_0</t>
  </si>
  <si>
    <t>f-AEZ1</t>
  </si>
  <si>
    <t>f-AEZ2</t>
  </si>
  <si>
    <t>f-AEZ3</t>
  </si>
  <si>
    <t>f-AEZ4</t>
  </si>
  <si>
    <t>f-AEZ5</t>
  </si>
  <si>
    <t>f-AEZ6</t>
  </si>
  <si>
    <t>f-AEZ7</t>
  </si>
  <si>
    <t>f-AEZ8</t>
  </si>
  <si>
    <t>f-AEZ9</t>
  </si>
  <si>
    <t>f-AEZ10</t>
  </si>
  <si>
    <t>f-AEZ11</t>
  </si>
  <si>
    <t>f-AEZ12</t>
  </si>
  <si>
    <t>f-AEZ13</t>
  </si>
  <si>
    <t>f-AEZ14</t>
  </si>
  <si>
    <t>f-AEZ15</t>
  </si>
  <si>
    <t>f-AEZ16</t>
  </si>
  <si>
    <t>f-AEZ17</t>
  </si>
  <si>
    <t>f-AEZ18</t>
  </si>
  <si>
    <t>t-AEZ2_0</t>
  </si>
  <si>
    <t>t-AEZ3_0</t>
  </si>
  <si>
    <t>t-AEZ4_0</t>
  </si>
  <si>
    <t>t-AEZ5_0</t>
  </si>
  <si>
    <t>t-AEZ6_0</t>
  </si>
  <si>
    <t>t-AEZ7_0</t>
  </si>
  <si>
    <t>t-AEZ8_0</t>
  </si>
  <si>
    <t>t-AEZ9_0</t>
  </si>
  <si>
    <t>t-AEZ10_0</t>
  </si>
  <si>
    <t>t-AEZ11_0</t>
  </si>
  <si>
    <t>t-AEZ12_0</t>
  </si>
  <si>
    <t>t-AEZ13_0</t>
  </si>
  <si>
    <t>t-AEZ14_0</t>
  </si>
  <si>
    <t>t-AEZ15_0</t>
  </si>
  <si>
    <t>t-AEZ16_0</t>
  </si>
  <si>
    <t>t-AEZ17_0</t>
  </si>
  <si>
    <t>t-AEZ18_0</t>
  </si>
  <si>
    <t>t-AEZ2</t>
  </si>
  <si>
    <t>t-AEZ3</t>
  </si>
  <si>
    <t>t-AEZ4</t>
  </si>
  <si>
    <t>t-AEZ5</t>
  </si>
  <si>
    <t>t-AEZ6</t>
  </si>
  <si>
    <t>t-AEZ7</t>
  </si>
  <si>
    <t>t-AEZ8</t>
  </si>
  <si>
    <t>t-AEZ9</t>
  </si>
  <si>
    <t>t-AEZ10</t>
  </si>
  <si>
    <t>t-AEZ11</t>
  </si>
  <si>
    <t>t-AEZ12</t>
  </si>
  <si>
    <t>t-AEZ13</t>
  </si>
  <si>
    <t>t-AEZ14</t>
  </si>
  <si>
    <t>t-AEZ15</t>
  </si>
  <si>
    <t>t-AEZ16</t>
  </si>
  <si>
    <t>t-AEZ17</t>
  </si>
  <si>
    <t>t-AEZ18</t>
  </si>
  <si>
    <t>t-AEZ1</t>
  </si>
  <si>
    <t>aez_land</t>
  </si>
  <si>
    <t xml:space="preserve">AEZ1_cropLand </t>
  </si>
  <si>
    <t xml:space="preserve">AEZ2_cropLand </t>
  </si>
  <si>
    <t xml:space="preserve">AEZ3_cropLand </t>
  </si>
  <si>
    <t xml:space="preserve">AEZ4_cropLand </t>
  </si>
  <si>
    <t xml:space="preserve">AEZ5_cropLand </t>
  </si>
  <si>
    <t xml:space="preserve">AEZ6_cropLand </t>
  </si>
  <si>
    <t xml:space="preserve">AEZ7_cropLand </t>
  </si>
  <si>
    <t xml:space="preserve">AEZ8_cropLand </t>
  </si>
  <si>
    <t xml:space="preserve">AEZ9_cropLand </t>
  </si>
  <si>
    <t>AEZ10_cropLand</t>
  </si>
  <si>
    <t>AEZ11_cropLand</t>
  </si>
  <si>
    <t>AEZ12_cropLand</t>
  </si>
  <si>
    <t>AEZ13_cropLand</t>
  </si>
  <si>
    <t>AEZ14_cropLand</t>
  </si>
  <si>
    <t>AEZ15_cropLand</t>
  </si>
  <si>
    <t>AEZ16_cropLand</t>
  </si>
  <si>
    <t>AEZ17_cropLand</t>
  </si>
  <si>
    <t>AEZ18_cropLand</t>
  </si>
  <si>
    <t xml:space="preserve">AEZ1_agrLand </t>
  </si>
  <si>
    <t xml:space="preserve">AEZ2_agrLand </t>
  </si>
  <si>
    <t xml:space="preserve">AEZ3_agrLand </t>
  </si>
  <si>
    <t xml:space="preserve">AEZ4_agrLand </t>
  </si>
  <si>
    <t xml:space="preserve">AEZ5_agrLand </t>
  </si>
  <si>
    <t xml:space="preserve">AEZ6_agrLand </t>
  </si>
  <si>
    <t xml:space="preserve">AEZ7_agrLand </t>
  </si>
  <si>
    <t xml:space="preserve">AEZ8_agrLand </t>
  </si>
  <si>
    <t xml:space="preserve">AEZ9_agrLand </t>
  </si>
  <si>
    <t>AEZ10_agrLand</t>
  </si>
  <si>
    <t>AEZ11_agrLand</t>
  </si>
  <si>
    <t>AEZ12_agrLand</t>
  </si>
  <si>
    <t>AEZ13_agrLand</t>
  </si>
  <si>
    <t>AEZ14_agrLand</t>
  </si>
  <si>
    <t>AEZ15_agrLand</t>
  </si>
  <si>
    <t>AEZ16_agrLand</t>
  </si>
  <si>
    <t>AEZ17_agrLand</t>
  </si>
  <si>
    <t>AEZ18_agrLand</t>
  </si>
  <si>
    <t xml:space="preserve">AEZ1_grasLand </t>
  </si>
  <si>
    <t xml:space="preserve">AEZ2_grasLand </t>
  </si>
  <si>
    <t xml:space="preserve">AEZ3_grasLand </t>
  </si>
  <si>
    <t xml:space="preserve">AEZ4_grasLand </t>
  </si>
  <si>
    <t xml:space="preserve">AEZ5_grasLand </t>
  </si>
  <si>
    <t xml:space="preserve">AEZ6_grasLand </t>
  </si>
  <si>
    <t xml:space="preserve">AEZ7_grasLand </t>
  </si>
  <si>
    <t xml:space="preserve">AEZ8_grasLand </t>
  </si>
  <si>
    <t xml:space="preserve">AEZ9_grasLand </t>
  </si>
  <si>
    <t>AEZ10_grasLand</t>
  </si>
  <si>
    <t>AEZ11_grasLand</t>
  </si>
  <si>
    <t>AEZ12_grasLand</t>
  </si>
  <si>
    <t>AEZ13_grasLand</t>
  </si>
  <si>
    <t>AEZ14_grasLand</t>
  </si>
  <si>
    <t>AEZ15_grasLand</t>
  </si>
  <si>
    <t>AEZ16_grasLand</t>
  </si>
  <si>
    <t>AEZ17_grasLand</t>
  </si>
  <si>
    <t>AEZ18_grasLand</t>
  </si>
  <si>
    <t>t-AEZ1_0</t>
  </si>
  <si>
    <t>Nutrient contents</t>
  </si>
  <si>
    <t>nutCont</t>
  </si>
  <si>
    <t>Nutrients!A1</t>
  </si>
  <si>
    <t>rest</t>
  </si>
  <si>
    <t>a-pbf</t>
  </si>
  <si>
    <t>Points on Marginal Abatement Cost Curves</t>
  </si>
  <si>
    <t>macc</t>
  </si>
  <si>
    <t>macc!A1</t>
  </si>
  <si>
    <t>a-macc</t>
  </si>
  <si>
    <t>Marginal abatement</t>
  </si>
  <si>
    <t>c-macc</t>
  </si>
  <si>
    <t>a-macc_0</t>
  </si>
  <si>
    <t>c-macc_0</t>
  </si>
  <si>
    <t>Crops</t>
  </si>
  <si>
    <t>Clothing</t>
  </si>
  <si>
    <t>enerEle</t>
  </si>
  <si>
    <t>EnerEle</t>
  </si>
  <si>
    <t>enerFossil</t>
  </si>
  <si>
    <t>Hot_Trad</t>
  </si>
  <si>
    <t>incp</t>
  </si>
  <si>
    <t>constant</t>
  </si>
  <si>
    <t>logGdp</t>
  </si>
  <si>
    <t>subP</t>
  </si>
  <si>
    <t>Estimated regresion function for GTAP incp and subp parameters of CDE demand system as a function of log(GDP)</t>
  </si>
  <si>
    <t>Regression parameter to render CDE income dependent</t>
  </si>
  <si>
    <t>regparIncomeCDE</t>
  </si>
  <si>
    <t>hohPar!A3</t>
  </si>
  <si>
    <t>hohPar!B9</t>
  </si>
  <si>
    <t>GDP composition (for targeting)</t>
  </si>
  <si>
    <t>GDPComposition!A1</t>
  </si>
  <si>
    <t>GDPComp</t>
  </si>
  <si>
    <t>t-F_skl</t>
  </si>
  <si>
    <t>t-M_skl</t>
  </si>
  <si>
    <t>t-F_nsk</t>
  </si>
  <si>
    <t>t-M_nsk</t>
  </si>
  <si>
    <t>t-F_skl_0</t>
  </si>
  <si>
    <t>t-M_skl_0</t>
  </si>
  <si>
    <t>t-F_nsk_0</t>
  </si>
  <si>
    <t>t-M_nsk_0</t>
  </si>
  <si>
    <t>f-m_skl</t>
  </si>
  <si>
    <t>f-f_skl</t>
  </si>
  <si>
    <t>f-m_nsk</t>
  </si>
  <si>
    <t>f-f_nsk</t>
  </si>
  <si>
    <t>Male skilled labor</t>
  </si>
  <si>
    <t>Female skilled labor</t>
  </si>
  <si>
    <t>Male low skilled labor</t>
  </si>
  <si>
    <t>Female low skilled labor</t>
  </si>
  <si>
    <t>f-F_skl</t>
  </si>
  <si>
    <t>f-M_skl</t>
  </si>
  <si>
    <t>f-F_nsk</t>
  </si>
  <si>
    <t>f-M_nsk</t>
  </si>
  <si>
    <t>f-F_skl_0</t>
  </si>
  <si>
    <t>f-M_skl_0</t>
  </si>
  <si>
    <t>f-F_nsk_0</t>
  </si>
  <si>
    <t>f-M_nsk_0</t>
  </si>
  <si>
    <t>a-ctlRais</t>
  </si>
  <si>
    <t>Cattle raising</t>
  </si>
  <si>
    <t>Cattle for meat</t>
  </si>
  <si>
    <t>c-ctlRais</t>
  </si>
  <si>
    <t>a-ctlRais_0</t>
  </si>
  <si>
    <t>c-ctlRais_0</t>
  </si>
  <si>
    <t>pnest!C2</t>
  </si>
  <si>
    <t>subsElas</t>
  </si>
  <si>
    <t>a-otpEle</t>
  </si>
  <si>
    <t>Road transport standard</t>
  </si>
  <si>
    <t xml:space="preserve">Electrified road transport </t>
  </si>
  <si>
    <t>c-otpEle</t>
  </si>
  <si>
    <t>Road transport standard electrified</t>
  </si>
  <si>
    <t>Other transport industry standard</t>
  </si>
  <si>
    <t>Other transport industry standard, electrified</t>
  </si>
  <si>
    <t>a-otpEle_0</t>
  </si>
  <si>
    <t>c-otpEle_0</t>
  </si>
  <si>
    <t>depr</t>
  </si>
  <si>
    <t>enerGas</t>
  </si>
  <si>
    <t>HousEner</t>
  </si>
  <si>
    <t>Only used if AEZ not found</t>
  </si>
  <si>
    <t>Immobile; Numbers for activities are activity specific factor supply elasticities</t>
  </si>
  <si>
    <t>All activities not in agrLab and manulab, automatically assigned to not listed activities</t>
  </si>
  <si>
    <t>All activities, automatically assigned to all actibitiy as no entry</t>
  </si>
  <si>
    <t>All labor categories have the segments defined agrLab, manuLab, restLab</t>
  </si>
  <si>
    <t>Gender differentiated labor and the 5 skill levels are never active simultaneously</t>
  </si>
  <si>
    <t>cropLand by AEZ</t>
  </si>
  <si>
    <t>grassland by AEZ</t>
  </si>
  <si>
    <t>agrland by AEZ</t>
  </si>
  <si>
    <t>Total land by AEZ, aggregated to aez_land (total land) in production function</t>
  </si>
  <si>
    <t>f-water_0</t>
  </si>
  <si>
    <t>f-water</t>
  </si>
  <si>
    <t>t-water</t>
  </si>
  <si>
    <t>Water as primary factor</t>
  </si>
  <si>
    <t>Land in AEZ1</t>
  </si>
  <si>
    <t>Land in AEZ2</t>
  </si>
  <si>
    <t>Land in AEZ3</t>
  </si>
  <si>
    <t>Land in AEZ4</t>
  </si>
  <si>
    <t>Land in AEZ5</t>
  </si>
  <si>
    <t>Land in AEZ6</t>
  </si>
  <si>
    <t>Land in AEZ7</t>
  </si>
  <si>
    <t>Land in AEZ8</t>
  </si>
  <si>
    <t>Land in AEZ9</t>
  </si>
  <si>
    <t>Land in AEZ10</t>
  </si>
  <si>
    <t>Land in AEZ11</t>
  </si>
  <si>
    <t>Land in AEZ12</t>
  </si>
  <si>
    <t>Land in AEZ13</t>
  </si>
  <si>
    <t>Land in AEZ14</t>
  </si>
  <si>
    <t>Land in AEZ15</t>
  </si>
  <si>
    <t>Land in AEZ16</t>
  </si>
  <si>
    <t>Land in AEZ17</t>
  </si>
  <si>
    <t>Land in AEZ18</t>
  </si>
  <si>
    <t>Land taxes in AEZ1</t>
  </si>
  <si>
    <t>Land taxes in AEZ2</t>
  </si>
  <si>
    <t>Land taxes in AEZ3</t>
  </si>
  <si>
    <t>Land taxes in AEZ4</t>
  </si>
  <si>
    <t>Land taxes in AEZ5</t>
  </si>
  <si>
    <t>Land taxes in AEZ6</t>
  </si>
  <si>
    <t>Land taxes in AEZ7</t>
  </si>
  <si>
    <t>Land taxes in AEZ8</t>
  </si>
  <si>
    <t>Land taxes in AEZ9</t>
  </si>
  <si>
    <t>Land taxes in AEZ10</t>
  </si>
  <si>
    <t>Land taxes in AEZ11</t>
  </si>
  <si>
    <t>Land taxes in AEZ12</t>
  </si>
  <si>
    <t>Land taxes in AEZ13</t>
  </si>
  <si>
    <t>Land taxes in AEZ14</t>
  </si>
  <si>
    <t>Land taxes in AEZ15</t>
  </si>
  <si>
    <t>Land taxes in AEZ16</t>
  </si>
  <si>
    <t>Land taxes in AEZ17</t>
  </si>
  <si>
    <t>Land taxes in AEZ18</t>
  </si>
  <si>
    <t>Water factor taxes</t>
  </si>
  <si>
    <t>Labor taxes, female skilled</t>
  </si>
  <si>
    <t>Labor taxes, male skilled</t>
  </si>
  <si>
    <t>Labor taxes, female low skilled</t>
  </si>
  <si>
    <t>Labor taxes, male low skilled</t>
  </si>
  <si>
    <t>t-water_0</t>
  </si>
  <si>
    <t>mapk!C2</t>
  </si>
  <si>
    <t>labor!B1</t>
  </si>
  <si>
    <t>original: 17.5</t>
  </si>
  <si>
    <t>pnest!B6</t>
  </si>
  <si>
    <t>all</t>
  </si>
  <si>
    <t>cap_labsk_ener</t>
  </si>
  <si>
    <t>labsk_labus</t>
  </si>
  <si>
    <t>physProd</t>
  </si>
  <si>
    <t/>
  </si>
  <si>
    <t>a-PDR</t>
  </si>
  <si>
    <t>a-WHT</t>
  </si>
  <si>
    <t>a-GRO</t>
  </si>
  <si>
    <t>a-V_F</t>
  </si>
  <si>
    <t>a-OSD</t>
  </si>
  <si>
    <t>a-C_B</t>
  </si>
  <si>
    <t>a-PFB</t>
  </si>
  <si>
    <t>a-OCR</t>
  </si>
  <si>
    <t>a-CTL</t>
  </si>
  <si>
    <t>a-OAP</t>
  </si>
  <si>
    <t>a-RMK</t>
  </si>
  <si>
    <t>a-WOL</t>
  </si>
  <si>
    <t>a-FRS</t>
  </si>
  <si>
    <t>a-FSH</t>
  </si>
  <si>
    <t>a-COA</t>
  </si>
  <si>
    <t>a-OIL</t>
  </si>
  <si>
    <t>a-GAS</t>
  </si>
  <si>
    <t>a-OXT</t>
  </si>
  <si>
    <t>a-CMT</t>
  </si>
  <si>
    <t>a-OMT</t>
  </si>
  <si>
    <t>a-VOL</t>
  </si>
  <si>
    <t>a-MIL</t>
  </si>
  <si>
    <t>a-PCR</t>
  </si>
  <si>
    <t>a-SGR</t>
  </si>
  <si>
    <t>a-OFD</t>
  </si>
  <si>
    <t>a-B_T</t>
  </si>
  <si>
    <t>a-TEX</t>
  </si>
  <si>
    <t>a-WAP</t>
  </si>
  <si>
    <t>a-LEA</t>
  </si>
  <si>
    <t>a-LUM</t>
  </si>
  <si>
    <t>a-PPP</t>
  </si>
  <si>
    <t>a-P_C</t>
  </si>
  <si>
    <t>a-CHM</t>
  </si>
  <si>
    <t>a-BPH</t>
  </si>
  <si>
    <t>a-RPP</t>
  </si>
  <si>
    <t>a-NMM</t>
  </si>
  <si>
    <t>a-I_S</t>
  </si>
  <si>
    <t>a-NFM</t>
  </si>
  <si>
    <t>a-FMP</t>
  </si>
  <si>
    <t>a-ELE</t>
  </si>
  <si>
    <t>a-EEQ</t>
  </si>
  <si>
    <t>a-OME</t>
  </si>
  <si>
    <t>a-MVH</t>
  </si>
  <si>
    <t>a-OTN</t>
  </si>
  <si>
    <t>a-OMF</t>
  </si>
  <si>
    <t>a-GDT</t>
  </si>
  <si>
    <t>a-WTR</t>
  </si>
  <si>
    <t>a-CNS</t>
  </si>
  <si>
    <t>a-TRD</t>
  </si>
  <si>
    <t>a-AFS</t>
  </si>
  <si>
    <t>a-OTP</t>
  </si>
  <si>
    <t>Eps</t>
  </si>
  <si>
    <t>a-WTP</t>
  </si>
  <si>
    <t>a-ATP</t>
  </si>
  <si>
    <t>a-WHS</t>
  </si>
  <si>
    <t>a-CMN</t>
  </si>
  <si>
    <t>a-OFI</t>
  </si>
  <si>
    <t>a-INS</t>
  </si>
  <si>
    <t>a-RSA</t>
  </si>
  <si>
    <t>a-OBS</t>
  </si>
  <si>
    <t>a-ROS</t>
  </si>
  <si>
    <t>a-OSG</t>
  </si>
  <si>
    <t>a-EDU</t>
  </si>
  <si>
    <t>a-HHT</t>
  </si>
  <si>
    <t>a-DWE</t>
  </si>
  <si>
    <t>nd_wtr_land</t>
  </si>
  <si>
    <t>crops_land</t>
  </si>
  <si>
    <t>Factor supply distribution across institutions</t>
  </si>
  <si>
    <t>xfmSupDistrInst</t>
  </si>
  <si>
    <t>hohPar!B15</t>
  </si>
  <si>
    <t>Trans</t>
  </si>
  <si>
    <t>privTrs</t>
  </si>
  <si>
    <t>privTrsEner</t>
  </si>
  <si>
    <t>privTrsRest</t>
  </si>
  <si>
    <t>f-m_tech_aspros</t>
  </si>
  <si>
    <t>f-m_service_shop</t>
  </si>
  <si>
    <t>f-m_off_mgr_pros</t>
  </si>
  <si>
    <t>f-m_ag_othlowsk</t>
  </si>
  <si>
    <t>Technicians and associate professionals, male</t>
  </si>
  <si>
    <t>Clerks, male</t>
  </si>
  <si>
    <t>Service and shop workers, male</t>
  </si>
  <si>
    <t>Senior officials and managers, professionals, male</t>
  </si>
  <si>
    <t>Agricultural and other low skiled labor, male</t>
  </si>
  <si>
    <t>f-f_tech_aspros</t>
  </si>
  <si>
    <t>f-f_service_shop</t>
  </si>
  <si>
    <t>f-f_off_mgr_pros</t>
  </si>
  <si>
    <t>f-f_ag_othlowsk</t>
  </si>
  <si>
    <t>Technicians and associate professionals, female</t>
  </si>
  <si>
    <t>Clerks, female</t>
  </si>
  <si>
    <t>Service and shop workers, female</t>
  </si>
  <si>
    <t>Senior officials and managers, professionals, female</t>
  </si>
  <si>
    <t>Agricultural and other low skiled labor, female</t>
  </si>
  <si>
    <t>f-m_clerks</t>
  </si>
  <si>
    <t>Labor taxes, Clerks, male</t>
  </si>
  <si>
    <t>Labor taxes, Service and shop workers, male</t>
  </si>
  <si>
    <t>Labor taxes, Senior officials and managers, professionals, male</t>
  </si>
  <si>
    <t>Labor taxes, Agricultural and other low skiled labor, male</t>
  </si>
  <si>
    <t>Labor taxes, Technicians and associate professionals, female</t>
  </si>
  <si>
    <t>Labor taxes, Clerks, female</t>
  </si>
  <si>
    <t>Labor taxes, Service and shop workers, female</t>
  </si>
  <si>
    <t>Labor taxes, Senior officials and managers, professionals, female</t>
  </si>
  <si>
    <t>Labor taxes, Agricultural and other low skiled labor, female</t>
  </si>
  <si>
    <t>t-m_tech_aspros</t>
  </si>
  <si>
    <t>t-m_clerks</t>
  </si>
  <si>
    <t>t-m_service_shop</t>
  </si>
  <si>
    <t>t-m_off_mgr_pros</t>
  </si>
  <si>
    <t>t-m_ag_othlowsk</t>
  </si>
  <si>
    <t>t-f_tech_aspros</t>
  </si>
  <si>
    <t>t-f_service_shop</t>
  </si>
  <si>
    <t>t-f_off_mgr_pros</t>
  </si>
  <si>
    <t>t-f_ag_othlowsk</t>
  </si>
  <si>
    <t>f-m_tech_aspros_0</t>
  </si>
  <si>
    <t>f-m_clerks_0</t>
  </si>
  <si>
    <t>f-m_service_shop_0</t>
  </si>
  <si>
    <t>f-m_off_mgr_pros_0</t>
  </si>
  <si>
    <t>f-m_ag_othlowsk_0</t>
  </si>
  <si>
    <t>f-f_tech_aspros_0</t>
  </si>
  <si>
    <t>f-f_service_shop_0</t>
  </si>
  <si>
    <t>f-f_off_mgr_pros_0</t>
  </si>
  <si>
    <t>t-m_tech_aspros_0</t>
  </si>
  <si>
    <t>t-m_clerks_0</t>
  </si>
  <si>
    <t>t-m_service_shop_0</t>
  </si>
  <si>
    <t>t-m_off_mgr_pros_0</t>
  </si>
  <si>
    <t>t-m_ag_othlowsk_0</t>
  </si>
  <si>
    <t>t-f_tech_aspros_0</t>
  </si>
  <si>
    <t>t-f_service_shop_0</t>
  </si>
  <si>
    <t>t-f_off_mgr_pros_0</t>
  </si>
  <si>
    <t>f-f_clerks</t>
  </si>
  <si>
    <t>f-f_clerks_0</t>
  </si>
  <si>
    <t>t-f_clerks</t>
  </si>
  <si>
    <t>Labor taxes, Technicians and associate professionals, male</t>
  </si>
  <si>
    <t>t-f_clerks_0</t>
  </si>
  <si>
    <t>f-f_ag_othlowsk_0</t>
  </si>
  <si>
    <t>t-f_ag_othlowsk_0</t>
  </si>
  <si>
    <t>Age lt 15</t>
  </si>
  <si>
    <t>Age 15-64</t>
  </si>
  <si>
    <t>Age gt 64</t>
  </si>
  <si>
    <t>All ages</t>
  </si>
  <si>
    <t>PhiRDtoes</t>
  </si>
  <si>
    <t>Supfgrowth</t>
  </si>
  <si>
    <t>Varia</t>
  </si>
  <si>
    <t>a-solarP</t>
  </si>
  <si>
    <t>a-windBL</t>
  </si>
  <si>
    <t>rhoEn</t>
  </si>
  <si>
    <t>sigmaxpvt</t>
  </si>
  <si>
    <t>obsol</t>
  </si>
  <si>
    <t>fgrowthDef</t>
  </si>
  <si>
    <t>interestRD</t>
  </si>
  <si>
    <t>a-coalP</t>
  </si>
  <si>
    <t>a-gasP</t>
  </si>
  <si>
    <t>a-otherP</t>
  </si>
  <si>
    <t xml:space="preserve">size of stepping on toes effect </t>
  </si>
  <si>
    <t>larger value = smaller R&amp;D response to change in revenue; 1 = no response; no value = R&amp;D mechanism is switched off</t>
  </si>
  <si>
    <t>supernormal growth</t>
  </si>
  <si>
    <t>difference between the productivity growth of the sector and the balanced growth path of the economy; 0 = the sector does not grow faster</t>
  </si>
  <si>
    <t>PrvRD</t>
  </si>
  <si>
    <t>Private R&amp;D share of GDP</t>
  </si>
  <si>
    <t>fraction of innovations that go to inventions (inventions are not bounded by the frontier)</t>
  </si>
  <si>
    <t>elasticity of substitution between processes</t>
  </si>
  <si>
    <t>baseyear obsolescence rate</t>
  </si>
  <si>
    <t>interest rate considered by the R&amp;D firms</t>
  </si>
  <si>
    <t>growth of the frontier</t>
  </si>
  <si>
    <t>endogenous tech change parameters</t>
  </si>
  <si>
    <t>EnTPar</t>
  </si>
  <si>
    <t>stepping on toes effect</t>
  </si>
  <si>
    <t>supernormal growth of sectors</t>
  </si>
  <si>
    <t>EnTech!D5</t>
  </si>
  <si>
    <t>EnTech!A5</t>
  </si>
  <si>
    <t>EnTech!G5</t>
  </si>
  <si>
    <t>labor</t>
  </si>
  <si>
    <t>intensMargElas</t>
  </si>
  <si>
    <t>omegaCETShort</t>
  </si>
  <si>
    <t>factSupElasShort</t>
  </si>
  <si>
    <t>fmNest!B9</t>
  </si>
  <si>
    <t>f-gas</t>
  </si>
  <si>
    <t>ElecHeat</t>
  </si>
  <si>
    <t>Build</t>
  </si>
  <si>
    <t>ManuCons</t>
  </si>
  <si>
    <t>OthEner</t>
  </si>
  <si>
    <t>Waste</t>
  </si>
  <si>
    <t>Agri</t>
  </si>
  <si>
    <t>LULUCF</t>
  </si>
  <si>
    <t>BunkerFuels</t>
  </si>
  <si>
    <t>GTAPVersion</t>
  </si>
  <si>
    <t>gtapData11c</t>
  </si>
  <si>
    <t>gtapVersion</t>
  </si>
  <si>
    <t>BaseYear</t>
  </si>
  <si>
    <t>c-care</t>
  </si>
  <si>
    <t>Care economy</t>
  </si>
  <si>
    <t>a-care</t>
  </si>
  <si>
    <t>a-care_0</t>
  </si>
  <si>
    <t>c-care_0</t>
  </si>
  <si>
    <t>care_hht</t>
  </si>
  <si>
    <t>+Inf</t>
  </si>
  <si>
    <t>bas</t>
  </si>
  <si>
    <t>elecPrice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</si>
  <si>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</si>
  <si>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</si>
  <si>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</si>
  <si>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</si>
  <si>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</si>
  <si>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</si>
  <si>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</si>
  <si>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</si>
  <si>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</si>
  <si>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</si>
  <si>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</si>
  <si>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</si>
  <si>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</si>
  <si>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</si>
  <si>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</si>
  <si>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</si>
  <si>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</si>
  <si>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</si>
  <si>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</si>
  <si>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</si>
  <si>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</si>
  <si>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</si>
  <si>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</si>
  <si>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</si>
  <si>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</si>
  <si>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</si>
  <si>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</si>
  <si>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</si>
  <si>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</si>
  <si>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</si>
  <si>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</si>
  <si>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</si>
  <si>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</si>
  <si>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</si>
  <si>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</si>
  <si>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</si>
  <si>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</si>
  <si>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</si>
  <si>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</si>
  <si>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</si>
  <si>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</si>
  <si>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</si>
  <si>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</si>
  <si>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</si>
  <si>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</si>
  <si>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</si>
  <si>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</si>
  <si>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</si>
  <si>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</si>
  <si>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</si>
  <si>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</si>
  <si>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</si>
  <si>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</si>
  <si>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</si>
  <si>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</si>
  <si>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</si>
  <si>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</si>
  <si>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</si>
  <si>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</si>
  <si>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</si>
  <si>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</si>
  <si>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</si>
  <si>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</si>
  <si>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</si>
  <si>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</si>
  <si>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</si>
  <si>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</si>
  <si>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</si>
  <si>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</si>
  <si>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</si>
  <si>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</si>
  <si>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</si>
  <si>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</si>
  <si>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</si>
  <si>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</si>
  <si>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</si>
  <si>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</si>
  <si>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</si>
  <si>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</si>
  <si>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</si>
  <si>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</si>
  <si>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</si>
  <si>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</si>
  <si>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</si>
  <si>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c-OIL</t>
  </si>
  <si>
    <t>c-P_C</t>
  </si>
  <si>
    <t>demand</t>
  </si>
  <si>
    <t>pwm</t>
  </si>
  <si>
    <t>c-COA</t>
  </si>
  <si>
    <t>c-GAS</t>
  </si>
  <si>
    <t>NZ</t>
  </si>
  <si>
    <t>a-PDR_0</t>
  </si>
  <si>
    <t>a-WHT_0</t>
  </si>
  <si>
    <t>a-GRO_0</t>
  </si>
  <si>
    <t>a-V_F_0</t>
  </si>
  <si>
    <t>a-OSD_0</t>
  </si>
  <si>
    <t>a-C_B_0</t>
  </si>
  <si>
    <t>a-PFB_0</t>
  </si>
  <si>
    <t>a-OCR_0</t>
  </si>
  <si>
    <t>a-CTL_0</t>
  </si>
  <si>
    <t>a-OAP_0</t>
  </si>
  <si>
    <t>a-RMK_0</t>
  </si>
  <si>
    <t>a-WOL_0</t>
  </si>
  <si>
    <t>a-FRS_0</t>
  </si>
  <si>
    <t>a-FSH_0</t>
  </si>
  <si>
    <t>a-COA_0</t>
  </si>
  <si>
    <t>a-OIL_0</t>
  </si>
  <si>
    <t>a-GAS_0</t>
  </si>
  <si>
    <t>a-OXT_0</t>
  </si>
  <si>
    <t>a-CMT_0</t>
  </si>
  <si>
    <t>a-OMT_0</t>
  </si>
  <si>
    <t>a-VOL_0</t>
  </si>
  <si>
    <t>a-MIL_0</t>
  </si>
  <si>
    <t>a-PCR_0</t>
  </si>
  <si>
    <t>a-SGR_0</t>
  </si>
  <si>
    <t>a-OFD_0</t>
  </si>
  <si>
    <t>a-B_T_0</t>
  </si>
  <si>
    <t>a-TEX_0</t>
  </si>
  <si>
    <t>a-WAP_0</t>
  </si>
  <si>
    <t>a-LEA_0</t>
  </si>
  <si>
    <t>a-LUM_0</t>
  </si>
  <si>
    <t>a-PPP_0</t>
  </si>
  <si>
    <t>a-P_C_0</t>
  </si>
  <si>
    <t>a-CHM_0</t>
  </si>
  <si>
    <t>a-BPH_0</t>
  </si>
  <si>
    <t>a-RPP_0</t>
  </si>
  <si>
    <t>a-NMM_0</t>
  </si>
  <si>
    <t>a-I_S_0</t>
  </si>
  <si>
    <t>a-NFM_0</t>
  </si>
  <si>
    <t>a-FMP_0</t>
  </si>
  <si>
    <t>a-ELE_0</t>
  </si>
  <si>
    <t>a-EEQ_0</t>
  </si>
  <si>
    <t>a-OME_0</t>
  </si>
  <si>
    <t>a-MVH_0</t>
  </si>
  <si>
    <t>a-OTN_0</t>
  </si>
  <si>
    <t>a-OMF_0</t>
  </si>
  <si>
    <t>a-GDT_0</t>
  </si>
  <si>
    <t>a-WTR_0</t>
  </si>
  <si>
    <t>a-CNS_0</t>
  </si>
  <si>
    <t>a-TRD_0</t>
  </si>
  <si>
    <t>a-AFS_0</t>
  </si>
  <si>
    <t>a-OTP_0</t>
  </si>
  <si>
    <t>a-WTP_0</t>
  </si>
  <si>
    <t>a-ATP_0</t>
  </si>
  <si>
    <t>a-WHS_0</t>
  </si>
  <si>
    <t>a-CMN_0</t>
  </si>
  <si>
    <t>a-OFI_0</t>
  </si>
  <si>
    <t>a-INS_0</t>
  </si>
  <si>
    <t>a-RSA_0</t>
  </si>
  <si>
    <t>a-OBS_0</t>
  </si>
  <si>
    <t>a-ROS_0</t>
  </si>
  <si>
    <t>a-OSG_0</t>
  </si>
  <si>
    <t>a-EDU_0</t>
  </si>
  <si>
    <t>a-HHT_0</t>
  </si>
  <si>
    <t>a-DWE_0</t>
  </si>
  <si>
    <t>c-PDR_0</t>
  </si>
  <si>
    <t>c-WHT_0</t>
  </si>
  <si>
    <t>c-GRO_0</t>
  </si>
  <si>
    <t>c-V_F_0</t>
  </si>
  <si>
    <t>c-OSD_0</t>
  </si>
  <si>
    <t>c-C_B_0</t>
  </si>
  <si>
    <t>c-PFB_0</t>
  </si>
  <si>
    <t>c-OCR_0</t>
  </si>
  <si>
    <t>c-CTL_0</t>
  </si>
  <si>
    <t>c-OAP_0</t>
  </si>
  <si>
    <t>c-RMK_0</t>
  </si>
  <si>
    <t>c-WOL_0</t>
  </si>
  <si>
    <t>c-FRS_0</t>
  </si>
  <si>
    <t>c-FSH_0</t>
  </si>
  <si>
    <t>c-COA_0</t>
  </si>
  <si>
    <t>c-OIL_0</t>
  </si>
  <si>
    <t>c-GAS_0</t>
  </si>
  <si>
    <t>c-OXT_0</t>
  </si>
  <si>
    <t>c-CMT_0</t>
  </si>
  <si>
    <t>c-OMT_0</t>
  </si>
  <si>
    <t>c-VOL_0</t>
  </si>
  <si>
    <t>c-MIL_0</t>
  </si>
  <si>
    <t>c-PCR_0</t>
  </si>
  <si>
    <t>c-SGR_0</t>
  </si>
  <si>
    <t>c-OFD_0</t>
  </si>
  <si>
    <t>c-B_T_0</t>
  </si>
  <si>
    <t>c-TEX_0</t>
  </si>
  <si>
    <t>c-WAP_0</t>
  </si>
  <si>
    <t>c-LEA_0</t>
  </si>
  <si>
    <t>c-LUM_0</t>
  </si>
  <si>
    <t>c-PPP_0</t>
  </si>
  <si>
    <t>c-P_C_0</t>
  </si>
  <si>
    <t>c-CHM_0</t>
  </si>
  <si>
    <t>c-BPH_0</t>
  </si>
  <si>
    <t>c-RPP_0</t>
  </si>
  <si>
    <t>c-NMM_0</t>
  </si>
  <si>
    <t>c-I_S_0</t>
  </si>
  <si>
    <t>c-NFM_0</t>
  </si>
  <si>
    <t>c-FMP_0</t>
  </si>
  <si>
    <t>c-ELE_0</t>
  </si>
  <si>
    <t>c-EEQ_0</t>
  </si>
  <si>
    <t>c-OME_0</t>
  </si>
  <si>
    <t>c-MVH_0</t>
  </si>
  <si>
    <t>c-OTN_0</t>
  </si>
  <si>
    <t>c-OMF_0</t>
  </si>
  <si>
    <t>c-GDT_0</t>
  </si>
  <si>
    <t>c-WTR_0</t>
  </si>
  <si>
    <t>c-CNS_0</t>
  </si>
  <si>
    <t>c-TRD_0</t>
  </si>
  <si>
    <t>c-AFS_0</t>
  </si>
  <si>
    <t>c-OTP_0</t>
  </si>
  <si>
    <t>c-WTP_0</t>
  </si>
  <si>
    <t>c-ATP_0</t>
  </si>
  <si>
    <t>c-WHS_0</t>
  </si>
  <si>
    <t>c-CMN_0</t>
  </si>
  <si>
    <t>c-OFI_0</t>
  </si>
  <si>
    <t>c-INS_0</t>
  </si>
  <si>
    <t>c-RSA_0</t>
  </si>
  <si>
    <t>c-OBS_0</t>
  </si>
  <si>
    <t>c-ROS_0</t>
  </si>
  <si>
    <t>c-OSG_0</t>
  </si>
  <si>
    <t>c-EDU_0</t>
  </si>
  <si>
    <t>c-HHT_0</t>
  </si>
  <si>
    <t>c-DWE_0</t>
  </si>
  <si>
    <t>f-m_skl_0</t>
  </si>
  <si>
    <t>f-f_skl_0</t>
  </si>
  <si>
    <t>f-m_nsk_0</t>
  </si>
  <si>
    <t>f-f_nsk_0</t>
  </si>
  <si>
    <t>t-m_skl_0</t>
  </si>
  <si>
    <t>t-f_skl_0</t>
  </si>
  <si>
    <t>t-m_nsk_0</t>
  </si>
  <si>
    <t>t-f_nsk_0</t>
  </si>
  <si>
    <t>i-cgds_0</t>
  </si>
  <si>
    <t>c-PDR</t>
  </si>
  <si>
    <t>c-WHT</t>
  </si>
  <si>
    <t>c-GRO</t>
  </si>
  <si>
    <t>c-V_F</t>
  </si>
  <si>
    <t>c-OSD</t>
  </si>
  <si>
    <t>c-C_B</t>
  </si>
  <si>
    <t>c-PFB</t>
  </si>
  <si>
    <t>c-OCR</t>
  </si>
  <si>
    <t>c-CTL</t>
  </si>
  <si>
    <t>c-OAP</t>
  </si>
  <si>
    <t>c-RMK</t>
  </si>
  <si>
    <t>c-WOL</t>
  </si>
  <si>
    <t>c-FRS</t>
  </si>
  <si>
    <t>c-FSH</t>
  </si>
  <si>
    <t>c-CMT</t>
  </si>
  <si>
    <t>c-OMT</t>
  </si>
  <si>
    <t>c-VOL</t>
  </si>
  <si>
    <t>c-MIL</t>
  </si>
  <si>
    <t>c-PCR</t>
  </si>
  <si>
    <t>c-SGR</t>
  </si>
  <si>
    <t>c-OFD</t>
  </si>
  <si>
    <t>c-B_T</t>
  </si>
  <si>
    <t>c-LEA</t>
  </si>
  <si>
    <t>c-LUM</t>
  </si>
  <si>
    <t>c-TRD</t>
  </si>
  <si>
    <t>sum</t>
  </si>
  <si>
    <t>cal</t>
  </si>
  <si>
    <t>prot</t>
  </si>
  <si>
    <t>fat</t>
  </si>
  <si>
    <t>GovCons</t>
  </si>
  <si>
    <t>netExp</t>
  </si>
  <si>
    <t>savf</t>
  </si>
  <si>
    <t>DZA</t>
  </si>
  <si>
    <t>GAPVersion</t>
  </si>
  <si>
    <t>Age cohotrs</t>
  </si>
  <si>
    <t>Official Emission inventory - combustion</t>
  </si>
  <si>
    <t>Official Emission inventory - Process</t>
  </si>
  <si>
    <t>emiInventoryXP_OFF</t>
  </si>
  <si>
    <t>emiinv!A12</t>
  </si>
  <si>
    <t>f-f_tech_aspros_care</t>
  </si>
  <si>
    <t>f-f_service_shop_care</t>
  </si>
  <si>
    <t>f-f_off_mgr_pros_care</t>
  </si>
  <si>
    <t>f-f_ag_othlowsk_care</t>
  </si>
  <si>
    <t>f-f_clerks_care</t>
  </si>
  <si>
    <t>f-f_skl_care</t>
  </si>
  <si>
    <t>f-f_nsk_care</t>
  </si>
  <si>
    <t>f-f_service_shop_rest</t>
  </si>
  <si>
    <t>f-f_off_mgr_pros_rest</t>
  </si>
  <si>
    <t>f-f_ag_othlowsk_rest</t>
  </si>
  <si>
    <t>f-f_clerks_rest</t>
  </si>
  <si>
    <t>f-f_skl_rest</t>
  </si>
  <si>
    <t>f-f_nsk_rest</t>
  </si>
  <si>
    <t>f-f_tech_aspros_rest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</si>
</sst>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sz val="11"/>
      <color rgb="FF007400"/>
      <name val="Consolas"/>
      <family val="3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6"/>
      <name val="Calibri"/>
      <family val="2"/>
      <scheme val="minor"/>
    </font>
    <font>
      <b/>
      <sz val="22"/>
      <name val="Cambria"/>
      <family val="2"/>
      <scheme val="major"/>
    </font>
    <font>
      <sz val="11"/>
      <color theme="3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name val="Consolas"/>
      <family val="3"/>
    </font>
    <font>
      <sz val="11"/>
      <color theme="9" tint="-0.49998474074526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7F7F7F"/>
      </bottom>
      <diagonal/>
    </border>
    <border>
      <left/>
      <right/>
      <top style="thick">
        <color rgb="FF4D4D4D"/>
      </top>
      <bottom style="thick">
        <color rgb="FF4D4D4D"/>
      </bottom>
      <diagonal/>
    </border>
  </borders>
  <cellStyleXfs count="2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8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7" borderId="0" applyNumberFormat="0" applyAlignment="0" applyProtection="0">
      <alignment vertical="center"/>
    </xf>
    <xf numFmtId="0" fontId="14" fillId="0" borderId="0" applyNumberFormat="0" applyAlignment="0" applyProtection="0"/>
    <xf numFmtId="0" fontId="13" fillId="0" borderId="1" applyNumberFormat="0" applyAlignment="0" applyProtection="0"/>
    <xf numFmtId="0" fontId="11" fillId="14" borderId="0" applyNumberFormat="0" applyAlignment="0" applyProtection="0">
      <alignment vertical="center"/>
    </xf>
    <xf numFmtId="0" fontId="20" fillId="0" borderId="0" applyNumberFormat="0" applyAlignment="0" applyProtection="0">
      <alignment vertical="center"/>
    </xf>
    <xf numFmtId="0" fontId="1" fillId="16" borderId="0" applyNumberFormat="0" applyAlignment="0" applyProtection="0">
      <alignment vertical="center"/>
    </xf>
    <xf numFmtId="0" fontId="15" fillId="3" borderId="0" applyNumberFormat="0" applyBorder="0" applyAlignment="0" applyProtection="0"/>
    <xf numFmtId="0" fontId="18" fillId="0" borderId="0" applyNumberFormat="0" applyAlignment="0" applyProtection="0"/>
    <xf numFmtId="0" fontId="13" fillId="15" borderId="0" applyNumberFormat="0" applyAlignment="0" applyProtection="0">
      <alignment vertical="center"/>
    </xf>
    <xf numFmtId="0" fontId="13" fillId="0" borderId="2" applyNumberFormat="0" applyAlignment="0" applyProtection="0"/>
    <xf numFmtId="0" fontId="16" fillId="0" borderId="0" applyNumberFormat="0" applyAlignment="0" applyProtection="0">
      <alignment vertical="center"/>
    </xf>
    <xf numFmtId="0" fontId="17" fillId="0" borderId="0" applyNumberFormat="0" applyAlignment="0" applyProtection="0">
      <alignment vertical="center"/>
    </xf>
    <xf numFmtId="0" fontId="12" fillId="0" borderId="0" applyNumberFormat="0" applyAlignment="0" applyProtection="0">
      <alignment vertical="center"/>
    </xf>
    <xf numFmtId="0" fontId="21" fillId="0" borderId="0" applyNumberFormat="0" applyAlignment="0" applyProtection="0">
      <alignment vertical="center"/>
    </xf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2" fillId="0" borderId="0" xfId="0" applyFont="1"/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right"/>
    </xf>
    <xf numFmtId="11" fontId="0" fillId="0" borderId="0" xfId="0" applyNumberFormat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" fontId="0" fillId="0" borderId="0" xfId="1" applyNumberFormat="1" applyFon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43" fontId="0" fillId="0" borderId="0" xfId="0" applyNumberFormat="1"/>
    <xf numFmtId="0" fontId="10" fillId="0" borderId="0" xfId="0" applyFont="1" applyAlignment="1">
      <alignment vertical="center"/>
    </xf>
    <xf numFmtId="0" fontId="0" fillId="4" borderId="0" xfId="0" applyFill="1"/>
    <xf numFmtId="0" fontId="1" fillId="5" borderId="0" xfId="4"/>
    <xf numFmtId="0" fontId="1" fillId="5" borderId="0" xfId="4" applyAlignment="1">
      <alignment horizontal="right"/>
    </xf>
    <xf numFmtId="0" fontId="1" fillId="5" borderId="0" xfId="4" applyAlignment="1">
      <alignment vertical="center"/>
    </xf>
    <xf numFmtId="0" fontId="1" fillId="6" borderId="0" xfId="5"/>
    <xf numFmtId="2" fontId="1" fillId="7" borderId="0" xfId="6" applyNumberFormat="1"/>
    <xf numFmtId="0" fontId="1" fillId="7" borderId="0" xfId="6"/>
    <xf numFmtId="0" fontId="1" fillId="7" borderId="0" xfId="6" applyAlignment="1">
      <alignment horizontal="right"/>
    </xf>
    <xf numFmtId="0" fontId="1" fillId="8" borderId="0" xfId="7" applyAlignment="1">
      <alignment horizontal="left"/>
    </xf>
    <xf numFmtId="0" fontId="1" fillId="8" borderId="0" xfId="7"/>
    <xf numFmtId="0" fontId="1" fillId="8" borderId="0" xfId="7" applyAlignment="1">
      <alignment horizontal="right"/>
    </xf>
    <xf numFmtId="0" fontId="1" fillId="9" borderId="0" xfId="8"/>
    <xf numFmtId="0" fontId="1" fillId="9" borderId="0" xfId="8" applyAlignment="1">
      <alignment vertical="center"/>
    </xf>
    <xf numFmtId="0" fontId="1" fillId="10" borderId="0" xfId="9"/>
    <xf numFmtId="0" fontId="1" fillId="11" borderId="0" xfId="10"/>
    <xf numFmtId="165" fontId="1" fillId="11" borderId="0" xfId="10" applyNumberFormat="1"/>
    <xf numFmtId="164" fontId="1" fillId="11" borderId="0" xfId="10" applyNumberFormat="1"/>
    <xf numFmtId="11" fontId="1" fillId="11" borderId="0" xfId="10" applyNumberFormat="1"/>
    <xf numFmtId="0" fontId="16" fillId="0" borderId="0" xfId="0" applyFont="1"/>
    <xf numFmtId="0" fontId="16" fillId="18" borderId="0" xfId="3" applyFont="1" applyFill="1"/>
    <xf numFmtId="0" fontId="0" fillId="18" borderId="0" xfId="0" applyFill="1"/>
    <xf numFmtId="0" fontId="1" fillId="5" borderId="0" xfId="4" quotePrefix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23" fillId="2" borderId="0" xfId="0" applyFont="1" applyFill="1"/>
    <xf numFmtId="0" fontId="16" fillId="2" borderId="0" xfId="0" applyFont="1" applyFill="1"/>
    <xf numFmtId="0" fontId="24" fillId="22" borderId="0" xfId="0" applyFont="1" applyFill="1"/>
    <xf numFmtId="0" fontId="16" fillId="22" borderId="0" xfId="0" applyFont="1" applyFill="1"/>
    <xf numFmtId="0" fontId="16" fillId="20" borderId="0" xfId="0" applyFont="1" applyFill="1"/>
    <xf numFmtId="0" fontId="25" fillId="20" borderId="0" xfId="0" applyFont="1" applyFill="1"/>
    <xf numFmtId="0" fontId="24" fillId="20" borderId="0" xfId="0" applyFont="1" applyFill="1"/>
    <xf numFmtId="0" fontId="12" fillId="20" borderId="0" xfId="0" applyFont="1" applyFill="1"/>
    <xf numFmtId="0" fontId="16" fillId="23" borderId="0" xfId="0" applyFont="1" applyFill="1"/>
    <xf numFmtId="0" fontId="0" fillId="24" borderId="0" xfId="0" applyFill="1"/>
    <xf numFmtId="0" fontId="0" fillId="25" borderId="0" xfId="0" applyFill="1"/>
    <xf numFmtId="0" fontId="16" fillId="25" borderId="0" xfId="0" applyFont="1" applyFill="1"/>
    <xf numFmtId="0" fontId="0" fillId="26" borderId="0" xfId="0" applyFill="1"/>
    <xf numFmtId="0" fontId="0" fillId="27" borderId="0" xfId="0" applyFill="1"/>
    <xf numFmtId="0" fontId="12" fillId="19" borderId="0" xfId="0" applyFont="1" applyFill="1"/>
    <xf numFmtId="0" fontId="25" fillId="19" borderId="0" xfId="0" applyFont="1" applyFill="1"/>
    <xf numFmtId="0" fontId="24" fillId="21" borderId="0" xfId="0" applyFont="1" applyFill="1"/>
    <xf numFmtId="0" fontId="12" fillId="21" borderId="0" xfId="0" applyFont="1" applyFill="1"/>
    <xf numFmtId="0" fontId="25" fillId="21" borderId="0" xfId="0" applyFont="1" applyFill="1"/>
    <xf numFmtId="0" fontId="24" fillId="24" borderId="0" xfId="0" applyFont="1" applyFill="1"/>
    <xf numFmtId="0" fontId="12" fillId="24" borderId="0" xfId="0" applyFont="1" applyFill="1"/>
    <xf numFmtId="0" fontId="25" fillId="24" borderId="0" xfId="0" applyFont="1" applyFill="1"/>
    <xf numFmtId="0" fontId="0" fillId="28" borderId="0" xfId="0" applyFill="1"/>
    <xf numFmtId="0" fontId="12" fillId="28" borderId="0" xfId="0" applyFont="1" applyFill="1"/>
    <xf numFmtId="0" fontId="25" fillId="28" borderId="0" xfId="0" applyFont="1" applyFill="1"/>
    <xf numFmtId="0" fontId="0" fillId="29" borderId="0" xfId="0" applyFill="1"/>
    <xf numFmtId="0" fontId="0" fillId="30" borderId="0" xfId="0" applyFill="1"/>
    <xf numFmtId="0" fontId="12" fillId="31" borderId="0" xfId="0" applyFont="1" applyFill="1"/>
    <xf numFmtId="0" fontId="16" fillId="31" borderId="0" xfId="0" applyFont="1" applyFill="1"/>
    <xf numFmtId="0" fontId="26" fillId="28" borderId="0" xfId="0" applyFont="1" applyFill="1"/>
    <xf numFmtId="0" fontId="16" fillId="28" borderId="0" xfId="0" applyFont="1" applyFill="1"/>
    <xf numFmtId="0" fontId="0" fillId="32" borderId="0" xfId="0" applyFill="1"/>
    <xf numFmtId="0" fontId="26" fillId="32" borderId="0" xfId="0" applyFont="1" applyFill="1"/>
    <xf numFmtId="0" fontId="10" fillId="0" borderId="0" xfId="0" quotePrefix="1" applyFont="1" applyAlignment="1">
      <alignment vertical="center"/>
    </xf>
    <xf numFmtId="0" fontId="0" fillId="33" borderId="0" xfId="0" applyFill="1"/>
    <xf numFmtId="0" fontId="0" fillId="34" borderId="0" xfId="0" applyFill="1"/>
    <xf numFmtId="166" fontId="0" fillId="34" borderId="0" xfId="0" applyNumberFormat="1" applyFill="1"/>
    <xf numFmtId="166" fontId="0" fillId="24" borderId="0" xfId="0" applyNumberFormat="1" applyFill="1"/>
    <xf numFmtId="0" fontId="0" fillId="35" borderId="0" xfId="0" applyFill="1"/>
    <xf numFmtId="166" fontId="0" fillId="36" borderId="0" xfId="0" applyNumberFormat="1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23" borderId="0" xfId="0" applyFill="1"/>
    <xf numFmtId="0" fontId="0" fillId="31" borderId="0" xfId="0" applyFill="1"/>
    <xf numFmtId="0" fontId="0" fillId="21" borderId="0" xfId="0" quotePrefix="1" applyFill="1"/>
    <xf numFmtId="0" fontId="0" fillId="41" borderId="0" xfId="0" quotePrefix="1" applyFill="1"/>
    <xf numFmtId="0" fontId="0" fillId="41" borderId="0" xfId="0" applyFill="1"/>
    <xf numFmtId="166" fontId="0" fillId="2" borderId="0" xfId="0" applyNumberFormat="1" applyFill="1"/>
    <xf numFmtId="0" fontId="12" fillId="41" borderId="0" xfId="0" applyFont="1" applyFill="1"/>
    <xf numFmtId="0" fontId="25" fillId="41" borderId="0" xfId="0" applyFont="1" applyFill="1"/>
    <xf numFmtId="0" fontId="0" fillId="22" borderId="0" xfId="0" applyFill="1"/>
    <xf numFmtId="0" fontId="0" fillId="0" borderId="0" xfId="0" applyAlignment="1">
      <alignment vertical="top" wrapText="1"/>
    </xf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2" borderId="0" xfId="0" quotePrefix="1" applyFill="1"/>
    <xf numFmtId="0" fontId="0" fillId="44" borderId="0" xfId="0" quotePrefix="1" applyFill="1"/>
    <xf numFmtId="4" fontId="0" fillId="45" borderId="0" xfId="1" applyNumberFormat="1" applyFont="1" applyFill="1"/>
    <xf numFmtId="4" fontId="0" fillId="24" borderId="0" xfId="1" applyNumberFormat="1" applyFont="1" applyFill="1"/>
    <xf numFmtId="0" fontId="0" fillId="39" borderId="0" xfId="0" quotePrefix="1" applyFill="1"/>
    <xf numFmtId="0" fontId="22" fillId="0" borderId="0" xfId="0" quotePrefix="1" applyFont="1" applyAlignment="1">
      <alignment vertical="center"/>
    </xf>
    <xf numFmtId="0" fontId="16" fillId="0" borderId="0" xfId="0" quotePrefix="1" applyFont="1"/>
    <xf numFmtId="4" fontId="0" fillId="0" borderId="0" xfId="1" quotePrefix="1" applyNumberFormat="1" applyFont="1"/>
    <xf numFmtId="0" fontId="16" fillId="37" borderId="0" xfId="0" applyFont="1" applyFill="1"/>
    <xf numFmtId="0" fontId="1" fillId="5" borderId="0" xfId="4" quotePrefix="1" applyAlignment="1">
      <alignment vertical="center"/>
    </xf>
    <xf numFmtId="0" fontId="1" fillId="7" borderId="0" xfId="6" quotePrefix="1"/>
    <xf numFmtId="0" fontId="1" fillId="7" borderId="0" xfId="6" quotePrefix="1" applyAlignment="1">
      <alignment horizontal="left"/>
    </xf>
    <xf numFmtId="0" fontId="1" fillId="8" borderId="0" xfId="7" quotePrefix="1" applyAlignment="1">
      <alignment horizontal="left"/>
    </xf>
    <xf numFmtId="0" fontId="1" fillId="9" borderId="0" xfId="8" quotePrefix="1"/>
    <xf numFmtId="0" fontId="1" fillId="9" borderId="0" xfId="8" quotePrefix="1" applyAlignment="1">
      <alignment vertical="center"/>
    </xf>
    <xf numFmtId="0" fontId="1" fillId="10" borderId="0" xfId="9" quotePrefix="1"/>
    <xf numFmtId="0" fontId="1" fillId="11" borderId="0" xfId="10" quotePrefix="1"/>
    <xf numFmtId="0" fontId="1" fillId="6" borderId="0" xfId="5" quotePrefix="1"/>
    <xf numFmtId="0" fontId="16" fillId="25" borderId="0" xfId="0" quotePrefix="1" applyFont="1" applyFill="1"/>
    <xf numFmtId="11" fontId="0" fillId="0" borderId="0" xfId="0" quotePrefix="1" applyNumberFormat="1"/>
    <xf numFmtId="0" fontId="0" fillId="17" borderId="0" xfId="0" applyFill="1"/>
    <xf numFmtId="0" fontId="27" fillId="0" borderId="0" xfId="0" applyFont="1" applyAlignment="1">
      <alignment horizontal="left" wrapText="1"/>
    </xf>
    <xf numFmtId="0" fontId="27" fillId="0" borderId="0" xfId="0" applyFont="1" applyAlignment="1">
      <alignment horizontal="left" vertical="top" wrapText="1"/>
    </xf>
  </cellXfs>
  <cellStyles count="29">
    <cellStyle name="20 % - Akzent1" xfId="4" builtinId="30"/>
    <cellStyle name="20 % - Akzent2" xfId="5" builtinId="34"/>
    <cellStyle name="20 % - Akzent3" xfId="7" builtinId="38"/>
    <cellStyle name="20 % - Akzent4" xfId="8" builtinId="42"/>
    <cellStyle name="20 % - Akzent5" xfId="9" builtinId="46"/>
    <cellStyle name="20 % - Akzent6" xfId="10" builtinId="50"/>
    <cellStyle name="40 % - Akzent2" xfId="6" builtinId="35"/>
    <cellStyle name="Accent4 2" xfId="25" xr:uid="{00000000-0005-0000-0000-000007000000}"/>
    <cellStyle name="Accent6 2" xfId="26" xr:uid="{00000000-0005-0000-0000-000008000000}"/>
    <cellStyle name="Bad 2" xfId="17" xr:uid="{00000000-0005-0000-0000-000009000000}"/>
    <cellStyle name="Calculation 2" xfId="21" xr:uid="{00000000-0005-0000-0000-00000A000000}"/>
    <cellStyle name="Comma 2" xfId="28" xr:uid="{00000000-0005-0000-0000-00000B000000}"/>
    <cellStyle name="Comma 3" xfId="27" xr:uid="{00000000-0005-0000-0000-00000C000000}"/>
    <cellStyle name="Heading 1 2" xfId="12" xr:uid="{00000000-0005-0000-0000-00000D000000}"/>
    <cellStyle name="Heading 2 2" xfId="13" xr:uid="{00000000-0005-0000-0000-00000E000000}"/>
    <cellStyle name="Heading 3 2" xfId="14" xr:uid="{00000000-0005-0000-0000-00000F000000}"/>
    <cellStyle name="Heading 4 2" xfId="19" xr:uid="{00000000-0005-0000-0000-000010000000}"/>
    <cellStyle name="Komma" xfId="1" builtinId="3"/>
    <cellStyle name="Link" xfId="22" xr:uid="{00000000-0005-0000-0000-000012000000}"/>
    <cellStyle name="Normal 2" xfId="2" xr:uid="{00000000-0005-0000-0000-000013000000}"/>
    <cellStyle name="Notes" xfId="24" xr:uid="{00000000-0005-0000-0000-000014000000}"/>
    <cellStyle name="Output 2" xfId="11" xr:uid="{00000000-0005-0000-0000-000015000000}"/>
    <cellStyle name="Raw Data" xfId="15" xr:uid="{00000000-0005-0000-0000-000017000000}"/>
    <cellStyle name="Schlecht" xfId="3" builtinId="27"/>
    <cellStyle name="Standard" xfId="0" builtinId="0"/>
    <cellStyle name="Title 2" xfId="18" xr:uid="{00000000-0005-0000-0000-00001A000000}"/>
    <cellStyle name="Total 2" xfId="20" xr:uid="{00000000-0005-0000-0000-00001B000000}"/>
    <cellStyle name="Variables" xfId="16" xr:uid="{00000000-0005-0000-0000-00001C000000}"/>
    <cellStyle name="Warning" xfId="23" xr:uid="{00000000-0005-0000-0000-00001D000000}"/>
  </cellStyles>
  <dxfs count="18">
    <dxf>
      <fill>
        <patternFill>
          <bgColor rgb="FFE6E6E6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 style="thick">
          <color auto="1"/>
        </bottom>
        <vertical/>
        <horizontal/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7" defaultTableStyle="TableStyleMedium9" defaultPivotStyle="PivotStyleLight16">
    <tableStyle name="Firm Table 1" pivot="0" count="3" xr9:uid="{00000000-0011-0000-FFFF-FFFF00000000}">
      <tableStyleElement type="wholeTable" dxfId="17"/>
      <tableStyleElement type="headerRow" dxfId="16"/>
      <tableStyleElement type="firstColumn" dxfId="15"/>
    </tableStyle>
    <tableStyle name="Firm Table 2" pivot="0" count="2" xr9:uid="{00000000-0011-0000-FFFF-FFFF01000000}">
      <tableStyleElement type="headerRow" dxfId="14"/>
      <tableStyleElement type="firstColumn" dxfId="13"/>
    </tableStyle>
    <tableStyle name="Firm Table 3" pivot="0" count="2" xr9:uid="{00000000-0011-0000-FFFF-FFFF02000000}">
      <tableStyleElement type="headerRow" dxfId="12"/>
      <tableStyleElement type="firstColumn" dxfId="11"/>
    </tableStyle>
    <tableStyle name="Firm Table 4" pivot="0" count="3" xr9:uid="{00000000-0011-0000-FFFF-FFFF03000000}">
      <tableStyleElement type="wholeTable" dxfId="10"/>
      <tableStyleElement type="headerRow" dxfId="9"/>
      <tableStyleElement type="firstColumn" dxfId="8"/>
    </tableStyle>
    <tableStyle name="Firm Table 5" pivot="0" count="2" xr9:uid="{00000000-0011-0000-FFFF-FFFF04000000}">
      <tableStyleElement type="headerRow" dxfId="7"/>
      <tableStyleElement type="firstColumn" dxfId="6"/>
    </tableStyle>
    <tableStyle name="Firm Table 6" pivot="0" count="3" xr9:uid="{00000000-0011-0000-FFFF-FFFF05000000}">
      <tableStyleElement type="wholeTable" dxfId="5"/>
      <tableStyleElement type="headerRow" dxfId="4"/>
      <tableStyleElement type="firstColumn" dxfId="3"/>
    </tableStyle>
    <tableStyle name="Firm Table 7" pivot="0" count="3" xr9:uid="{00000000-0011-0000-FFFF-FFFF06000000}">
      <tableStyleElement type="headerRow" dxfId="2"/>
      <tableStyleElement type="firstColumn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7"/>
  <dimension ref="A1:V148"/>
  <sheetViews>
    <sheetView topLeftCell="A9" workbookViewId="0">
      <selection activeCell="B38" sqref="B38"/>
    </sheetView>
  </sheetViews>
  <sheetFormatPr baseColWidth="10" defaultColWidth="8.88671875" defaultRowHeight="14.4" x14ac:dyDescent="0.3"/>
  <cols>
    <col min="1" max="1" width="13.6640625" bestFit="1" customWidth="1"/>
    <col min="2" max="2" width="13.6640625" customWidth="1"/>
    <col min="3" max="3" width="56.88671875" customWidth="1"/>
    <col min="9" max="9" width="23" bestFit="1" customWidth="1"/>
    <col min="12" max="12" width="18.88671875" bestFit="1" customWidth="1"/>
    <col min="15" max="15" width="16.5546875" bestFit="1" customWidth="1"/>
    <col min="18" max="18" width="32" bestFit="1" customWidth="1"/>
  </cols>
  <sheetData>
    <row r="1" spans="1:22" x14ac:dyDescent="0.3">
      <c r="A1" t="s">
        <v>194</v>
      </c>
      <c r="D1" t="s">
        <v>195</v>
      </c>
      <c r="H1" t="s">
        <v>207</v>
      </c>
      <c r="K1" t="s">
        <v>208</v>
      </c>
      <c r="N1" t="s">
        <v>209</v>
      </c>
      <c r="Q1" t="s">
        <v>210</v>
      </c>
    </row>
    <row r="2" spans="1:22" x14ac:dyDescent="0.3">
      <c r="A2" s="18" t="s">
        <v>229</v>
      </c>
      <c r="B2" s="18" t="s">
        <v>291</v>
      </c>
      <c r="D2" t="s">
        <v>233</v>
      </c>
      <c r="E2" s="18" t="s">
        <v>291</v>
      </c>
      <c r="H2" t="s">
        <v>162</v>
      </c>
      <c r="I2" t="s">
        <v>35</v>
      </c>
      <c r="K2" s="4" t="s">
        <v>177</v>
      </c>
      <c r="L2" t="s">
        <v>197</v>
      </c>
      <c r="N2" s="9" t="s">
        <v>163</v>
      </c>
      <c r="O2" t="s">
        <v>37</v>
      </c>
      <c r="Q2" t="s">
        <v>187</v>
      </c>
      <c r="R2" t="str">
        <f>+I2&amp;" factor tax"</f>
        <v>Land factor tax</v>
      </c>
      <c r="T2">
        <v>1</v>
      </c>
      <c r="U2" t="s">
        <v>42</v>
      </c>
      <c r="V2" t="s">
        <v>292</v>
      </c>
    </row>
    <row r="3" spans="1:22" x14ac:dyDescent="0.3">
      <c r="A3" s="18" t="s">
        <v>236</v>
      </c>
      <c r="B3" s="18" t="s">
        <v>328</v>
      </c>
      <c r="D3" t="s">
        <v>240</v>
      </c>
      <c r="E3" s="18" t="s">
        <v>328</v>
      </c>
      <c r="H3" t="s">
        <v>356</v>
      </c>
      <c r="I3" t="s">
        <v>361</v>
      </c>
      <c r="K3" t="s">
        <v>178</v>
      </c>
      <c r="L3" t="s">
        <v>198</v>
      </c>
      <c r="N3" s="4" t="s">
        <v>129</v>
      </c>
      <c r="O3" t="s">
        <v>2</v>
      </c>
      <c r="Q3" t="s">
        <v>354</v>
      </c>
      <c r="R3" t="str">
        <f>+I3&amp;" factor tax"</f>
        <v>Skilled formal Labor factor tax</v>
      </c>
      <c r="T3">
        <v>2</v>
      </c>
      <c r="U3" t="s">
        <v>46</v>
      </c>
      <c r="V3" t="s">
        <v>293</v>
      </c>
    </row>
    <row r="4" spans="1:22" x14ac:dyDescent="0.3">
      <c r="A4" s="18" t="s">
        <v>242</v>
      </c>
      <c r="B4" s="18" t="s">
        <v>227</v>
      </c>
      <c r="D4" t="s">
        <v>139</v>
      </c>
      <c r="E4" s="18" t="s">
        <v>227</v>
      </c>
      <c r="H4" t="s">
        <v>357</v>
      </c>
      <c r="I4" t="s">
        <v>362</v>
      </c>
      <c r="K4" t="s">
        <v>179</v>
      </c>
      <c r="L4" t="s">
        <v>199</v>
      </c>
      <c r="N4" s="4" t="s">
        <v>168</v>
      </c>
      <c r="O4" t="s">
        <v>111</v>
      </c>
      <c r="Q4" t="s">
        <v>355</v>
      </c>
      <c r="R4" t="str">
        <f>+I4&amp;" factor tax"</f>
        <v>Unskilled formal Labor factor tax</v>
      </c>
      <c r="T4">
        <v>3</v>
      </c>
      <c r="U4" t="s">
        <v>47</v>
      </c>
      <c r="V4" t="s">
        <v>294</v>
      </c>
    </row>
    <row r="5" spans="1:22" x14ac:dyDescent="0.3">
      <c r="A5" s="18" t="s">
        <v>230</v>
      </c>
      <c r="B5" t="s">
        <v>305</v>
      </c>
      <c r="D5" t="s">
        <v>234</v>
      </c>
      <c r="E5" t="s">
        <v>305</v>
      </c>
      <c r="H5" t="s">
        <v>358</v>
      </c>
      <c r="I5" t="s">
        <v>196</v>
      </c>
      <c r="K5" t="s">
        <v>180</v>
      </c>
      <c r="L5" t="s">
        <v>200</v>
      </c>
      <c r="Q5" t="s">
        <v>188</v>
      </c>
      <c r="R5" t="str">
        <f>+I6&amp;" factor tax"</f>
        <v>Capital factor tax</v>
      </c>
      <c r="T5">
        <v>4</v>
      </c>
      <c r="U5" t="s">
        <v>48</v>
      </c>
      <c r="V5" t="s">
        <v>295</v>
      </c>
    </row>
    <row r="6" spans="1:22" x14ac:dyDescent="0.3">
      <c r="A6" s="18" t="s">
        <v>237</v>
      </c>
      <c r="B6" t="s">
        <v>306</v>
      </c>
      <c r="D6" t="s">
        <v>241</v>
      </c>
      <c r="E6" t="s">
        <v>306</v>
      </c>
      <c r="H6" s="4" t="s">
        <v>164</v>
      </c>
      <c r="I6" t="s">
        <v>1</v>
      </c>
      <c r="K6" t="s">
        <v>181</v>
      </c>
      <c r="L6" t="s">
        <v>201</v>
      </c>
      <c r="Q6" t="s">
        <v>189</v>
      </c>
      <c r="R6" t="str">
        <f>+I7&amp;" factor tax"</f>
        <v>Natural Resources factor tax</v>
      </c>
      <c r="T6">
        <v>5</v>
      </c>
      <c r="U6" t="s">
        <v>49</v>
      </c>
      <c r="V6" t="s">
        <v>296</v>
      </c>
    </row>
    <row r="7" spans="1:22" x14ac:dyDescent="0.3">
      <c r="A7" s="18" t="s">
        <v>243</v>
      </c>
      <c r="B7" t="s">
        <v>307</v>
      </c>
      <c r="D7" t="s">
        <v>140</v>
      </c>
      <c r="E7" t="s">
        <v>307</v>
      </c>
      <c r="H7" s="21" t="s">
        <v>359</v>
      </c>
      <c r="I7" t="s">
        <v>360</v>
      </c>
      <c r="K7" t="s">
        <v>182</v>
      </c>
      <c r="L7" t="s">
        <v>202</v>
      </c>
      <c r="Q7" t="s">
        <v>165</v>
      </c>
      <c r="R7" t="s">
        <v>38</v>
      </c>
      <c r="T7">
        <v>6</v>
      </c>
      <c r="U7" t="s">
        <v>131</v>
      </c>
      <c r="V7" t="s">
        <v>297</v>
      </c>
    </row>
    <row r="8" spans="1:22" x14ac:dyDescent="0.3">
      <c r="A8" s="18" t="s">
        <v>246</v>
      </c>
      <c r="B8" t="s">
        <v>329</v>
      </c>
      <c r="D8" t="s">
        <v>141</v>
      </c>
      <c r="E8" t="s">
        <v>329</v>
      </c>
      <c r="K8" t="s">
        <v>183</v>
      </c>
      <c r="L8" t="s">
        <v>203</v>
      </c>
      <c r="Q8" t="s">
        <v>166</v>
      </c>
      <c r="R8" t="s">
        <v>211</v>
      </c>
      <c r="T8">
        <v>7</v>
      </c>
      <c r="U8" t="s">
        <v>50</v>
      </c>
      <c r="V8" t="s">
        <v>298</v>
      </c>
    </row>
    <row r="9" spans="1:22" x14ac:dyDescent="0.3">
      <c r="A9" s="18" t="s">
        <v>250</v>
      </c>
      <c r="B9" t="s">
        <v>330</v>
      </c>
      <c r="D9" t="s">
        <v>170</v>
      </c>
      <c r="E9" t="s">
        <v>330</v>
      </c>
      <c r="K9" s="9" t="s">
        <v>184</v>
      </c>
      <c r="L9" t="s">
        <v>204</v>
      </c>
      <c r="Q9" t="s">
        <v>167</v>
      </c>
      <c r="R9" t="s">
        <v>212</v>
      </c>
      <c r="T9">
        <v>8</v>
      </c>
      <c r="U9" t="s">
        <v>51</v>
      </c>
      <c r="V9" t="s">
        <v>299</v>
      </c>
    </row>
    <row r="10" spans="1:22" x14ac:dyDescent="0.3">
      <c r="A10" s="18" t="s">
        <v>253</v>
      </c>
      <c r="B10" t="s">
        <v>308</v>
      </c>
      <c r="D10" t="s">
        <v>142</v>
      </c>
      <c r="E10" t="s">
        <v>308</v>
      </c>
      <c r="K10" s="9" t="s">
        <v>185</v>
      </c>
      <c r="L10" t="s">
        <v>205</v>
      </c>
      <c r="Q10" t="s">
        <v>173</v>
      </c>
      <c r="R10" t="s">
        <v>213</v>
      </c>
      <c r="T10">
        <v>9</v>
      </c>
      <c r="U10" t="s">
        <v>52</v>
      </c>
      <c r="V10" t="s">
        <v>300</v>
      </c>
    </row>
    <row r="11" spans="1:22" x14ac:dyDescent="0.3">
      <c r="A11" s="18" t="s">
        <v>256</v>
      </c>
      <c r="B11" t="s">
        <v>221</v>
      </c>
      <c r="D11" t="s">
        <v>143</v>
      </c>
      <c r="E11" t="s">
        <v>221</v>
      </c>
      <c r="K11" s="9" t="s">
        <v>186</v>
      </c>
      <c r="L11" t="s">
        <v>206</v>
      </c>
      <c r="Q11" t="s">
        <v>174</v>
      </c>
      <c r="R11" t="s">
        <v>214</v>
      </c>
      <c r="T11">
        <v>10</v>
      </c>
      <c r="U11" t="s">
        <v>53</v>
      </c>
      <c r="V11" t="s">
        <v>301</v>
      </c>
    </row>
    <row r="12" spans="1:22" x14ac:dyDescent="0.3">
      <c r="A12" s="18" t="s">
        <v>259</v>
      </c>
      <c r="B12" t="s">
        <v>331</v>
      </c>
      <c r="D12" t="s">
        <v>171</v>
      </c>
      <c r="E12" t="s">
        <v>331</v>
      </c>
      <c r="T12">
        <v>11</v>
      </c>
      <c r="U12" t="s">
        <v>54</v>
      </c>
      <c r="V12" t="s">
        <v>302</v>
      </c>
    </row>
    <row r="13" spans="1:22" x14ac:dyDescent="0.3">
      <c r="A13" s="18" t="s">
        <v>248</v>
      </c>
      <c r="B13" t="s">
        <v>309</v>
      </c>
      <c r="D13" t="s">
        <v>144</v>
      </c>
      <c r="E13" t="s">
        <v>309</v>
      </c>
      <c r="T13">
        <v>12</v>
      </c>
      <c r="U13" t="s">
        <v>55</v>
      </c>
      <c r="V13" t="s">
        <v>303</v>
      </c>
    </row>
    <row r="14" spans="1:22" x14ac:dyDescent="0.3">
      <c r="A14" s="18" t="s">
        <v>262</v>
      </c>
      <c r="B14" t="s">
        <v>310</v>
      </c>
      <c r="D14" t="s">
        <v>145</v>
      </c>
      <c r="E14" t="s">
        <v>310</v>
      </c>
      <c r="T14">
        <v>13</v>
      </c>
      <c r="U14" t="s">
        <v>56</v>
      </c>
      <c r="V14" t="s">
        <v>227</v>
      </c>
    </row>
    <row r="15" spans="1:22" x14ac:dyDescent="0.3">
      <c r="A15" s="18" t="s">
        <v>264</v>
      </c>
      <c r="B15" t="s">
        <v>311</v>
      </c>
      <c r="D15" t="s">
        <v>146</v>
      </c>
      <c r="E15" t="s">
        <v>311</v>
      </c>
      <c r="T15">
        <v>14</v>
      </c>
      <c r="U15" t="s">
        <v>57</v>
      </c>
      <c r="V15" t="s">
        <v>304</v>
      </c>
    </row>
    <row r="16" spans="1:22" x14ac:dyDescent="0.3">
      <c r="A16" s="18" t="s">
        <v>363</v>
      </c>
      <c r="B16" t="s">
        <v>312</v>
      </c>
      <c r="D16" t="s">
        <v>364</v>
      </c>
      <c r="E16" t="s">
        <v>312</v>
      </c>
      <c r="T16">
        <v>15</v>
      </c>
      <c r="U16" t="s">
        <v>41</v>
      </c>
    </row>
    <row r="17" spans="1:21" x14ac:dyDescent="0.3">
      <c r="A17" s="18" t="s">
        <v>267</v>
      </c>
      <c r="B17" t="s">
        <v>313</v>
      </c>
      <c r="D17" t="s">
        <v>268</v>
      </c>
      <c r="E17" t="s">
        <v>313</v>
      </c>
      <c r="T17">
        <v>16</v>
      </c>
      <c r="U17" t="s">
        <v>58</v>
      </c>
    </row>
    <row r="18" spans="1:21" x14ac:dyDescent="0.3">
      <c r="A18" s="18" t="s">
        <v>269</v>
      </c>
      <c r="B18" t="s">
        <v>314</v>
      </c>
      <c r="D18" t="s">
        <v>270</v>
      </c>
      <c r="E18" t="s">
        <v>314</v>
      </c>
      <c r="T18">
        <v>17</v>
      </c>
      <c r="U18" t="s">
        <v>43</v>
      </c>
    </row>
    <row r="19" spans="1:21" x14ac:dyDescent="0.3">
      <c r="A19" s="18" t="s">
        <v>271</v>
      </c>
      <c r="B19" t="s">
        <v>315</v>
      </c>
      <c r="D19" t="s">
        <v>272</v>
      </c>
      <c r="E19" t="s">
        <v>315</v>
      </c>
      <c r="T19">
        <v>18</v>
      </c>
      <c r="U19" t="s">
        <v>223</v>
      </c>
    </row>
    <row r="20" spans="1:21" x14ac:dyDescent="0.3">
      <c r="A20" s="18" t="s">
        <v>273</v>
      </c>
      <c r="B20" t="s">
        <v>332</v>
      </c>
      <c r="D20" t="s">
        <v>274</v>
      </c>
      <c r="E20" t="s">
        <v>332</v>
      </c>
      <c r="T20">
        <v>19</v>
      </c>
      <c r="U20" t="s">
        <v>59</v>
      </c>
    </row>
    <row r="21" spans="1:21" x14ac:dyDescent="0.3">
      <c r="A21" s="18" t="s">
        <v>275</v>
      </c>
      <c r="B21" t="s">
        <v>316</v>
      </c>
      <c r="D21" t="s">
        <v>276</v>
      </c>
      <c r="E21" t="s">
        <v>316</v>
      </c>
      <c r="T21">
        <v>20</v>
      </c>
      <c r="U21" t="s">
        <v>60</v>
      </c>
    </row>
    <row r="22" spans="1:21" x14ac:dyDescent="0.3">
      <c r="A22" s="18" t="s">
        <v>277</v>
      </c>
      <c r="B22" t="s">
        <v>317</v>
      </c>
      <c r="D22" t="s">
        <v>147</v>
      </c>
      <c r="E22" t="s">
        <v>317</v>
      </c>
      <c r="T22">
        <v>21</v>
      </c>
      <c r="U22" t="s">
        <v>61</v>
      </c>
    </row>
    <row r="23" spans="1:21" x14ac:dyDescent="0.3">
      <c r="A23" s="18" t="s">
        <v>278</v>
      </c>
      <c r="B23" t="s">
        <v>333</v>
      </c>
      <c r="D23" t="s">
        <v>279</v>
      </c>
      <c r="E23" t="s">
        <v>333</v>
      </c>
      <c r="T23">
        <v>22</v>
      </c>
      <c r="U23" t="s">
        <v>62</v>
      </c>
    </row>
    <row r="24" spans="1:21" x14ac:dyDescent="0.3">
      <c r="A24" s="18" t="s">
        <v>232</v>
      </c>
      <c r="B24" t="s">
        <v>334</v>
      </c>
      <c r="D24" t="s">
        <v>169</v>
      </c>
      <c r="E24" t="s">
        <v>190</v>
      </c>
      <c r="T24">
        <v>23</v>
      </c>
      <c r="U24" t="s">
        <v>63</v>
      </c>
    </row>
    <row r="25" spans="1:21" x14ac:dyDescent="0.3">
      <c r="A25" s="18" t="s">
        <v>239</v>
      </c>
      <c r="B25" t="s">
        <v>335</v>
      </c>
      <c r="D25" t="s">
        <v>148</v>
      </c>
      <c r="E25" t="s">
        <v>342</v>
      </c>
      <c r="T25">
        <v>24</v>
      </c>
      <c r="U25" t="s">
        <v>64</v>
      </c>
    </row>
    <row r="26" spans="1:21" x14ac:dyDescent="0.3">
      <c r="A26" s="18" t="s">
        <v>245</v>
      </c>
      <c r="B26" t="s">
        <v>336</v>
      </c>
      <c r="D26" t="s">
        <v>149</v>
      </c>
      <c r="E26" t="s">
        <v>341</v>
      </c>
      <c r="T26">
        <v>25</v>
      </c>
      <c r="U26" t="s">
        <v>65</v>
      </c>
    </row>
    <row r="27" spans="1:21" x14ac:dyDescent="0.3">
      <c r="A27" s="18" t="s">
        <v>249</v>
      </c>
      <c r="B27" t="s">
        <v>337</v>
      </c>
      <c r="D27" t="s">
        <v>150</v>
      </c>
      <c r="E27" t="s">
        <v>191</v>
      </c>
      <c r="T27">
        <v>26</v>
      </c>
      <c r="U27" t="s">
        <v>66</v>
      </c>
    </row>
    <row r="28" spans="1:21" x14ac:dyDescent="0.3">
      <c r="A28" s="18" t="s">
        <v>252</v>
      </c>
      <c r="B28" t="s">
        <v>338</v>
      </c>
      <c r="D28" t="s">
        <v>151</v>
      </c>
      <c r="E28" t="s">
        <v>192</v>
      </c>
      <c r="T28">
        <v>27</v>
      </c>
      <c r="U28" t="s">
        <v>67</v>
      </c>
    </row>
    <row r="29" spans="1:21" x14ac:dyDescent="0.3">
      <c r="A29" s="18" t="s">
        <v>255</v>
      </c>
      <c r="B29" t="s">
        <v>339</v>
      </c>
      <c r="D29" t="s">
        <v>152</v>
      </c>
      <c r="E29" t="s">
        <v>319</v>
      </c>
      <c r="T29">
        <v>28</v>
      </c>
      <c r="U29" t="s">
        <v>68</v>
      </c>
    </row>
    <row r="30" spans="1:21" x14ac:dyDescent="0.3">
      <c r="A30" s="18" t="s">
        <v>258</v>
      </c>
      <c r="B30" t="s">
        <v>340</v>
      </c>
      <c r="D30" t="s">
        <v>153</v>
      </c>
      <c r="E30" t="s">
        <v>1185</v>
      </c>
      <c r="T30">
        <v>29</v>
      </c>
      <c r="U30" t="s">
        <v>69</v>
      </c>
    </row>
    <row r="31" spans="1:21" x14ac:dyDescent="0.3">
      <c r="A31" s="18" t="s">
        <v>280</v>
      </c>
      <c r="B31" t="s">
        <v>341</v>
      </c>
      <c r="D31" t="s">
        <v>1187</v>
      </c>
      <c r="E31" t="s">
        <v>1188</v>
      </c>
      <c r="T31">
        <v>30</v>
      </c>
      <c r="U31" t="s">
        <v>70</v>
      </c>
    </row>
    <row r="32" spans="1:21" x14ac:dyDescent="0.3">
      <c r="A32" s="18" t="s">
        <v>281</v>
      </c>
      <c r="B32" t="s">
        <v>191</v>
      </c>
      <c r="D32" t="s">
        <v>154</v>
      </c>
      <c r="E32" t="s">
        <v>320</v>
      </c>
      <c r="T32">
        <v>31</v>
      </c>
      <c r="U32" t="s">
        <v>71</v>
      </c>
    </row>
    <row r="33" spans="1:21" x14ac:dyDescent="0.3">
      <c r="A33" s="18" t="s">
        <v>231</v>
      </c>
      <c r="B33" t="s">
        <v>192</v>
      </c>
      <c r="D33" t="s">
        <v>155</v>
      </c>
      <c r="E33" t="s">
        <v>321</v>
      </c>
      <c r="T33">
        <v>32</v>
      </c>
      <c r="U33" t="s">
        <v>44</v>
      </c>
    </row>
    <row r="34" spans="1:21" x14ac:dyDescent="0.3">
      <c r="A34" s="18" t="s">
        <v>238</v>
      </c>
      <c r="B34" t="s">
        <v>319</v>
      </c>
      <c r="D34" t="s">
        <v>156</v>
      </c>
      <c r="E34" t="s">
        <v>322</v>
      </c>
      <c r="T34">
        <v>33</v>
      </c>
      <c r="U34" t="s">
        <v>224</v>
      </c>
    </row>
    <row r="35" spans="1:21" x14ac:dyDescent="0.3">
      <c r="A35" s="18" t="s">
        <v>244</v>
      </c>
      <c r="B35" t="s">
        <v>1185</v>
      </c>
      <c r="D35" s="5" t="s">
        <v>157</v>
      </c>
      <c r="E35" t="s">
        <v>323</v>
      </c>
      <c r="T35">
        <v>34</v>
      </c>
      <c r="U35" t="s">
        <v>225</v>
      </c>
    </row>
    <row r="36" spans="1:21" x14ac:dyDescent="0.3">
      <c r="A36" s="18" t="s">
        <v>1184</v>
      </c>
      <c r="B36" t="s">
        <v>1186</v>
      </c>
      <c r="D36" t="s">
        <v>158</v>
      </c>
      <c r="E36" t="s">
        <v>324</v>
      </c>
      <c r="T36">
        <v>35</v>
      </c>
      <c r="U36" t="s">
        <v>282</v>
      </c>
    </row>
    <row r="37" spans="1:21" x14ac:dyDescent="0.3">
      <c r="A37" s="18" t="s">
        <v>247</v>
      </c>
      <c r="B37" t="s">
        <v>320</v>
      </c>
      <c r="D37" t="s">
        <v>172</v>
      </c>
      <c r="E37" t="s">
        <v>325</v>
      </c>
      <c r="T37">
        <v>36</v>
      </c>
      <c r="U37" t="s">
        <v>72</v>
      </c>
    </row>
    <row r="38" spans="1:21" x14ac:dyDescent="0.3">
      <c r="A38" s="18" t="s">
        <v>251</v>
      </c>
      <c r="B38" t="s">
        <v>321</v>
      </c>
      <c r="D38" t="s">
        <v>159</v>
      </c>
      <c r="E38" t="s">
        <v>326</v>
      </c>
      <c r="T38">
        <v>37</v>
      </c>
      <c r="U38" t="s">
        <v>132</v>
      </c>
    </row>
    <row r="39" spans="1:21" x14ac:dyDescent="0.3">
      <c r="A39" s="18" t="s">
        <v>254</v>
      </c>
      <c r="B39" t="s">
        <v>322</v>
      </c>
      <c r="D39" t="s">
        <v>160</v>
      </c>
      <c r="E39" t="s">
        <v>193</v>
      </c>
      <c r="T39">
        <v>38</v>
      </c>
      <c r="U39" t="s">
        <v>73</v>
      </c>
    </row>
    <row r="40" spans="1:21" x14ac:dyDescent="0.3">
      <c r="A40" s="18" t="s">
        <v>257</v>
      </c>
      <c r="B40" t="s">
        <v>323</v>
      </c>
      <c r="D40" t="s">
        <v>161</v>
      </c>
      <c r="E40" t="s">
        <v>327</v>
      </c>
      <c r="T40">
        <v>39</v>
      </c>
      <c r="U40" t="s">
        <v>74</v>
      </c>
    </row>
    <row r="41" spans="1:21" x14ac:dyDescent="0.3">
      <c r="A41" s="18" t="s">
        <v>260</v>
      </c>
      <c r="B41" t="s">
        <v>324</v>
      </c>
      <c r="T41">
        <v>40</v>
      </c>
      <c r="U41" t="s">
        <v>77</v>
      </c>
    </row>
    <row r="42" spans="1:21" x14ac:dyDescent="0.3">
      <c r="A42" s="18" t="s">
        <v>261</v>
      </c>
      <c r="B42" t="s">
        <v>325</v>
      </c>
      <c r="T42">
        <v>41</v>
      </c>
      <c r="U42" t="s">
        <v>283</v>
      </c>
    </row>
    <row r="43" spans="1:21" x14ac:dyDescent="0.3">
      <c r="A43" s="18" t="s">
        <v>263</v>
      </c>
      <c r="B43" t="s">
        <v>326</v>
      </c>
      <c r="T43">
        <v>42</v>
      </c>
      <c r="U43" t="s">
        <v>78</v>
      </c>
    </row>
    <row r="44" spans="1:21" x14ac:dyDescent="0.3">
      <c r="A44" s="18" t="s">
        <v>265</v>
      </c>
      <c r="B44" t="s">
        <v>193</v>
      </c>
      <c r="T44">
        <v>43</v>
      </c>
      <c r="U44" t="s">
        <v>75</v>
      </c>
    </row>
    <row r="45" spans="1:21" x14ac:dyDescent="0.3">
      <c r="A45" s="18" t="s">
        <v>266</v>
      </c>
      <c r="B45" t="s">
        <v>327</v>
      </c>
      <c r="T45">
        <v>44</v>
      </c>
      <c r="U45" t="s">
        <v>76</v>
      </c>
    </row>
    <row r="46" spans="1:21" x14ac:dyDescent="0.3">
      <c r="A46" s="18"/>
      <c r="T46">
        <v>45</v>
      </c>
      <c r="U46" t="s">
        <v>79</v>
      </c>
    </row>
    <row r="47" spans="1:21" x14ac:dyDescent="0.3">
      <c r="A47" s="18"/>
      <c r="T47">
        <v>46</v>
      </c>
      <c r="U47" t="s">
        <v>318</v>
      </c>
    </row>
    <row r="48" spans="1:21" x14ac:dyDescent="0.3">
      <c r="A48" s="18"/>
      <c r="T48">
        <v>47</v>
      </c>
      <c r="U48" t="s">
        <v>45</v>
      </c>
    </row>
    <row r="49" spans="1:21" x14ac:dyDescent="0.3">
      <c r="A49" s="18"/>
      <c r="B49" s="18"/>
      <c r="T49">
        <v>48</v>
      </c>
      <c r="U49" t="s">
        <v>80</v>
      </c>
    </row>
    <row r="50" spans="1:21" x14ac:dyDescent="0.3">
      <c r="A50" s="18"/>
      <c r="B50" s="18"/>
      <c r="T50">
        <v>49</v>
      </c>
      <c r="U50" t="s">
        <v>81</v>
      </c>
    </row>
    <row r="51" spans="1:21" x14ac:dyDescent="0.3">
      <c r="A51" s="18"/>
      <c r="B51" s="18"/>
      <c r="T51">
        <v>50</v>
      </c>
      <c r="U51" t="s">
        <v>82</v>
      </c>
    </row>
    <row r="52" spans="1:21" x14ac:dyDescent="0.3">
      <c r="A52" s="18"/>
      <c r="B52" s="18"/>
      <c r="T52">
        <v>51</v>
      </c>
      <c r="U52" t="s">
        <v>284</v>
      </c>
    </row>
    <row r="53" spans="1:21" x14ac:dyDescent="0.3">
      <c r="A53" s="18"/>
      <c r="B53" s="18"/>
      <c r="T53">
        <v>52</v>
      </c>
      <c r="U53" t="s">
        <v>83</v>
      </c>
    </row>
    <row r="54" spans="1:21" x14ac:dyDescent="0.3">
      <c r="A54" s="18"/>
      <c r="B54" s="18"/>
      <c r="T54">
        <v>53</v>
      </c>
      <c r="U54" t="s">
        <v>84</v>
      </c>
    </row>
    <row r="55" spans="1:21" x14ac:dyDescent="0.3">
      <c r="A55" s="18"/>
      <c r="B55" s="18"/>
      <c r="T55">
        <v>54</v>
      </c>
      <c r="U55" t="s">
        <v>85</v>
      </c>
    </row>
    <row r="56" spans="1:21" x14ac:dyDescent="0.3">
      <c r="A56" s="18"/>
      <c r="B56" s="18"/>
      <c r="T56">
        <v>55</v>
      </c>
      <c r="U56" t="s">
        <v>285</v>
      </c>
    </row>
    <row r="57" spans="1:21" x14ac:dyDescent="0.3">
      <c r="A57" s="18"/>
      <c r="B57" s="18"/>
      <c r="T57">
        <v>56</v>
      </c>
      <c r="U57" t="s">
        <v>86</v>
      </c>
    </row>
    <row r="58" spans="1:21" x14ac:dyDescent="0.3">
      <c r="A58" s="18"/>
      <c r="B58" s="18"/>
      <c r="T58">
        <v>57</v>
      </c>
      <c r="U58" t="s">
        <v>87</v>
      </c>
    </row>
    <row r="59" spans="1:21" x14ac:dyDescent="0.3">
      <c r="A59" s="18"/>
      <c r="B59" s="18"/>
      <c r="T59">
        <v>58</v>
      </c>
      <c r="U59" t="s">
        <v>226</v>
      </c>
    </row>
    <row r="60" spans="1:21" x14ac:dyDescent="0.3">
      <c r="A60" s="18"/>
      <c r="B60" s="18"/>
      <c r="T60">
        <v>59</v>
      </c>
      <c r="U60" t="s">
        <v>286</v>
      </c>
    </row>
    <row r="61" spans="1:21" x14ac:dyDescent="0.3">
      <c r="A61" s="18"/>
      <c r="B61" s="18"/>
      <c r="T61">
        <v>60</v>
      </c>
      <c r="U61" t="s">
        <v>88</v>
      </c>
    </row>
    <row r="62" spans="1:21" x14ac:dyDescent="0.3">
      <c r="A62" s="18"/>
      <c r="B62" s="18"/>
      <c r="T62">
        <v>61</v>
      </c>
      <c r="U62" t="s">
        <v>89</v>
      </c>
    </row>
    <row r="63" spans="1:21" x14ac:dyDescent="0.3">
      <c r="A63" s="18"/>
      <c r="B63" s="18"/>
      <c r="T63">
        <v>62</v>
      </c>
      <c r="U63" t="s">
        <v>90</v>
      </c>
    </row>
    <row r="64" spans="1:21" x14ac:dyDescent="0.3">
      <c r="A64" s="18"/>
      <c r="B64" s="18"/>
      <c r="T64">
        <v>63</v>
      </c>
      <c r="U64" t="s">
        <v>287</v>
      </c>
    </row>
    <row r="65" spans="1:21" x14ac:dyDescent="0.3">
      <c r="A65" s="18"/>
      <c r="B65" s="18"/>
      <c r="T65">
        <v>64</v>
      </c>
      <c r="U65" t="s">
        <v>288</v>
      </c>
    </row>
    <row r="66" spans="1:21" x14ac:dyDescent="0.3">
      <c r="A66" s="18"/>
      <c r="B66" s="18"/>
      <c r="T66">
        <v>65</v>
      </c>
      <c r="U66" t="s">
        <v>91</v>
      </c>
    </row>
    <row r="67" spans="1:21" x14ac:dyDescent="0.3">
      <c r="A67" s="18"/>
      <c r="B67" s="18"/>
    </row>
    <row r="68" spans="1:21" x14ac:dyDescent="0.3">
      <c r="A68" s="18"/>
      <c r="B68" s="18"/>
    </row>
    <row r="69" spans="1:21" x14ac:dyDescent="0.3">
      <c r="A69" s="18"/>
      <c r="B69" s="18"/>
    </row>
    <row r="70" spans="1:21" x14ac:dyDescent="0.3">
      <c r="A70" s="18"/>
      <c r="B70" s="18"/>
    </row>
    <row r="71" spans="1:21" x14ac:dyDescent="0.3">
      <c r="A71" s="18"/>
      <c r="B71" s="18"/>
    </row>
    <row r="72" spans="1:21" x14ac:dyDescent="0.3">
      <c r="A72" s="18"/>
      <c r="B72" s="18"/>
    </row>
    <row r="73" spans="1:21" x14ac:dyDescent="0.3">
      <c r="A73" s="18"/>
      <c r="B73" s="18"/>
    </row>
    <row r="74" spans="1:21" x14ac:dyDescent="0.3">
      <c r="A74" s="18"/>
      <c r="B74" s="18"/>
    </row>
    <row r="75" spans="1:21" x14ac:dyDescent="0.3">
      <c r="A75" s="18"/>
      <c r="B75" s="18"/>
    </row>
    <row r="76" spans="1:21" x14ac:dyDescent="0.3">
      <c r="A76" s="18"/>
      <c r="B76" s="18"/>
    </row>
    <row r="77" spans="1:21" x14ac:dyDescent="0.3">
      <c r="A77" s="18"/>
      <c r="B77" s="18"/>
    </row>
    <row r="78" spans="1:21" x14ac:dyDescent="0.3">
      <c r="A78" s="18"/>
      <c r="B78" s="18"/>
    </row>
    <row r="79" spans="1:21" x14ac:dyDescent="0.3">
      <c r="A79" s="18"/>
      <c r="B79" s="18"/>
    </row>
    <row r="80" spans="1:21" x14ac:dyDescent="0.3">
      <c r="A80" s="18"/>
      <c r="B80" s="18"/>
    </row>
    <row r="81" spans="1:2" x14ac:dyDescent="0.3">
      <c r="A81" s="18"/>
      <c r="B81" s="18"/>
    </row>
    <row r="82" spans="1:2" x14ac:dyDescent="0.3">
      <c r="A82" s="18"/>
      <c r="B82" s="18"/>
    </row>
    <row r="83" spans="1:2" x14ac:dyDescent="0.3">
      <c r="A83" s="18"/>
      <c r="B83" s="18"/>
    </row>
    <row r="84" spans="1:2" x14ac:dyDescent="0.3">
      <c r="A84" s="18"/>
      <c r="B84" s="18"/>
    </row>
    <row r="85" spans="1:2" x14ac:dyDescent="0.3">
      <c r="A85" s="18"/>
      <c r="B85" s="18"/>
    </row>
    <row r="86" spans="1:2" x14ac:dyDescent="0.3">
      <c r="A86" s="18"/>
      <c r="B86" s="18"/>
    </row>
    <row r="87" spans="1:2" x14ac:dyDescent="0.3">
      <c r="A87" s="18"/>
      <c r="B87" s="18"/>
    </row>
    <row r="88" spans="1:2" x14ac:dyDescent="0.3">
      <c r="A88" s="18"/>
      <c r="B88" s="18"/>
    </row>
    <row r="89" spans="1:2" x14ac:dyDescent="0.3">
      <c r="A89" s="18"/>
      <c r="B89" s="18"/>
    </row>
    <row r="90" spans="1:2" x14ac:dyDescent="0.3">
      <c r="A90" s="18"/>
      <c r="B90" s="18"/>
    </row>
    <row r="91" spans="1:2" x14ac:dyDescent="0.3">
      <c r="A91" s="18"/>
      <c r="B91" s="18"/>
    </row>
    <row r="92" spans="1:2" x14ac:dyDescent="0.3">
      <c r="A92" s="18"/>
      <c r="B92" s="18"/>
    </row>
    <row r="93" spans="1:2" x14ac:dyDescent="0.3">
      <c r="A93" s="18"/>
      <c r="B93" s="18"/>
    </row>
    <row r="94" spans="1:2" x14ac:dyDescent="0.3">
      <c r="A94" s="18"/>
      <c r="B94" s="18"/>
    </row>
    <row r="95" spans="1:2" x14ac:dyDescent="0.3">
      <c r="A95" s="18"/>
      <c r="B95" s="18"/>
    </row>
    <row r="96" spans="1:2" x14ac:dyDescent="0.3">
      <c r="A96" s="18"/>
      <c r="B96" s="18"/>
    </row>
    <row r="97" spans="1:2" x14ac:dyDescent="0.3">
      <c r="A97" s="18"/>
      <c r="B97" s="18"/>
    </row>
    <row r="98" spans="1:2" x14ac:dyDescent="0.3">
      <c r="A98" s="18"/>
      <c r="B98" s="18"/>
    </row>
    <row r="99" spans="1:2" x14ac:dyDescent="0.3">
      <c r="A99" s="18"/>
      <c r="B99" s="18"/>
    </row>
    <row r="100" spans="1:2" x14ac:dyDescent="0.3">
      <c r="A100" s="18"/>
      <c r="B100" s="18"/>
    </row>
    <row r="101" spans="1:2" x14ac:dyDescent="0.3">
      <c r="A101" s="18"/>
      <c r="B101" s="18"/>
    </row>
    <row r="102" spans="1:2" x14ac:dyDescent="0.3">
      <c r="A102" s="18"/>
      <c r="B102" s="18"/>
    </row>
    <row r="103" spans="1:2" x14ac:dyDescent="0.3">
      <c r="A103" s="18"/>
      <c r="B103" s="18"/>
    </row>
    <row r="104" spans="1:2" x14ac:dyDescent="0.3">
      <c r="A104" s="18"/>
    </row>
    <row r="105" spans="1:2" x14ac:dyDescent="0.3">
      <c r="A105" s="18"/>
      <c r="B105" s="18"/>
    </row>
    <row r="106" spans="1:2" x14ac:dyDescent="0.3">
      <c r="A106" s="18"/>
      <c r="B106" s="18"/>
    </row>
    <row r="107" spans="1:2" x14ac:dyDescent="0.3">
      <c r="A107" s="18"/>
      <c r="B107" s="18"/>
    </row>
    <row r="108" spans="1:2" x14ac:dyDescent="0.3">
      <c r="A108" s="18"/>
      <c r="B108" s="18"/>
    </row>
    <row r="109" spans="1:2" x14ac:dyDescent="0.3">
      <c r="A109" s="18"/>
      <c r="B109" s="18"/>
    </row>
    <row r="110" spans="1:2" x14ac:dyDescent="0.3">
      <c r="A110" s="18"/>
      <c r="B110" s="18"/>
    </row>
    <row r="111" spans="1:2" x14ac:dyDescent="0.3">
      <c r="A111" s="18"/>
      <c r="B111" s="18"/>
    </row>
    <row r="112" spans="1:2" x14ac:dyDescent="0.3">
      <c r="A112" s="18"/>
      <c r="B112" s="18"/>
    </row>
    <row r="113" spans="1:2" x14ac:dyDescent="0.3">
      <c r="B113" s="18"/>
    </row>
    <row r="114" spans="1:2" x14ac:dyDescent="0.3">
      <c r="A114" s="18"/>
      <c r="B114" s="18"/>
    </row>
    <row r="115" spans="1:2" x14ac:dyDescent="0.3">
      <c r="A115" s="18"/>
      <c r="B115" s="18"/>
    </row>
    <row r="116" spans="1:2" x14ac:dyDescent="0.3">
      <c r="A116" s="18"/>
      <c r="B116" s="18"/>
    </row>
    <row r="117" spans="1:2" x14ac:dyDescent="0.3">
      <c r="A117" s="18"/>
      <c r="B117" s="18"/>
    </row>
    <row r="118" spans="1:2" x14ac:dyDescent="0.3">
      <c r="A118" s="18"/>
      <c r="B118" s="18"/>
    </row>
    <row r="119" spans="1:2" x14ac:dyDescent="0.3">
      <c r="A119" s="18"/>
      <c r="B119" s="18"/>
    </row>
    <row r="120" spans="1:2" x14ac:dyDescent="0.3">
      <c r="A120" s="18"/>
      <c r="B120" s="18"/>
    </row>
    <row r="121" spans="1:2" x14ac:dyDescent="0.3">
      <c r="A121" s="18"/>
      <c r="B121" s="18"/>
    </row>
    <row r="122" spans="1:2" x14ac:dyDescent="0.3">
      <c r="A122" s="18"/>
      <c r="B122" s="18"/>
    </row>
    <row r="123" spans="1:2" x14ac:dyDescent="0.3">
      <c r="A123" s="18"/>
      <c r="B123" s="18"/>
    </row>
    <row r="124" spans="1:2" x14ac:dyDescent="0.3">
      <c r="A124" s="18"/>
      <c r="B124" s="18"/>
    </row>
    <row r="125" spans="1:2" x14ac:dyDescent="0.3">
      <c r="A125" s="18"/>
      <c r="B125" s="18"/>
    </row>
    <row r="126" spans="1:2" x14ac:dyDescent="0.3">
      <c r="A126" s="18"/>
      <c r="B126" s="18"/>
    </row>
    <row r="127" spans="1:2" x14ac:dyDescent="0.3">
      <c r="A127" s="18"/>
      <c r="B127" s="18"/>
    </row>
    <row r="128" spans="1:2" x14ac:dyDescent="0.3">
      <c r="A128" s="18"/>
      <c r="B128" s="18"/>
    </row>
    <row r="129" spans="1:2" x14ac:dyDescent="0.3">
      <c r="A129" s="18"/>
      <c r="B129" s="18"/>
    </row>
    <row r="130" spans="1:2" x14ac:dyDescent="0.3">
      <c r="A130" s="18"/>
      <c r="B130" s="18"/>
    </row>
    <row r="131" spans="1:2" x14ac:dyDescent="0.3">
      <c r="A131" s="18"/>
      <c r="B131" s="18"/>
    </row>
    <row r="132" spans="1:2" x14ac:dyDescent="0.3">
      <c r="A132" s="18"/>
      <c r="B132" s="18"/>
    </row>
    <row r="133" spans="1:2" x14ac:dyDescent="0.3">
      <c r="A133" s="18"/>
      <c r="B133" s="18"/>
    </row>
    <row r="134" spans="1:2" x14ac:dyDescent="0.3">
      <c r="A134" s="18"/>
      <c r="B134" s="18"/>
    </row>
    <row r="135" spans="1:2" x14ac:dyDescent="0.3">
      <c r="A135" s="18"/>
      <c r="B135" s="18"/>
    </row>
    <row r="136" spans="1:2" x14ac:dyDescent="0.3">
      <c r="A136" s="18"/>
      <c r="B136" s="18"/>
    </row>
    <row r="137" spans="1:2" x14ac:dyDescent="0.3">
      <c r="A137" s="18"/>
      <c r="B137" s="18"/>
    </row>
    <row r="138" spans="1:2" x14ac:dyDescent="0.3">
      <c r="A138" s="18"/>
      <c r="B138" s="18"/>
    </row>
    <row r="139" spans="1:2" x14ac:dyDescent="0.3">
      <c r="A139" s="18"/>
      <c r="B139" s="18"/>
    </row>
    <row r="140" spans="1:2" x14ac:dyDescent="0.3">
      <c r="A140" s="18"/>
    </row>
    <row r="141" spans="1:2" x14ac:dyDescent="0.3">
      <c r="A141" s="18"/>
    </row>
    <row r="142" spans="1:2" x14ac:dyDescent="0.3">
      <c r="A142" s="18"/>
    </row>
    <row r="143" spans="1:2" x14ac:dyDescent="0.3">
      <c r="A143" s="18"/>
    </row>
    <row r="144" spans="1:2" x14ac:dyDescent="0.3">
      <c r="A144" s="18"/>
    </row>
    <row r="145" spans="1:1" x14ac:dyDescent="0.3">
      <c r="A145" s="18"/>
    </row>
    <row r="146" spans="1:1" x14ac:dyDescent="0.3">
      <c r="A146" s="18"/>
    </row>
    <row r="147" spans="1:1" x14ac:dyDescent="0.3">
      <c r="A147" s="18"/>
    </row>
    <row r="148" spans="1:1" x14ac:dyDescent="0.3">
      <c r="A148" s="18"/>
    </row>
  </sheetData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9"/>
  <dimension ref="A1:G51"/>
  <sheetViews>
    <sheetView topLeftCell="B1" workbookViewId="0">
      <selection activeCell="D27" sqref="D27"/>
    </sheetView>
  </sheetViews>
  <sheetFormatPr baseColWidth="10" defaultColWidth="8.88671875" defaultRowHeight="14.4" x14ac:dyDescent="0.3"/>
  <cols>
    <col min="1" max="1" width="56.21875" customWidth="1"/>
    <col min="3" max="3" width="18.33203125" bestFit="1" customWidth="1"/>
    <col min="4" max="4" width="20.109375" customWidth="1"/>
    <col min="5" max="5" width="15.109375" bestFit="1" customWidth="1"/>
    <col min="6" max="6" width="18.33203125" bestFit="1" customWidth="1"/>
    <col min="7" max="7" width="15.6640625" bestFit="1" customWidth="1"/>
  </cols>
  <sheetData>
    <row r="1" spans="1:7" x14ac:dyDescent="0.3">
      <c r="A1" s="8" t="s">
        <v>94</v>
      </c>
      <c r="C1" s="9"/>
      <c r="D1" s="9"/>
      <c r="E1" s="9"/>
      <c r="F1" s="9"/>
      <c r="G1" s="9"/>
    </row>
    <row r="2" spans="1:7" x14ac:dyDescent="0.3">
      <c r="B2" s="9"/>
      <c r="C2" s="9"/>
      <c r="D2" s="9"/>
      <c r="E2" s="9"/>
      <c r="F2" s="9"/>
      <c r="G2" s="9"/>
    </row>
    <row r="3" spans="1:7" x14ac:dyDescent="0.3">
      <c r="A3" s="10" t="s">
        <v>390</v>
      </c>
      <c r="B3" s="10" t="s">
        <v>95</v>
      </c>
      <c r="C3" s="10" t="s">
        <v>96</v>
      </c>
      <c r="D3" s="10" t="s">
        <v>97</v>
      </c>
      <c r="E3" s="10" t="s">
        <v>98</v>
      </c>
      <c r="F3" s="10" t="s">
        <v>99</v>
      </c>
      <c r="G3" s="10" t="s">
        <v>100</v>
      </c>
    </row>
    <row r="4" spans="1:7" x14ac:dyDescent="0.3">
      <c r="B4" s="11"/>
      <c r="C4" s="11"/>
      <c r="D4" s="11"/>
      <c r="E4" s="10" t="s">
        <v>101</v>
      </c>
      <c r="F4" s="10" t="s">
        <v>102</v>
      </c>
      <c r="G4" s="10" t="s">
        <v>103</v>
      </c>
    </row>
    <row r="5" spans="1:7" x14ac:dyDescent="0.3">
      <c r="A5" t="s">
        <v>926</v>
      </c>
      <c r="B5" t="s">
        <v>109</v>
      </c>
      <c r="C5" t="s">
        <v>105</v>
      </c>
      <c r="D5" s="9" t="str">
        <f>IF(B5="dset","Sets!"&amp;HLOOKUP(C5,sets!$B$2:$WY$3,2,)&amp;6,IF(B5="set","Maps!"&amp;HLOOKUP(C5,maps!$A$2:$YR$3,2,)&amp;6))</f>
        <v>Maps!A6</v>
      </c>
      <c r="E5">
        <v>2</v>
      </c>
    </row>
    <row r="6" spans="1:7" x14ac:dyDescent="0.3">
      <c r="A6" t="s">
        <v>927</v>
      </c>
      <c r="B6" t="s">
        <v>109</v>
      </c>
      <c r="C6" t="s">
        <v>108</v>
      </c>
      <c r="D6" s="9" t="str">
        <f>IF(B6="dset","Sets!"&amp;HLOOKUP(C6,sets!$B$2:$WY$3,2,)&amp;6,IF(B6="set","Maps!"&amp;HLOOKUP(C6,maps!$A$2:$YR$3,2,)&amp;6))</f>
        <v>Maps!D6</v>
      </c>
      <c r="E6">
        <v>2</v>
      </c>
    </row>
    <row r="7" spans="1:7" x14ac:dyDescent="0.3">
      <c r="A7" t="s">
        <v>928</v>
      </c>
      <c r="B7" t="s">
        <v>113</v>
      </c>
      <c r="C7" t="s">
        <v>20</v>
      </c>
      <c r="D7" s="9" t="str">
        <f>IF(B7="dset","Sets!"&amp;HLOOKUP(C7,sets!$B$2:$WY$3,2,)&amp;6,IF(B7="set","Maps!"&amp;HLOOKUP(C7,maps!$A$2:$YR$3,2,)&amp;6))</f>
        <v>Sets!B6</v>
      </c>
      <c r="E7">
        <v>1</v>
      </c>
    </row>
    <row r="8" spans="1:7" x14ac:dyDescent="0.3">
      <c r="A8" t="s">
        <v>929</v>
      </c>
      <c r="B8" t="s">
        <v>113</v>
      </c>
      <c r="C8" t="s">
        <v>8</v>
      </c>
      <c r="D8" s="9" t="str">
        <f>IF(B8="dset","Sets!"&amp;HLOOKUP(C8,sets!$B$2:$WY$3,2,)&amp;6,IF(B8="set","Maps!"&amp;HLOOKUP(C8,maps!$A$2:$YR$3,2,)&amp;6))</f>
        <v>Sets!G6</v>
      </c>
      <c r="E8">
        <v>1</v>
      </c>
    </row>
    <row r="9" spans="1:7" x14ac:dyDescent="0.3">
      <c r="A9" t="s">
        <v>930</v>
      </c>
      <c r="B9" t="s">
        <v>113</v>
      </c>
      <c r="C9" t="s">
        <v>222</v>
      </c>
      <c r="D9" s="9" t="str">
        <f>IF(B9="dset","Sets!"&amp;HLOOKUP(C9,sets!$B$2:$WY$3,2,)&amp;6,IF(B9="set","Maps!"&amp;HLOOKUP(C9,maps!$A$2:$YR$3,2,)&amp;6))</f>
        <v>Sets!S6</v>
      </c>
      <c r="E9">
        <v>1</v>
      </c>
    </row>
    <row r="10" spans="1:7" x14ac:dyDescent="0.3">
      <c r="A10" t="s">
        <v>931</v>
      </c>
      <c r="B10" t="s">
        <v>113</v>
      </c>
      <c r="C10" t="s">
        <v>117</v>
      </c>
      <c r="D10" s="9" t="str">
        <f>IF(B10="dset","Sets!"&amp;HLOOKUP(C10,sets!$B$2:$WY$3,2,)&amp;6,IF(B10="set","Maps!"&amp;HLOOKUP(C10,maps!$A$2:$YR$3,2,)&amp;6))</f>
        <v>Sets!H6</v>
      </c>
      <c r="E10">
        <v>1</v>
      </c>
    </row>
    <row r="11" spans="1:7" x14ac:dyDescent="0.3">
      <c r="A11" t="s">
        <v>932</v>
      </c>
      <c r="B11" t="s">
        <v>113</v>
      </c>
      <c r="C11" t="s">
        <v>19</v>
      </c>
      <c r="D11" s="9" t="str">
        <f>IF(B11="dset","Sets!"&amp;HLOOKUP(C11,sets!$B$2:$WY$3,2,)&amp;6,IF(B11="set","Maps!"&amp;HLOOKUP(C11,maps!$A$2:$YR$3,2,)&amp;6))</f>
        <v>Sets!I6</v>
      </c>
      <c r="E11">
        <v>1</v>
      </c>
    </row>
    <row r="12" spans="1:7" x14ac:dyDescent="0.3">
      <c r="A12" t="s">
        <v>933</v>
      </c>
      <c r="B12" t="s">
        <v>113</v>
      </c>
      <c r="C12" t="s">
        <v>93</v>
      </c>
      <c r="D12" s="9" t="str">
        <f>IF(B12="dset","Sets!"&amp;HLOOKUP(C12,sets!$B$2:$WY$3,2,)&amp;6,IF(B12="set","Maps!"&amp;HLOOKUP(C12,maps!$A$2:$YR$3,2,)&amp;6))</f>
        <v>Sets!J6</v>
      </c>
      <c r="E12">
        <v>1</v>
      </c>
    </row>
    <row r="13" spans="1:7" x14ac:dyDescent="0.3">
      <c r="A13" t="s">
        <v>838</v>
      </c>
      <c r="B13" t="s">
        <v>113</v>
      </c>
      <c r="C13" t="s">
        <v>394</v>
      </c>
      <c r="D13" s="9" t="str">
        <f>IF(B13="dset","Sets!"&amp;HLOOKUP(C13,sets!$B$2:$WY$3,2,)&amp;6,IF(B13="set","Maps!"&amp;HLOOKUP(C13,maps!$A$2:$YR$3,2,)&amp;6))</f>
        <v>Sets!K6</v>
      </c>
      <c r="E13">
        <v>1</v>
      </c>
    </row>
    <row r="14" spans="1:7" x14ac:dyDescent="0.3">
      <c r="A14" t="s">
        <v>934</v>
      </c>
      <c r="B14" t="s">
        <v>113</v>
      </c>
      <c r="C14" t="s">
        <v>0</v>
      </c>
      <c r="D14" s="9" t="str">
        <f>IF(B14="dset","Sets!"&amp;HLOOKUP(C14,sets!$B$2:$WY$3,2,)&amp;6,IF(B14="set","Maps!"&amp;HLOOKUP(C14,maps!$A$2:$YR$3,2,)&amp;6))</f>
        <v>Sets!L6</v>
      </c>
      <c r="E14">
        <v>1</v>
      </c>
    </row>
    <row r="15" spans="1:7" x14ac:dyDescent="0.3">
      <c r="A15" t="s">
        <v>935</v>
      </c>
      <c r="B15" t="s">
        <v>113</v>
      </c>
      <c r="C15" t="s">
        <v>33</v>
      </c>
      <c r="D15" s="9" t="str">
        <f>IF(B15="dset","Sets!"&amp;HLOOKUP(C15,sets!$B$2:$WY$3,2,)&amp;6,IF(B15="set","Maps!"&amp;HLOOKUP(C15,maps!$A$2:$YR$3,2,)&amp;6))</f>
        <v>Sets!M6</v>
      </c>
      <c r="E15">
        <v>1</v>
      </c>
    </row>
    <row r="16" spans="1:7" x14ac:dyDescent="0.3">
      <c r="A16" t="s">
        <v>936</v>
      </c>
      <c r="B16" t="s">
        <v>113</v>
      </c>
      <c r="C16" t="s">
        <v>138</v>
      </c>
      <c r="D16" s="9" t="str">
        <f>IF(B16="dset","Sets!"&amp;HLOOKUP(C16,sets!$B$2:$WY$3,2,)&amp;6,IF(B16="set","Maps!"&amp;HLOOKUP(C16,maps!$A$2:$YR$3,2,)&amp;6))</f>
        <v>Sets!N6</v>
      </c>
      <c r="E16">
        <v>1</v>
      </c>
    </row>
    <row r="17" spans="1:6" x14ac:dyDescent="0.3">
      <c r="A17" t="s">
        <v>937</v>
      </c>
      <c r="B17" t="s">
        <v>113</v>
      </c>
      <c r="C17" t="s">
        <v>21</v>
      </c>
      <c r="D17" s="9" t="str">
        <f>IF(B17="dset","Sets!"&amp;HLOOKUP(C17,sets!$B$2:$WY$3,2,)&amp;6,IF(B17="set","Maps!"&amp;HLOOKUP(C17,maps!$A$2:$YR$3,2,)&amp;6))</f>
        <v>Sets!O6</v>
      </c>
      <c r="E17">
        <v>1</v>
      </c>
    </row>
    <row r="18" spans="1:6" x14ac:dyDescent="0.3">
      <c r="A18" t="s">
        <v>851</v>
      </c>
      <c r="B18" t="s">
        <v>113</v>
      </c>
      <c r="C18" t="s">
        <v>22</v>
      </c>
      <c r="D18" s="9" t="str">
        <f>IF(B18="dset","Sets!"&amp;HLOOKUP(C18,sets!$B$2:$WY$3,2,)&amp;6,IF(B18="set","Maps!"&amp;HLOOKUP(C18,maps!$A$2:$YR$3,2,)&amp;6))</f>
        <v>Sets!P6</v>
      </c>
      <c r="E18">
        <v>1</v>
      </c>
    </row>
    <row r="19" spans="1:6" x14ac:dyDescent="0.3">
      <c r="A19" t="s">
        <v>988</v>
      </c>
      <c r="B19" t="s">
        <v>113</v>
      </c>
      <c r="C19" t="s">
        <v>987</v>
      </c>
      <c r="D19" s="9" t="str">
        <f>IF(B19="dset","Sets!"&amp;HLOOKUP(C19,sets!$B$2:$WY$3,2,)&amp;6,IF(B19="set","Maps!"&amp;HLOOKUP(C19,maps!$A$2:$YR$3,2,)&amp;6))</f>
        <v>Sets!T6</v>
      </c>
      <c r="E19">
        <v>1</v>
      </c>
    </row>
    <row r="20" spans="1:6" x14ac:dyDescent="0.3">
      <c r="A20" t="s">
        <v>938</v>
      </c>
      <c r="B20" t="s">
        <v>109</v>
      </c>
      <c r="C20" t="s">
        <v>391</v>
      </c>
      <c r="D20" s="9" t="str">
        <f>IF(B20="dset","Sets!"&amp;HLOOKUP(C20,sets!$B$2:$WY$3,2,)&amp;6,IF(B20="set","Maps!"&amp;HLOOKUP(C20,maps!$A$2:$YR$3,2,)&amp;6))</f>
        <v>Maps!J6</v>
      </c>
      <c r="E20">
        <v>2</v>
      </c>
    </row>
    <row r="21" spans="1:6" x14ac:dyDescent="0.3">
      <c r="A21" t="s">
        <v>1718</v>
      </c>
      <c r="B21" t="s">
        <v>113</v>
      </c>
      <c r="C21" t="s">
        <v>1444</v>
      </c>
      <c r="D21" s="9" t="str">
        <f>IF(B21="dset","Sets!"&amp;HLOOKUP(C21,sets!$B$2:$WY$3,2,)&amp;6,IF(B21="set","Maps!"&amp;HLOOKUP(C21,maps!$A$2:$YR$3,2,)&amp;6))</f>
        <v>Sets!U6</v>
      </c>
      <c r="E21">
        <v>1</v>
      </c>
    </row>
    <row r="22" spans="1:6" x14ac:dyDescent="0.3">
      <c r="A22" t="s">
        <v>1447</v>
      </c>
      <c r="B22" t="s">
        <v>113</v>
      </c>
      <c r="C22" t="s">
        <v>1447</v>
      </c>
      <c r="D22" s="9" t="str">
        <f>IF(B22="dset","Sets!"&amp;HLOOKUP(C22,sets!$B$2:$WY$3,2,)&amp;6,IF(B22="set","Maps!"&amp;HLOOKUP(C22,maps!$A$2:$YR$3,2,)&amp;6))</f>
        <v>Sets!V6</v>
      </c>
      <c r="E22">
        <v>1</v>
      </c>
    </row>
    <row r="23" spans="1:6" x14ac:dyDescent="0.3">
      <c r="A23" t="s">
        <v>939</v>
      </c>
      <c r="B23" t="s">
        <v>109</v>
      </c>
      <c r="C23" t="s">
        <v>115</v>
      </c>
      <c r="D23" s="9" t="str">
        <f>IF(B23="dset","Sets!"&amp;HLOOKUP(C23,sets!$B$2:$WY$3,2,)&amp;6,IF(B23="set","Maps!"&amp;HLOOKUP(C23,maps!$A$2:$YR$3,2,)&amp;6))</f>
        <v>Maps!G6</v>
      </c>
      <c r="E23">
        <v>2</v>
      </c>
    </row>
    <row r="24" spans="1:6" x14ac:dyDescent="0.3">
      <c r="A24" t="s">
        <v>940</v>
      </c>
      <c r="B24" t="s">
        <v>104</v>
      </c>
      <c r="C24" s="17" t="s">
        <v>462</v>
      </c>
      <c r="D24" s="9" t="s">
        <v>950</v>
      </c>
      <c r="E24">
        <v>1</v>
      </c>
      <c r="F24">
        <v>1</v>
      </c>
    </row>
    <row r="25" spans="1:6" x14ac:dyDescent="0.3">
      <c r="A25" t="s">
        <v>464</v>
      </c>
      <c r="B25" t="s">
        <v>104</v>
      </c>
      <c r="C25" t="s">
        <v>463</v>
      </c>
      <c r="D25" t="s">
        <v>1252</v>
      </c>
      <c r="F25">
        <v>1</v>
      </c>
    </row>
    <row r="26" spans="1:6" x14ac:dyDescent="0.3">
      <c r="A26" t="s">
        <v>941</v>
      </c>
      <c r="B26" t="s">
        <v>109</v>
      </c>
      <c r="C26" t="s">
        <v>372</v>
      </c>
      <c r="D26" s="9" t="str">
        <f>IF(B26="dset","Sets!"&amp;HLOOKUP(C26,sets!$B$2:$WY$3,2,)&amp;6,IF(B26="set","Maps!"&amp;HLOOKUP(C26,maps!$A$2:$YR$3,2,)&amp;6))</f>
        <v>Maps!M6</v>
      </c>
      <c r="E26">
        <v>2</v>
      </c>
    </row>
    <row r="27" spans="1:6" x14ac:dyDescent="0.3">
      <c r="A27" t="s">
        <v>942</v>
      </c>
      <c r="B27" t="s">
        <v>104</v>
      </c>
      <c r="C27" t="s">
        <v>348</v>
      </c>
      <c r="D27" s="9" t="s">
        <v>1255</v>
      </c>
      <c r="E27">
        <v>2</v>
      </c>
      <c r="F27">
        <v>1</v>
      </c>
    </row>
    <row r="28" spans="1:6" x14ac:dyDescent="0.3">
      <c r="A28" t="s">
        <v>949</v>
      </c>
      <c r="B28" t="s">
        <v>104</v>
      </c>
      <c r="C28" t="s">
        <v>943</v>
      </c>
      <c r="D28" s="9" t="s">
        <v>1182</v>
      </c>
      <c r="E28">
        <v>1</v>
      </c>
      <c r="F28">
        <v>1</v>
      </c>
    </row>
    <row r="29" spans="1:6" x14ac:dyDescent="0.3">
      <c r="A29" t="s">
        <v>919</v>
      </c>
      <c r="B29" t="s">
        <v>104</v>
      </c>
      <c r="C29" t="s">
        <v>920</v>
      </c>
      <c r="D29" t="s">
        <v>1434</v>
      </c>
    </row>
    <row r="30" spans="1:6" x14ac:dyDescent="0.3">
      <c r="A30" t="s">
        <v>947</v>
      </c>
      <c r="B30" t="s">
        <v>104</v>
      </c>
      <c r="C30" t="s">
        <v>948</v>
      </c>
      <c r="D30" t="s">
        <v>921</v>
      </c>
    </row>
    <row r="31" spans="1:6" x14ac:dyDescent="0.3">
      <c r="A31" t="s">
        <v>1719</v>
      </c>
      <c r="B31" t="s">
        <v>113</v>
      </c>
      <c r="C31" t="s">
        <v>114</v>
      </c>
      <c r="D31" s="9" t="str">
        <f>IF(B31="dset","Sets!"&amp;HLOOKUP(C31,sets!$B$2:$WY$3,2,)&amp;6,IF(B31="set","Maps!"&amp;HLOOKUP(C31,maps!$A$2:$YR$3,2,)&amp;6))</f>
        <v>Sets!Q6</v>
      </c>
      <c r="E31">
        <v>1</v>
      </c>
    </row>
    <row r="32" spans="1:6" x14ac:dyDescent="0.3">
      <c r="A32" t="s">
        <v>453</v>
      </c>
      <c r="B32" t="s">
        <v>104</v>
      </c>
      <c r="C32" t="s">
        <v>112</v>
      </c>
      <c r="D32" s="9" t="s">
        <v>726</v>
      </c>
      <c r="E32">
        <v>1</v>
      </c>
      <c r="F32">
        <v>1</v>
      </c>
    </row>
    <row r="33" spans="1:6" x14ac:dyDescent="0.3">
      <c r="A33" t="s">
        <v>452</v>
      </c>
      <c r="B33" t="s">
        <v>104</v>
      </c>
      <c r="C33" t="s">
        <v>460</v>
      </c>
      <c r="D33" t="s">
        <v>461</v>
      </c>
      <c r="E33">
        <v>1</v>
      </c>
    </row>
    <row r="34" spans="1:6" x14ac:dyDescent="0.3">
      <c r="A34" t="s">
        <v>449</v>
      </c>
      <c r="B34" t="s">
        <v>104</v>
      </c>
      <c r="C34" t="s">
        <v>447</v>
      </c>
      <c r="D34" t="s">
        <v>448</v>
      </c>
      <c r="E34">
        <v>1</v>
      </c>
      <c r="F34">
        <v>2</v>
      </c>
    </row>
    <row r="35" spans="1:6" x14ac:dyDescent="0.3">
      <c r="A35" t="s">
        <v>450</v>
      </c>
      <c r="B35" t="s">
        <v>104</v>
      </c>
      <c r="C35" t="s">
        <v>457</v>
      </c>
      <c r="D35" t="s">
        <v>459</v>
      </c>
      <c r="E35">
        <v>1</v>
      </c>
      <c r="F35">
        <v>1</v>
      </c>
    </row>
    <row r="36" spans="1:6" x14ac:dyDescent="0.3">
      <c r="A36" t="s">
        <v>451</v>
      </c>
      <c r="B36" t="s">
        <v>104</v>
      </c>
      <c r="C36" t="s">
        <v>458</v>
      </c>
      <c r="D36" t="s">
        <v>1148</v>
      </c>
      <c r="E36">
        <v>1</v>
      </c>
      <c r="F36">
        <v>2</v>
      </c>
    </row>
    <row r="37" spans="1:6" x14ac:dyDescent="0.3">
      <c r="A37" t="s">
        <v>454</v>
      </c>
      <c r="B37" t="s">
        <v>104</v>
      </c>
      <c r="C37" t="s">
        <v>455</v>
      </c>
      <c r="D37" t="s">
        <v>456</v>
      </c>
      <c r="E37">
        <v>1</v>
      </c>
      <c r="F37">
        <v>1</v>
      </c>
    </row>
    <row r="38" spans="1:6" x14ac:dyDescent="0.3">
      <c r="A38" t="s">
        <v>393</v>
      </c>
      <c r="B38" t="s">
        <v>104</v>
      </c>
      <c r="C38" t="s">
        <v>392</v>
      </c>
      <c r="D38" t="s">
        <v>1253</v>
      </c>
      <c r="E38">
        <v>1</v>
      </c>
      <c r="F38">
        <v>1</v>
      </c>
    </row>
    <row r="39" spans="1:6" x14ac:dyDescent="0.3">
      <c r="A39" t="s">
        <v>1720</v>
      </c>
      <c r="B39" t="s">
        <v>104</v>
      </c>
      <c r="C39" t="s">
        <v>727</v>
      </c>
      <c r="D39" t="s">
        <v>728</v>
      </c>
      <c r="E39">
        <v>1</v>
      </c>
      <c r="F39">
        <v>1</v>
      </c>
    </row>
    <row r="40" spans="1:6" x14ac:dyDescent="0.3">
      <c r="A40" t="s">
        <v>1721</v>
      </c>
      <c r="B40" t="s">
        <v>104</v>
      </c>
      <c r="C40" t="s">
        <v>1722</v>
      </c>
      <c r="D40" t="s">
        <v>1723</v>
      </c>
      <c r="E40">
        <v>1</v>
      </c>
      <c r="F40">
        <v>1</v>
      </c>
    </row>
    <row r="41" spans="1:6" x14ac:dyDescent="0.3">
      <c r="A41" t="s">
        <v>974</v>
      </c>
      <c r="B41" t="s">
        <v>104</v>
      </c>
      <c r="C41" t="s">
        <v>975</v>
      </c>
      <c r="D41" t="s">
        <v>976</v>
      </c>
      <c r="E41">
        <v>2</v>
      </c>
      <c r="F41">
        <v>1</v>
      </c>
    </row>
    <row r="42" spans="1:6" x14ac:dyDescent="0.3">
      <c r="A42" t="s">
        <v>978</v>
      </c>
      <c r="B42" t="s">
        <v>104</v>
      </c>
      <c r="C42" t="s">
        <v>979</v>
      </c>
      <c r="D42" t="s">
        <v>980</v>
      </c>
      <c r="E42">
        <v>2</v>
      </c>
      <c r="F42">
        <v>1</v>
      </c>
    </row>
    <row r="43" spans="1:6" x14ac:dyDescent="0.3">
      <c r="A43" t="s">
        <v>989</v>
      </c>
      <c r="B43" t="s">
        <v>985</v>
      </c>
      <c r="C43" t="s">
        <v>990</v>
      </c>
      <c r="D43" t="s">
        <v>991</v>
      </c>
      <c r="E43">
        <v>3</v>
      </c>
      <c r="F43">
        <v>1</v>
      </c>
    </row>
    <row r="44" spans="1:6" x14ac:dyDescent="0.3">
      <c r="A44" t="s">
        <v>1121</v>
      </c>
      <c r="B44" t="s">
        <v>104</v>
      </c>
      <c r="C44" t="s">
        <v>1122</v>
      </c>
      <c r="D44" t="s">
        <v>1123</v>
      </c>
      <c r="E44">
        <v>1</v>
      </c>
      <c r="F44">
        <v>1</v>
      </c>
    </row>
    <row r="45" spans="1:6" x14ac:dyDescent="0.3">
      <c r="A45" t="s">
        <v>1126</v>
      </c>
      <c r="B45" t="s">
        <v>104</v>
      </c>
      <c r="C45" t="s">
        <v>1127</v>
      </c>
      <c r="D45" t="s">
        <v>1128</v>
      </c>
      <c r="E45">
        <v>1</v>
      </c>
      <c r="F45">
        <v>1</v>
      </c>
    </row>
    <row r="46" spans="1:6" x14ac:dyDescent="0.3">
      <c r="A46" t="s">
        <v>1145</v>
      </c>
      <c r="B46" t="s">
        <v>104</v>
      </c>
      <c r="C46" t="s">
        <v>1146</v>
      </c>
      <c r="D46" t="s">
        <v>1147</v>
      </c>
      <c r="E46">
        <v>2</v>
      </c>
      <c r="F46">
        <v>1</v>
      </c>
    </row>
    <row r="47" spans="1:6" x14ac:dyDescent="0.3">
      <c r="A47" t="s">
        <v>1149</v>
      </c>
      <c r="B47" t="s">
        <v>104</v>
      </c>
      <c r="C47" t="s">
        <v>1151</v>
      </c>
      <c r="D47" t="s">
        <v>1150</v>
      </c>
      <c r="E47">
        <v>2</v>
      </c>
      <c r="F47">
        <v>1</v>
      </c>
    </row>
    <row r="48" spans="1:6" x14ac:dyDescent="0.3">
      <c r="A48" t="s">
        <v>1328</v>
      </c>
      <c r="B48" t="s">
        <v>104</v>
      </c>
      <c r="C48" t="s">
        <v>1329</v>
      </c>
      <c r="D48" t="s">
        <v>1330</v>
      </c>
      <c r="E48">
        <v>2</v>
      </c>
      <c r="F48">
        <v>1</v>
      </c>
    </row>
    <row r="49" spans="1:5" x14ac:dyDescent="0.3">
      <c r="A49" t="s">
        <v>1423</v>
      </c>
      <c r="B49" t="s">
        <v>104</v>
      </c>
      <c r="C49" t="s">
        <v>1424</v>
      </c>
      <c r="D49" t="s">
        <v>1429</v>
      </c>
      <c r="E49">
        <v>1</v>
      </c>
    </row>
    <row r="50" spans="1:5" x14ac:dyDescent="0.3">
      <c r="A50" t="s">
        <v>1425</v>
      </c>
      <c r="B50" t="s">
        <v>104</v>
      </c>
      <c r="C50" t="s">
        <v>1399</v>
      </c>
      <c r="D50" t="s">
        <v>1428</v>
      </c>
      <c r="E50">
        <v>1</v>
      </c>
    </row>
    <row r="51" spans="1:5" x14ac:dyDescent="0.3">
      <c r="A51" t="s">
        <v>1426</v>
      </c>
      <c r="B51" t="s">
        <v>104</v>
      </c>
      <c r="C51" t="s">
        <v>1400</v>
      </c>
      <c r="D51" t="s">
        <v>1427</v>
      </c>
      <c r="E51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A3DA-52B1-4C7F-8192-084152BFA599}">
  <dimension ref="A1:I20"/>
  <sheetViews>
    <sheetView workbookViewId="0">
      <selection activeCell="A11" sqref="A11"/>
    </sheetView>
  </sheetViews>
  <sheetFormatPr baseColWidth="10" defaultColWidth="10.88671875" defaultRowHeight="14.4" x14ac:dyDescent="0.3"/>
  <sheetData>
    <row r="1" spans="1:9" x14ac:dyDescent="0.3">
      <c r="B1">
        <v>0</v>
      </c>
      <c r="C1">
        <v>1</v>
      </c>
      <c r="D1">
        <v>5</v>
      </c>
      <c r="E1">
        <v>10</v>
      </c>
      <c r="F1">
        <v>50</v>
      </c>
      <c r="G1">
        <v>100</v>
      </c>
      <c r="H1">
        <v>360</v>
      </c>
      <c r="I1">
        <v>380</v>
      </c>
    </row>
    <row r="2" spans="1:9" x14ac:dyDescent="0.3">
      <c r="A2" t="s">
        <v>1124</v>
      </c>
      <c r="B2" s="7">
        <v>1E-10</v>
      </c>
      <c r="C2" s="7">
        <v>9.9999999999999995E-7</v>
      </c>
      <c r="D2">
        <v>0.05</v>
      </c>
      <c r="E2">
        <v>0.1</v>
      </c>
      <c r="F2">
        <v>0.2</v>
      </c>
      <c r="G2">
        <v>0.5</v>
      </c>
      <c r="H2">
        <v>0.6</v>
      </c>
      <c r="I2">
        <v>1</v>
      </c>
    </row>
    <row r="3" spans="1:9" x14ac:dyDescent="0.3">
      <c r="A3" t="s">
        <v>363</v>
      </c>
      <c r="B3" s="7">
        <v>1E-10</v>
      </c>
      <c r="C3" s="7">
        <v>9.9999999999999995E-7</v>
      </c>
      <c r="D3" s="7">
        <v>1E-4</v>
      </c>
      <c r="F3">
        <v>0.9</v>
      </c>
      <c r="G3">
        <v>0.95</v>
      </c>
      <c r="H3">
        <v>0.99</v>
      </c>
      <c r="I3">
        <v>1</v>
      </c>
    </row>
    <row r="4" spans="1:9" x14ac:dyDescent="0.3">
      <c r="A4" t="s">
        <v>264</v>
      </c>
      <c r="B4" s="7">
        <v>1E-10</v>
      </c>
      <c r="C4" s="7">
        <v>9.9999999999999995E-7</v>
      </c>
      <c r="D4" s="7">
        <v>1E-4</v>
      </c>
      <c r="F4">
        <v>0.75</v>
      </c>
      <c r="G4">
        <v>0.9</v>
      </c>
      <c r="H4">
        <v>0.95</v>
      </c>
      <c r="I4">
        <v>1</v>
      </c>
    </row>
    <row r="5" spans="1:9" x14ac:dyDescent="0.3">
      <c r="A5" t="s">
        <v>262</v>
      </c>
      <c r="B5" s="7">
        <v>1E-10</v>
      </c>
      <c r="C5" s="7">
        <v>9.9999999999999995E-7</v>
      </c>
      <c r="D5" s="7">
        <v>1E-4</v>
      </c>
      <c r="F5">
        <v>0.75</v>
      </c>
      <c r="G5">
        <v>0.9</v>
      </c>
      <c r="H5">
        <v>0.95</v>
      </c>
      <c r="I5">
        <v>1</v>
      </c>
    </row>
    <row r="6" spans="1:9" x14ac:dyDescent="0.3">
      <c r="A6" t="s">
        <v>273</v>
      </c>
      <c r="B6" s="7">
        <v>1E-10</v>
      </c>
      <c r="C6" s="7">
        <v>9.9999999999999995E-7</v>
      </c>
      <c r="D6" s="7">
        <v>1E-4</v>
      </c>
      <c r="F6">
        <v>0.2</v>
      </c>
      <c r="G6">
        <v>0.3</v>
      </c>
      <c r="H6">
        <v>0.4</v>
      </c>
      <c r="I6">
        <v>1</v>
      </c>
    </row>
    <row r="7" spans="1:9" x14ac:dyDescent="0.3">
      <c r="A7" t="s">
        <v>280</v>
      </c>
      <c r="B7" s="7">
        <v>1E-10</v>
      </c>
      <c r="C7" s="7">
        <v>9.9999999999999995E-7</v>
      </c>
      <c r="D7" s="7">
        <v>1E-4</v>
      </c>
      <c r="F7">
        <v>0.2</v>
      </c>
      <c r="G7">
        <v>0.3</v>
      </c>
      <c r="H7">
        <v>0.4</v>
      </c>
      <c r="I7">
        <v>1</v>
      </c>
    </row>
    <row r="8" spans="1:9" x14ac:dyDescent="0.3">
      <c r="A8" t="s">
        <v>645</v>
      </c>
      <c r="B8" s="7">
        <v>1E-10</v>
      </c>
      <c r="C8" s="7">
        <v>9.9999999999999995E-7</v>
      </c>
      <c r="D8" s="7">
        <v>1E-4</v>
      </c>
      <c r="G8">
        <v>7.0000000000000007E-2</v>
      </c>
      <c r="H8">
        <v>0.08</v>
      </c>
      <c r="I8">
        <v>1</v>
      </c>
    </row>
    <row r="9" spans="1:9" x14ac:dyDescent="0.3">
      <c r="A9" t="s">
        <v>647</v>
      </c>
      <c r="B9" s="7">
        <v>1E-10</v>
      </c>
      <c r="C9" s="7">
        <v>9.9999999999999995E-7</v>
      </c>
      <c r="D9" s="7">
        <v>1E-4</v>
      </c>
      <c r="G9">
        <v>7.0000000000000007E-2</v>
      </c>
      <c r="H9">
        <v>0.08</v>
      </c>
      <c r="I9">
        <v>1</v>
      </c>
    </row>
    <row r="10" spans="1:9" x14ac:dyDescent="0.3">
      <c r="A10" t="s">
        <v>644</v>
      </c>
      <c r="B10" s="7">
        <v>1E-10</v>
      </c>
      <c r="C10" s="7">
        <v>9.9999999999999995E-7</v>
      </c>
      <c r="D10" s="7">
        <v>1E-4</v>
      </c>
      <c r="G10">
        <v>7.0000000000000007E-2</v>
      </c>
      <c r="H10">
        <v>0.08</v>
      </c>
      <c r="I10">
        <v>1</v>
      </c>
    </row>
    <row r="11" spans="1:9" x14ac:dyDescent="0.3">
      <c r="A11" t="s">
        <v>1176</v>
      </c>
      <c r="B11" s="7">
        <v>1E-10</v>
      </c>
      <c r="C11" s="7">
        <v>9.9999999999999995E-7</v>
      </c>
      <c r="D11" s="7">
        <v>1E-4</v>
      </c>
      <c r="G11">
        <v>7.0000000000000007E-2</v>
      </c>
      <c r="H11">
        <v>0.08</v>
      </c>
      <c r="I11">
        <v>1</v>
      </c>
    </row>
    <row r="12" spans="1:9" x14ac:dyDescent="0.3">
      <c r="A12" t="s">
        <v>646</v>
      </c>
      <c r="B12" s="7">
        <v>1E-10</v>
      </c>
      <c r="C12" s="7">
        <v>9.9999999999999995E-7</v>
      </c>
      <c r="D12" s="7">
        <v>1E-4</v>
      </c>
      <c r="G12">
        <v>7.0000000000000007E-2</v>
      </c>
      <c r="H12">
        <v>0.08</v>
      </c>
      <c r="I12">
        <v>1</v>
      </c>
    </row>
    <row r="13" spans="1:9" x14ac:dyDescent="0.3">
      <c r="A13" t="s">
        <v>636</v>
      </c>
      <c r="B13" s="7">
        <v>1E-10</v>
      </c>
      <c r="C13" s="7">
        <v>9.9999999999999995E-7</v>
      </c>
      <c r="D13" s="7">
        <v>1E-4</v>
      </c>
      <c r="G13">
        <v>0.16</v>
      </c>
      <c r="H13">
        <v>0.17</v>
      </c>
      <c r="I13">
        <v>1</v>
      </c>
    </row>
    <row r="14" spans="1:9" x14ac:dyDescent="0.3">
      <c r="A14" t="s">
        <v>637</v>
      </c>
      <c r="B14" s="7">
        <v>1E-10</v>
      </c>
      <c r="C14" s="7">
        <v>9.9999999999999995E-7</v>
      </c>
      <c r="D14" s="7">
        <v>1E-4</v>
      </c>
      <c r="G14">
        <v>0.1</v>
      </c>
      <c r="H14">
        <v>0.12</v>
      </c>
      <c r="I14">
        <v>1</v>
      </c>
    </row>
    <row r="15" spans="1:9" x14ac:dyDescent="0.3">
      <c r="A15" t="s">
        <v>638</v>
      </c>
      <c r="B15" s="7">
        <v>1E-10</v>
      </c>
      <c r="C15" s="7">
        <v>9.9999999999999995E-7</v>
      </c>
      <c r="D15" s="7">
        <v>1E-4</v>
      </c>
      <c r="G15">
        <v>0.1</v>
      </c>
      <c r="H15">
        <v>0.12</v>
      </c>
      <c r="I15">
        <v>1</v>
      </c>
    </row>
    <row r="16" spans="1:9" x14ac:dyDescent="0.3">
      <c r="A16" t="s">
        <v>640</v>
      </c>
      <c r="B16" s="7">
        <v>1E-10</v>
      </c>
      <c r="C16" s="7">
        <v>9.9999999999999995E-7</v>
      </c>
      <c r="D16" s="7">
        <v>1E-4</v>
      </c>
      <c r="G16">
        <v>0.1</v>
      </c>
      <c r="H16">
        <v>0.12</v>
      </c>
      <c r="I16">
        <v>1</v>
      </c>
    </row>
    <row r="17" spans="1:9" x14ac:dyDescent="0.3">
      <c r="A17" t="s">
        <v>639</v>
      </c>
      <c r="B17" s="7">
        <v>1E-10</v>
      </c>
      <c r="C17" s="7">
        <v>9.9999999999999995E-7</v>
      </c>
      <c r="D17" s="7">
        <v>1E-4</v>
      </c>
      <c r="G17">
        <v>0.1</v>
      </c>
      <c r="H17">
        <v>0.12</v>
      </c>
      <c r="I17">
        <v>1</v>
      </c>
    </row>
    <row r="18" spans="1:9" x14ac:dyDescent="0.3">
      <c r="A18" t="s">
        <v>1125</v>
      </c>
      <c r="B18" s="7">
        <v>1E-10</v>
      </c>
      <c r="C18" s="7">
        <v>9.9999999999999995E-7</v>
      </c>
      <c r="D18" s="7">
        <v>1E-4</v>
      </c>
      <c r="G18">
        <v>0.1</v>
      </c>
      <c r="H18">
        <v>0.12</v>
      </c>
      <c r="I18">
        <v>1</v>
      </c>
    </row>
    <row r="19" spans="1:9" x14ac:dyDescent="0.3">
      <c r="A19" t="s">
        <v>641</v>
      </c>
      <c r="B19" s="7">
        <v>1E-10</v>
      </c>
      <c r="C19" s="7">
        <v>9.9999999999999995E-7</v>
      </c>
      <c r="D19" s="7">
        <v>1E-4</v>
      </c>
      <c r="G19">
        <v>0.1</v>
      </c>
      <c r="H19">
        <v>0.12</v>
      </c>
      <c r="I19">
        <v>1</v>
      </c>
    </row>
    <row r="20" spans="1:9" x14ac:dyDescent="0.3">
      <c r="A20" t="s">
        <v>643</v>
      </c>
      <c r="B20" s="7">
        <v>1E-10</v>
      </c>
      <c r="C20" s="7">
        <v>9.9999999999999995E-7</v>
      </c>
      <c r="D20" s="7">
        <v>1E-4</v>
      </c>
      <c r="G20">
        <v>0.1</v>
      </c>
      <c r="H20">
        <v>0.12</v>
      </c>
      <c r="I20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0"/>
  <dimension ref="B1:V274"/>
  <sheetViews>
    <sheetView topLeftCell="A59" workbookViewId="0">
      <selection activeCell="B66" sqref="B66:B85"/>
    </sheetView>
  </sheetViews>
  <sheetFormatPr baseColWidth="10" defaultColWidth="8.88671875" defaultRowHeight="14.4" x14ac:dyDescent="0.3"/>
  <cols>
    <col min="2" max="2" width="28.33203125" customWidth="1"/>
    <col min="3" max="3" width="34.77734375" customWidth="1"/>
    <col min="4" max="4" width="21.5546875" customWidth="1"/>
    <col min="5" max="5" width="21.6640625" customWidth="1"/>
    <col min="7" max="7" width="17.6640625" customWidth="1"/>
    <col min="8" max="8" width="17.77734375" customWidth="1"/>
    <col min="13" max="13" width="10.109375" bestFit="1" customWidth="1"/>
    <col min="14" max="14" width="10.109375" customWidth="1"/>
    <col min="21" max="21" width="13.33203125" customWidth="1"/>
  </cols>
  <sheetData>
    <row r="1" spans="2:22" s="9" customFormat="1" ht="13.2" x14ac:dyDescent="0.25">
      <c r="B1" s="8" t="s">
        <v>106</v>
      </c>
    </row>
    <row r="2" spans="2:22" s="9" customFormat="1" ht="13.2" x14ac:dyDescent="0.25">
      <c r="B2" s="12" t="str">
        <f>+B5</f>
        <v>is</v>
      </c>
      <c r="C2" s="12">
        <f>+C5</f>
        <v>0</v>
      </c>
      <c r="D2" s="12" t="str">
        <f>+D5</f>
        <v>aagr</v>
      </c>
      <c r="E2" s="12"/>
      <c r="F2" s="12"/>
      <c r="G2" s="12" t="str">
        <f t="shared" ref="G2:Q2" si="0">+G5</f>
        <v>e</v>
      </c>
      <c r="H2" s="12" t="str">
        <f t="shared" si="0"/>
        <v>l</v>
      </c>
      <c r="I2" s="12" t="str">
        <f t="shared" si="0"/>
        <v>cap</v>
      </c>
      <c r="J2" s="12" t="str">
        <f t="shared" si="0"/>
        <v>lnd</v>
      </c>
      <c r="K2" s="12" t="str">
        <f>+K5</f>
        <v>natres</v>
      </c>
      <c r="L2" s="12" t="str">
        <f t="shared" si="0"/>
        <v>inv</v>
      </c>
      <c r="M2" s="12" t="str">
        <f t="shared" si="0"/>
        <v>ginv</v>
      </c>
      <c r="N2" s="12" t="str">
        <f>+N5</f>
        <v>adpinv</v>
      </c>
      <c r="O2" s="12" t="str">
        <f t="shared" si="0"/>
        <v>stb</v>
      </c>
      <c r="P2" s="12" t="str">
        <f t="shared" si="0"/>
        <v>row</v>
      </c>
      <c r="Q2" s="12" t="str">
        <f t="shared" si="0"/>
        <v>cohorts</v>
      </c>
      <c r="R2" s="12"/>
      <c r="S2" s="12" t="str">
        <f>+S5</f>
        <v>debt</v>
      </c>
      <c r="T2" s="12" t="str">
        <f>+T5</f>
        <v>nrgfac</v>
      </c>
      <c r="U2" s="12" t="str">
        <f>+U5</f>
        <v>gtapVersion</v>
      </c>
      <c r="V2" s="12" t="str">
        <f>+V5</f>
        <v>BaseYear</v>
      </c>
    </row>
    <row r="3" spans="2:22" s="9" customFormat="1" ht="13.2" x14ac:dyDescent="0.25">
      <c r="B3" s="13" t="str">
        <f>SUBSTITUTE(ADDRESS(1,COLUMN(),4),1,)</f>
        <v>B</v>
      </c>
      <c r="C3" s="13" t="str">
        <f>SUBSTITUTE(ADDRESS(1,COLUMN(),4),1,)</f>
        <v>C</v>
      </c>
      <c r="D3" s="13" t="str">
        <f t="shared" ref="D3:V3" si="1">SUBSTITUTE(ADDRESS(1,COLUMN(),4),"1","")</f>
        <v>D</v>
      </c>
      <c r="E3" s="13"/>
      <c r="F3" s="13"/>
      <c r="G3" s="13" t="str">
        <f t="shared" si="1"/>
        <v>G</v>
      </c>
      <c r="H3" s="13" t="str">
        <f t="shared" si="1"/>
        <v>H</v>
      </c>
      <c r="I3" s="13" t="str">
        <f t="shared" si="1"/>
        <v>I</v>
      </c>
      <c r="J3" s="13" t="str">
        <f t="shared" si="1"/>
        <v>J</v>
      </c>
      <c r="K3" s="13" t="str">
        <f t="shared" si="1"/>
        <v>K</v>
      </c>
      <c r="L3" s="13" t="str">
        <f t="shared" si="1"/>
        <v>L</v>
      </c>
      <c r="M3" s="13" t="str">
        <f t="shared" si="1"/>
        <v>M</v>
      </c>
      <c r="N3" s="13" t="str">
        <f t="shared" si="1"/>
        <v>N</v>
      </c>
      <c r="O3" s="13" t="str">
        <f t="shared" si="1"/>
        <v>O</v>
      </c>
      <c r="P3" s="13" t="str">
        <f t="shared" si="1"/>
        <v>P</v>
      </c>
      <c r="Q3" s="13" t="str">
        <f t="shared" si="1"/>
        <v>Q</v>
      </c>
      <c r="R3" s="13"/>
      <c r="S3" s="13" t="str">
        <f t="shared" si="1"/>
        <v>S</v>
      </c>
      <c r="T3" s="13" t="str">
        <f t="shared" si="1"/>
        <v>T</v>
      </c>
      <c r="U3" s="13" t="str">
        <f t="shared" si="1"/>
        <v>U</v>
      </c>
      <c r="V3" s="13" t="str">
        <f t="shared" si="1"/>
        <v>V</v>
      </c>
    </row>
    <row r="4" spans="2:22" x14ac:dyDescent="0.3">
      <c r="B4" s="3"/>
      <c r="C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2:22" x14ac:dyDescent="0.3">
      <c r="B5" t="s">
        <v>20</v>
      </c>
      <c r="D5" t="s">
        <v>373</v>
      </c>
      <c r="G5" t="s">
        <v>8</v>
      </c>
      <c r="H5" t="s">
        <v>117</v>
      </c>
      <c r="I5" t="s">
        <v>19</v>
      </c>
      <c r="J5" t="s">
        <v>93</v>
      </c>
      <c r="K5" t="s">
        <v>394</v>
      </c>
      <c r="L5" t="s">
        <v>0</v>
      </c>
      <c r="M5" t="s">
        <v>33</v>
      </c>
      <c r="N5" t="s">
        <v>138</v>
      </c>
      <c r="O5" t="s">
        <v>21</v>
      </c>
      <c r="P5" t="s">
        <v>22</v>
      </c>
      <c r="Q5" t="s">
        <v>114</v>
      </c>
      <c r="R5" s="3"/>
      <c r="S5" t="s">
        <v>222</v>
      </c>
      <c r="T5" t="s">
        <v>986</v>
      </c>
      <c r="U5" t="s">
        <v>1446</v>
      </c>
      <c r="V5" t="s">
        <v>1447</v>
      </c>
    </row>
    <row r="6" spans="2:22" x14ac:dyDescent="0.3">
      <c r="B6" t="s">
        <v>636</v>
      </c>
      <c r="C6" s="18" t="s">
        <v>740</v>
      </c>
      <c r="D6" t="s">
        <v>351</v>
      </c>
      <c r="E6" t="s">
        <v>374</v>
      </c>
      <c r="G6" t="s">
        <v>144</v>
      </c>
      <c r="H6" t="s">
        <v>714</v>
      </c>
      <c r="I6" t="s">
        <v>164</v>
      </c>
      <c r="J6" t="s">
        <v>162</v>
      </c>
      <c r="K6" s="21" t="s">
        <v>359</v>
      </c>
      <c r="L6" t="s">
        <v>235</v>
      </c>
      <c r="M6" s="9" t="s">
        <v>137</v>
      </c>
      <c r="P6" s="9" t="s">
        <v>168</v>
      </c>
      <c r="Q6" t="s">
        <v>3</v>
      </c>
      <c r="R6" t="s">
        <v>1395</v>
      </c>
      <c r="S6" t="s">
        <v>222</v>
      </c>
      <c r="T6" t="s">
        <v>289</v>
      </c>
      <c r="U6" t="s">
        <v>1445</v>
      </c>
      <c r="V6">
        <v>2017</v>
      </c>
    </row>
    <row r="7" spans="2:22" x14ac:dyDescent="0.3">
      <c r="B7" t="s">
        <v>637</v>
      </c>
      <c r="C7" s="18" t="s">
        <v>741</v>
      </c>
      <c r="D7" t="s">
        <v>370</v>
      </c>
      <c r="E7" t="s">
        <v>375</v>
      </c>
      <c r="G7" t="s">
        <v>234</v>
      </c>
      <c r="H7" t="s">
        <v>715</v>
      </c>
      <c r="J7" s="4" t="s">
        <v>1012</v>
      </c>
      <c r="K7" s="21"/>
      <c r="P7" s="9"/>
      <c r="Q7" t="s">
        <v>4</v>
      </c>
      <c r="R7" t="s">
        <v>1396</v>
      </c>
    </row>
    <row r="8" spans="2:22" x14ac:dyDescent="0.3">
      <c r="B8" t="s">
        <v>638</v>
      </c>
      <c r="C8" s="18" t="s">
        <v>742</v>
      </c>
      <c r="D8" t="s">
        <v>353</v>
      </c>
      <c r="E8" t="s">
        <v>376</v>
      </c>
      <c r="G8" t="s">
        <v>241</v>
      </c>
      <c r="H8" t="s">
        <v>716</v>
      </c>
      <c r="J8" s="4" t="s">
        <v>1013</v>
      </c>
      <c r="P8" s="9"/>
      <c r="Q8" t="s">
        <v>5</v>
      </c>
      <c r="R8" t="s">
        <v>1397</v>
      </c>
    </row>
    <row r="9" spans="2:22" x14ac:dyDescent="0.3">
      <c r="B9" t="s">
        <v>639</v>
      </c>
      <c r="C9" s="18" t="s">
        <v>743</v>
      </c>
      <c r="D9" t="s">
        <v>133</v>
      </c>
      <c r="E9" t="s">
        <v>377</v>
      </c>
      <c r="G9" t="s">
        <v>140</v>
      </c>
      <c r="H9" t="s">
        <v>717</v>
      </c>
      <c r="J9" s="4" t="s">
        <v>1014</v>
      </c>
      <c r="P9" s="9"/>
      <c r="Q9" t="s">
        <v>6</v>
      </c>
      <c r="R9" t="s">
        <v>1398</v>
      </c>
    </row>
    <row r="10" spans="2:22" x14ac:dyDescent="0.3">
      <c r="B10" t="s">
        <v>640</v>
      </c>
      <c r="C10" s="18" t="s">
        <v>744</v>
      </c>
      <c r="D10" t="s">
        <v>365</v>
      </c>
      <c r="E10" t="s">
        <v>389</v>
      </c>
      <c r="G10" t="s">
        <v>169</v>
      </c>
      <c r="H10" t="s">
        <v>718</v>
      </c>
      <c r="J10" s="4" t="s">
        <v>1015</v>
      </c>
      <c r="P10" s="9"/>
    </row>
    <row r="11" spans="2:22" x14ac:dyDescent="0.3">
      <c r="B11" t="s">
        <v>641</v>
      </c>
      <c r="C11" s="18" t="s">
        <v>745</v>
      </c>
      <c r="D11" t="s">
        <v>289</v>
      </c>
      <c r="E11" t="s">
        <v>378</v>
      </c>
      <c r="H11" t="s">
        <v>1335</v>
      </c>
      <c r="J11" s="4" t="s">
        <v>1016</v>
      </c>
      <c r="P11" s="9"/>
    </row>
    <row r="12" spans="2:22" x14ac:dyDescent="0.3">
      <c r="B12" t="s">
        <v>642</v>
      </c>
      <c r="C12" s="18" t="s">
        <v>746</v>
      </c>
      <c r="D12" t="s">
        <v>352</v>
      </c>
      <c r="E12" t="s">
        <v>379</v>
      </c>
      <c r="H12" t="s">
        <v>1353</v>
      </c>
      <c r="J12" s="4" t="s">
        <v>1017</v>
      </c>
      <c r="P12" s="9"/>
    </row>
    <row r="13" spans="2:22" x14ac:dyDescent="0.3">
      <c r="B13" t="s">
        <v>643</v>
      </c>
      <c r="C13" s="18" t="s">
        <v>747</v>
      </c>
      <c r="D13" t="s">
        <v>371</v>
      </c>
      <c r="E13" t="s">
        <v>380</v>
      </c>
      <c r="H13" t="s">
        <v>1336</v>
      </c>
      <c r="J13" s="4" t="s">
        <v>1018</v>
      </c>
      <c r="P13" s="9"/>
    </row>
    <row r="14" spans="2:22" x14ac:dyDescent="0.3">
      <c r="B14" t="s">
        <v>644</v>
      </c>
      <c r="C14" s="18" t="s">
        <v>748</v>
      </c>
      <c r="D14" t="s">
        <v>366</v>
      </c>
      <c r="E14" t="s">
        <v>381</v>
      </c>
      <c r="H14" t="s">
        <v>1337</v>
      </c>
      <c r="J14" s="4" t="s">
        <v>1019</v>
      </c>
      <c r="P14" s="9"/>
    </row>
    <row r="15" spans="2:22" x14ac:dyDescent="0.3">
      <c r="B15" t="s">
        <v>1176</v>
      </c>
      <c r="C15" s="18" t="s">
        <v>1177</v>
      </c>
      <c r="D15" t="s">
        <v>367</v>
      </c>
      <c r="E15" t="s">
        <v>192</v>
      </c>
      <c r="H15" t="s">
        <v>1338</v>
      </c>
      <c r="J15" s="4" t="s">
        <v>1020</v>
      </c>
    </row>
    <row r="16" spans="2:22" x14ac:dyDescent="0.3">
      <c r="B16" t="s">
        <v>645</v>
      </c>
      <c r="C16" s="18" t="s">
        <v>749</v>
      </c>
      <c r="D16" t="s">
        <v>350</v>
      </c>
      <c r="E16" t="s">
        <v>36</v>
      </c>
      <c r="H16" t="s">
        <v>1344</v>
      </c>
      <c r="J16" s="4" t="s">
        <v>1021</v>
      </c>
    </row>
    <row r="17" spans="2:10" x14ac:dyDescent="0.3">
      <c r="B17" t="s">
        <v>646</v>
      </c>
      <c r="C17" s="18" t="s">
        <v>750</v>
      </c>
      <c r="D17" t="s">
        <v>134</v>
      </c>
      <c r="E17" t="s">
        <v>382</v>
      </c>
      <c r="H17" t="s">
        <v>1388</v>
      </c>
      <c r="J17" s="4" t="s">
        <v>1022</v>
      </c>
    </row>
    <row r="18" spans="2:10" x14ac:dyDescent="0.3">
      <c r="B18" t="s">
        <v>647</v>
      </c>
      <c r="C18" s="18" t="s">
        <v>751</v>
      </c>
      <c r="D18" t="s">
        <v>210</v>
      </c>
      <c r="E18" t="s">
        <v>210</v>
      </c>
      <c r="H18" t="s">
        <v>1345</v>
      </c>
      <c r="J18" s="4" t="s">
        <v>1023</v>
      </c>
    </row>
    <row r="19" spans="2:10" x14ac:dyDescent="0.3">
      <c r="B19" t="s">
        <v>242</v>
      </c>
      <c r="C19" s="18" t="s">
        <v>752</v>
      </c>
      <c r="D19" t="s">
        <v>368</v>
      </c>
      <c r="E19" t="s">
        <v>32</v>
      </c>
      <c r="H19" t="s">
        <v>1346</v>
      </c>
      <c r="J19" s="4" t="s">
        <v>1024</v>
      </c>
    </row>
    <row r="20" spans="2:10" x14ac:dyDescent="0.3">
      <c r="B20" t="s">
        <v>648</v>
      </c>
      <c r="C20" s="18" t="s">
        <v>753</v>
      </c>
      <c r="D20" t="s">
        <v>369</v>
      </c>
      <c r="E20" t="s">
        <v>383</v>
      </c>
      <c r="H20" t="s">
        <v>1347</v>
      </c>
      <c r="J20" s="4" t="s">
        <v>1025</v>
      </c>
    </row>
    <row r="21" spans="2:10" x14ac:dyDescent="0.3">
      <c r="B21" t="s">
        <v>230</v>
      </c>
      <c r="C21" s="18" t="s">
        <v>754</v>
      </c>
      <c r="H21" t="s">
        <v>1160</v>
      </c>
      <c r="J21" s="4" t="s">
        <v>1026</v>
      </c>
    </row>
    <row r="22" spans="2:10" x14ac:dyDescent="0.3">
      <c r="B22" s="18" t="s">
        <v>237</v>
      </c>
      <c r="C22" s="18" t="s">
        <v>755</v>
      </c>
      <c r="H22" t="s">
        <v>1161</v>
      </c>
      <c r="J22" s="4" t="s">
        <v>1027</v>
      </c>
    </row>
    <row r="23" spans="2:10" x14ac:dyDescent="0.3">
      <c r="B23" s="18" t="s">
        <v>243</v>
      </c>
      <c r="C23" s="18" t="s">
        <v>756</v>
      </c>
      <c r="H23" t="s">
        <v>1162</v>
      </c>
      <c r="J23" s="4" t="s">
        <v>1028</v>
      </c>
    </row>
    <row r="24" spans="2:10" x14ac:dyDescent="0.3">
      <c r="B24" t="s">
        <v>246</v>
      </c>
      <c r="C24" s="18" t="s">
        <v>757</v>
      </c>
      <c r="H24" t="s">
        <v>1163</v>
      </c>
      <c r="J24" s="4" t="s">
        <v>1029</v>
      </c>
    </row>
    <row r="25" spans="2:10" x14ac:dyDescent="0.3">
      <c r="B25" t="s">
        <v>649</v>
      </c>
      <c r="C25" s="18" t="s">
        <v>758</v>
      </c>
      <c r="J25" t="s">
        <v>1207</v>
      </c>
    </row>
    <row r="26" spans="2:10" x14ac:dyDescent="0.3">
      <c r="B26" t="s">
        <v>650</v>
      </c>
      <c r="C26" s="18" t="s">
        <v>759</v>
      </c>
    </row>
    <row r="27" spans="2:10" x14ac:dyDescent="0.3">
      <c r="B27" t="s">
        <v>651</v>
      </c>
      <c r="C27" s="18" t="s">
        <v>760</v>
      </c>
    </row>
    <row r="28" spans="2:10" x14ac:dyDescent="0.3">
      <c r="B28" t="s">
        <v>652</v>
      </c>
      <c r="C28" s="18" t="s">
        <v>761</v>
      </c>
    </row>
    <row r="29" spans="2:10" x14ac:dyDescent="0.3">
      <c r="B29" t="s">
        <v>653</v>
      </c>
      <c r="C29" s="18" t="s">
        <v>762</v>
      </c>
    </row>
    <row r="30" spans="2:10" x14ac:dyDescent="0.3">
      <c r="B30" t="s">
        <v>654</v>
      </c>
      <c r="C30" s="18" t="s">
        <v>763</v>
      </c>
    </row>
    <row r="31" spans="2:10" x14ac:dyDescent="0.3">
      <c r="B31" t="s">
        <v>655</v>
      </c>
      <c r="C31" s="18" t="s">
        <v>764</v>
      </c>
    </row>
    <row r="32" spans="2:10" x14ac:dyDescent="0.3">
      <c r="B32" t="s">
        <v>253</v>
      </c>
      <c r="C32" s="18" t="s">
        <v>765</v>
      </c>
    </row>
    <row r="33" spans="2:3" x14ac:dyDescent="0.3">
      <c r="B33" t="s">
        <v>256</v>
      </c>
      <c r="C33" s="18" t="s">
        <v>766</v>
      </c>
    </row>
    <row r="34" spans="2:3" x14ac:dyDescent="0.3">
      <c r="B34" t="s">
        <v>656</v>
      </c>
      <c r="C34" t="s">
        <v>767</v>
      </c>
    </row>
    <row r="35" spans="2:3" x14ac:dyDescent="0.3">
      <c r="B35" t="s">
        <v>657</v>
      </c>
      <c r="C35" s="18" t="s">
        <v>768</v>
      </c>
    </row>
    <row r="36" spans="2:3" x14ac:dyDescent="0.3">
      <c r="B36" t="s">
        <v>658</v>
      </c>
      <c r="C36" s="18" t="s">
        <v>769</v>
      </c>
    </row>
    <row r="37" spans="2:3" x14ac:dyDescent="0.3">
      <c r="B37" t="s">
        <v>659</v>
      </c>
      <c r="C37" s="18" t="s">
        <v>770</v>
      </c>
    </row>
    <row r="38" spans="2:3" x14ac:dyDescent="0.3">
      <c r="B38" t="s">
        <v>248</v>
      </c>
      <c r="C38" s="18" t="s">
        <v>771</v>
      </c>
    </row>
    <row r="39" spans="2:3" x14ac:dyDescent="0.3">
      <c r="B39" t="s">
        <v>262</v>
      </c>
      <c r="C39" s="18" t="s">
        <v>772</v>
      </c>
    </row>
    <row r="40" spans="2:3" x14ac:dyDescent="0.3">
      <c r="B40" t="s">
        <v>264</v>
      </c>
      <c r="C40" s="18" t="s">
        <v>773</v>
      </c>
    </row>
    <row r="41" spans="2:3" x14ac:dyDescent="0.3">
      <c r="B41" t="s">
        <v>660</v>
      </c>
      <c r="C41" s="18" t="s">
        <v>774</v>
      </c>
    </row>
    <row r="42" spans="2:3" x14ac:dyDescent="0.3">
      <c r="B42" t="s">
        <v>363</v>
      </c>
      <c r="C42" s="18" t="s">
        <v>775</v>
      </c>
    </row>
    <row r="43" spans="2:3" x14ac:dyDescent="0.3">
      <c r="B43" t="s">
        <v>267</v>
      </c>
      <c r="C43" s="18" t="s">
        <v>776</v>
      </c>
    </row>
    <row r="44" spans="2:3" x14ac:dyDescent="0.3">
      <c r="B44" t="s">
        <v>269</v>
      </c>
      <c r="C44" s="18" t="s">
        <v>777</v>
      </c>
    </row>
    <row r="45" spans="2:3" x14ac:dyDescent="0.3">
      <c r="B45" t="s">
        <v>271</v>
      </c>
      <c r="C45" s="18" t="s">
        <v>315</v>
      </c>
    </row>
    <row r="46" spans="2:3" x14ac:dyDescent="0.3">
      <c r="B46" t="s">
        <v>273</v>
      </c>
      <c r="C46" s="18" t="s">
        <v>852</v>
      </c>
    </row>
    <row r="47" spans="2:3" x14ac:dyDescent="0.3">
      <c r="B47" t="s">
        <v>661</v>
      </c>
      <c r="C47" s="18" t="s">
        <v>778</v>
      </c>
    </row>
    <row r="48" spans="2:3" x14ac:dyDescent="0.3">
      <c r="B48" t="s">
        <v>662</v>
      </c>
      <c r="C48" s="18" t="s">
        <v>853</v>
      </c>
    </row>
    <row r="49" spans="2:3" x14ac:dyDescent="0.3">
      <c r="B49" t="s">
        <v>275</v>
      </c>
      <c r="C49" s="18" t="s">
        <v>854</v>
      </c>
    </row>
    <row r="50" spans="2:3" x14ac:dyDescent="0.3">
      <c r="B50" t="s">
        <v>663</v>
      </c>
      <c r="C50" s="18" t="s">
        <v>855</v>
      </c>
    </row>
    <row r="51" spans="2:3" x14ac:dyDescent="0.3">
      <c r="B51" t="s">
        <v>277</v>
      </c>
      <c r="C51" s="18" t="s">
        <v>856</v>
      </c>
    </row>
    <row r="52" spans="2:3" x14ac:dyDescent="0.3">
      <c r="B52" t="s">
        <v>278</v>
      </c>
      <c r="C52" s="18" t="s">
        <v>857</v>
      </c>
    </row>
    <row r="53" spans="2:3" x14ac:dyDescent="0.3">
      <c r="B53" s="18" t="s">
        <v>664</v>
      </c>
      <c r="C53" t="s">
        <v>779</v>
      </c>
    </row>
    <row r="54" spans="2:3" x14ac:dyDescent="0.3">
      <c r="B54" t="s">
        <v>665</v>
      </c>
      <c r="C54" t="s">
        <v>784</v>
      </c>
    </row>
    <row r="55" spans="2:3" x14ac:dyDescent="0.3">
      <c r="B55" t="s">
        <v>666</v>
      </c>
      <c r="C55" t="s">
        <v>785</v>
      </c>
    </row>
    <row r="56" spans="2:3" x14ac:dyDescent="0.3">
      <c r="B56" t="s">
        <v>667</v>
      </c>
      <c r="C56" t="s">
        <v>786</v>
      </c>
    </row>
    <row r="57" spans="2:3" x14ac:dyDescent="0.3">
      <c r="B57" t="s">
        <v>668</v>
      </c>
      <c r="C57" t="s">
        <v>780</v>
      </c>
    </row>
    <row r="58" spans="2:3" x14ac:dyDescent="0.3">
      <c r="B58" t="s">
        <v>669</v>
      </c>
      <c r="C58" t="s">
        <v>781</v>
      </c>
    </row>
    <row r="59" spans="2:3" x14ac:dyDescent="0.3">
      <c r="B59" t="s">
        <v>670</v>
      </c>
      <c r="C59" t="s">
        <v>782</v>
      </c>
    </row>
    <row r="60" spans="2:3" x14ac:dyDescent="0.3">
      <c r="B60" t="s">
        <v>245</v>
      </c>
      <c r="C60" t="s">
        <v>787</v>
      </c>
    </row>
    <row r="61" spans="2:3" x14ac:dyDescent="0.3">
      <c r="B61" t="s">
        <v>252</v>
      </c>
      <c r="C61" t="s">
        <v>783</v>
      </c>
    </row>
    <row r="62" spans="2:3" x14ac:dyDescent="0.3">
      <c r="B62" t="s">
        <v>671</v>
      </c>
      <c r="C62" t="s">
        <v>788</v>
      </c>
    </row>
    <row r="63" spans="2:3" x14ac:dyDescent="0.3">
      <c r="B63" t="s">
        <v>258</v>
      </c>
      <c r="C63" t="s">
        <v>789</v>
      </c>
    </row>
    <row r="64" spans="2:3" x14ac:dyDescent="0.3">
      <c r="B64" t="s">
        <v>672</v>
      </c>
      <c r="C64" t="s">
        <v>790</v>
      </c>
    </row>
    <row r="65" spans="2:3" x14ac:dyDescent="0.3">
      <c r="B65" t="s">
        <v>280</v>
      </c>
      <c r="C65" t="s">
        <v>791</v>
      </c>
    </row>
    <row r="66" spans="2:3" x14ac:dyDescent="0.3">
      <c r="B66" t="s">
        <v>281</v>
      </c>
      <c r="C66" t="s">
        <v>792</v>
      </c>
    </row>
    <row r="67" spans="2:3" x14ac:dyDescent="0.3">
      <c r="B67" t="s">
        <v>231</v>
      </c>
      <c r="C67" t="s">
        <v>858</v>
      </c>
    </row>
    <row r="68" spans="2:3" x14ac:dyDescent="0.3">
      <c r="B68" t="s">
        <v>238</v>
      </c>
      <c r="C68" t="s">
        <v>793</v>
      </c>
    </row>
    <row r="69" spans="2:3" x14ac:dyDescent="0.3">
      <c r="B69" t="s">
        <v>244</v>
      </c>
      <c r="C69" t="s">
        <v>1189</v>
      </c>
    </row>
    <row r="70" spans="2:3" x14ac:dyDescent="0.3">
      <c r="B70" t="s">
        <v>1184</v>
      </c>
      <c r="C70" t="s">
        <v>1190</v>
      </c>
    </row>
    <row r="71" spans="2:3" x14ac:dyDescent="0.3">
      <c r="B71" t="s">
        <v>247</v>
      </c>
      <c r="C71" t="s">
        <v>794</v>
      </c>
    </row>
    <row r="72" spans="2:3" x14ac:dyDescent="0.3">
      <c r="B72" t="s">
        <v>251</v>
      </c>
      <c r="C72" t="s">
        <v>836</v>
      </c>
    </row>
    <row r="73" spans="2:3" x14ac:dyDescent="0.3">
      <c r="B73" t="s">
        <v>673</v>
      </c>
      <c r="C73" t="s">
        <v>859</v>
      </c>
    </row>
    <row r="74" spans="2:3" x14ac:dyDescent="0.3">
      <c r="B74" t="s">
        <v>254</v>
      </c>
      <c r="C74" t="s">
        <v>860</v>
      </c>
    </row>
    <row r="75" spans="2:3" x14ac:dyDescent="0.3">
      <c r="B75" t="s">
        <v>257</v>
      </c>
      <c r="C75" t="s">
        <v>795</v>
      </c>
    </row>
    <row r="76" spans="2:3" x14ac:dyDescent="0.3">
      <c r="B76" t="s">
        <v>260</v>
      </c>
      <c r="C76" t="s">
        <v>796</v>
      </c>
    </row>
    <row r="77" spans="2:3" x14ac:dyDescent="0.3">
      <c r="B77" t="s">
        <v>674</v>
      </c>
      <c r="C77" t="s">
        <v>861</v>
      </c>
    </row>
    <row r="78" spans="2:3" x14ac:dyDescent="0.3">
      <c r="B78" t="s">
        <v>675</v>
      </c>
      <c r="C78" t="s">
        <v>862</v>
      </c>
    </row>
    <row r="79" spans="2:3" x14ac:dyDescent="0.3">
      <c r="B79" t="s">
        <v>676</v>
      </c>
      <c r="C79" t="s">
        <v>863</v>
      </c>
    </row>
    <row r="80" spans="2:3" x14ac:dyDescent="0.3">
      <c r="B80" t="s">
        <v>263</v>
      </c>
      <c r="C80" t="s">
        <v>864</v>
      </c>
    </row>
    <row r="81" spans="2:3" x14ac:dyDescent="0.3">
      <c r="B81" t="s">
        <v>265</v>
      </c>
      <c r="C81" t="s">
        <v>797</v>
      </c>
    </row>
    <row r="82" spans="2:3" x14ac:dyDescent="0.3">
      <c r="B82" t="s">
        <v>266</v>
      </c>
      <c r="C82" t="s">
        <v>873</v>
      </c>
    </row>
    <row r="83" spans="2:3" x14ac:dyDescent="0.3">
      <c r="B83" t="s">
        <v>1450</v>
      </c>
      <c r="C83" t="s">
        <v>1449</v>
      </c>
    </row>
    <row r="84" spans="2:3" x14ac:dyDescent="0.3">
      <c r="B84" t="s">
        <v>677</v>
      </c>
      <c r="C84" t="s">
        <v>798</v>
      </c>
    </row>
    <row r="85" spans="2:3" x14ac:dyDescent="0.3">
      <c r="B85" t="s">
        <v>1129</v>
      </c>
      <c r="C85" t="s">
        <v>1130</v>
      </c>
    </row>
    <row r="86" spans="2:3" x14ac:dyDescent="0.3">
      <c r="B86" t="s">
        <v>678</v>
      </c>
      <c r="C86" t="s">
        <v>292</v>
      </c>
    </row>
    <row r="87" spans="2:3" x14ac:dyDescent="0.3">
      <c r="B87" t="s">
        <v>679</v>
      </c>
      <c r="C87" t="s">
        <v>293</v>
      </c>
    </row>
    <row r="88" spans="2:3" x14ac:dyDescent="0.3">
      <c r="B88" t="s">
        <v>680</v>
      </c>
      <c r="C88" t="s">
        <v>799</v>
      </c>
    </row>
    <row r="89" spans="2:3" x14ac:dyDescent="0.3">
      <c r="B89" t="s">
        <v>681</v>
      </c>
      <c r="C89" t="s">
        <v>800</v>
      </c>
    </row>
    <row r="90" spans="2:3" x14ac:dyDescent="0.3">
      <c r="B90" t="s">
        <v>682</v>
      </c>
      <c r="C90" t="s">
        <v>801</v>
      </c>
    </row>
    <row r="91" spans="2:3" x14ac:dyDescent="0.3">
      <c r="B91" t="s">
        <v>683</v>
      </c>
      <c r="C91" t="s">
        <v>802</v>
      </c>
    </row>
    <row r="92" spans="2:3" x14ac:dyDescent="0.3">
      <c r="B92" t="s">
        <v>684</v>
      </c>
      <c r="C92" t="s">
        <v>803</v>
      </c>
    </row>
    <row r="93" spans="2:3" x14ac:dyDescent="0.3">
      <c r="B93" t="s">
        <v>685</v>
      </c>
      <c r="C93" t="s">
        <v>804</v>
      </c>
    </row>
    <row r="94" spans="2:3" x14ac:dyDescent="0.3">
      <c r="B94" t="s">
        <v>686</v>
      </c>
      <c r="C94" t="s">
        <v>1178</v>
      </c>
    </row>
    <row r="95" spans="2:3" x14ac:dyDescent="0.3">
      <c r="B95" t="s">
        <v>1179</v>
      </c>
      <c r="C95" t="s">
        <v>1177</v>
      </c>
    </row>
    <row r="96" spans="2:3" x14ac:dyDescent="0.3">
      <c r="B96" t="s">
        <v>687</v>
      </c>
      <c r="C96" t="s">
        <v>805</v>
      </c>
    </row>
    <row r="97" spans="2:3" x14ac:dyDescent="0.3">
      <c r="B97" t="s">
        <v>688</v>
      </c>
      <c r="C97" t="s">
        <v>302</v>
      </c>
    </row>
    <row r="98" spans="2:3" x14ac:dyDescent="0.3">
      <c r="B98" t="s">
        <v>689</v>
      </c>
      <c r="C98" t="s">
        <v>806</v>
      </c>
    </row>
    <row r="99" spans="2:3" x14ac:dyDescent="0.3">
      <c r="B99" t="s">
        <v>139</v>
      </c>
      <c r="C99" t="s">
        <v>807</v>
      </c>
    </row>
    <row r="100" spans="2:3" x14ac:dyDescent="0.3">
      <c r="B100" t="s">
        <v>690</v>
      </c>
      <c r="C100" t="s">
        <v>808</v>
      </c>
    </row>
    <row r="101" spans="2:3" x14ac:dyDescent="0.3">
      <c r="B101" t="s">
        <v>234</v>
      </c>
      <c r="C101" t="s">
        <v>305</v>
      </c>
    </row>
    <row r="102" spans="2:3" x14ac:dyDescent="0.3">
      <c r="B102" t="s">
        <v>241</v>
      </c>
      <c r="C102" t="s">
        <v>306</v>
      </c>
    </row>
    <row r="103" spans="2:3" x14ac:dyDescent="0.3">
      <c r="B103" t="s">
        <v>140</v>
      </c>
      <c r="C103" t="s">
        <v>307</v>
      </c>
    </row>
    <row r="104" spans="2:3" x14ac:dyDescent="0.3">
      <c r="B104" t="s">
        <v>141</v>
      </c>
      <c r="C104" t="s">
        <v>809</v>
      </c>
    </row>
    <row r="105" spans="2:3" x14ac:dyDescent="0.3">
      <c r="B105" t="s">
        <v>691</v>
      </c>
      <c r="C105" t="s">
        <v>810</v>
      </c>
    </row>
    <row r="106" spans="2:3" x14ac:dyDescent="0.3">
      <c r="B106" t="s">
        <v>692</v>
      </c>
      <c r="C106" t="s">
        <v>811</v>
      </c>
    </row>
    <row r="107" spans="2:3" x14ac:dyDescent="0.3">
      <c r="B107" t="s">
        <v>693</v>
      </c>
      <c r="C107" t="s">
        <v>812</v>
      </c>
    </row>
    <row r="108" spans="2:3" x14ac:dyDescent="0.3">
      <c r="B108" t="s">
        <v>694</v>
      </c>
      <c r="C108" t="s">
        <v>813</v>
      </c>
    </row>
    <row r="109" spans="2:3" x14ac:dyDescent="0.3">
      <c r="B109" t="s">
        <v>695</v>
      </c>
      <c r="C109" t="s">
        <v>814</v>
      </c>
    </row>
    <row r="110" spans="2:3" x14ac:dyDescent="0.3">
      <c r="B110" t="s">
        <v>696</v>
      </c>
      <c r="C110" t="s">
        <v>815</v>
      </c>
    </row>
    <row r="111" spans="2:3" x14ac:dyDescent="0.3">
      <c r="B111" t="s">
        <v>697</v>
      </c>
      <c r="C111" t="s">
        <v>816</v>
      </c>
    </row>
    <row r="112" spans="2:3" x14ac:dyDescent="0.3">
      <c r="B112" t="s">
        <v>142</v>
      </c>
      <c r="C112" t="s">
        <v>817</v>
      </c>
    </row>
    <row r="113" spans="2:3" x14ac:dyDescent="0.3">
      <c r="B113" t="s">
        <v>143</v>
      </c>
      <c r="C113" t="s">
        <v>221</v>
      </c>
    </row>
    <row r="114" spans="2:3" x14ac:dyDescent="0.3">
      <c r="B114" t="s">
        <v>698</v>
      </c>
      <c r="C114" t="s">
        <v>818</v>
      </c>
    </row>
    <row r="115" spans="2:3" x14ac:dyDescent="0.3">
      <c r="B115" t="s">
        <v>699</v>
      </c>
      <c r="C115" t="s">
        <v>819</v>
      </c>
    </row>
    <row r="116" spans="2:3" x14ac:dyDescent="0.3">
      <c r="B116" t="s">
        <v>700</v>
      </c>
      <c r="C116" t="s">
        <v>820</v>
      </c>
    </row>
    <row r="117" spans="2:3" x14ac:dyDescent="0.3">
      <c r="B117" t="s">
        <v>701</v>
      </c>
      <c r="C117" t="s">
        <v>821</v>
      </c>
    </row>
    <row r="118" spans="2:3" x14ac:dyDescent="0.3">
      <c r="B118" t="s">
        <v>144</v>
      </c>
      <c r="C118" t="s">
        <v>822</v>
      </c>
    </row>
    <row r="119" spans="2:3" x14ac:dyDescent="0.3">
      <c r="B119" t="s">
        <v>145</v>
      </c>
      <c r="C119" t="s">
        <v>823</v>
      </c>
    </row>
    <row r="120" spans="2:3" x14ac:dyDescent="0.3">
      <c r="B120" t="s">
        <v>146</v>
      </c>
      <c r="C120" t="s">
        <v>824</v>
      </c>
    </row>
    <row r="121" spans="2:3" x14ac:dyDescent="0.3">
      <c r="B121" t="s">
        <v>702</v>
      </c>
      <c r="C121" t="s">
        <v>825</v>
      </c>
    </row>
    <row r="122" spans="2:3" x14ac:dyDescent="0.3">
      <c r="B122" t="s">
        <v>364</v>
      </c>
      <c r="C122" t="s">
        <v>826</v>
      </c>
    </row>
    <row r="123" spans="2:3" x14ac:dyDescent="0.3">
      <c r="B123" t="s">
        <v>268</v>
      </c>
      <c r="C123" t="s">
        <v>827</v>
      </c>
    </row>
    <row r="124" spans="2:3" x14ac:dyDescent="0.3">
      <c r="B124" t="s">
        <v>270</v>
      </c>
      <c r="C124" t="s">
        <v>828</v>
      </c>
    </row>
    <row r="125" spans="2:3" x14ac:dyDescent="0.3">
      <c r="B125" t="s">
        <v>272</v>
      </c>
      <c r="C125" t="s">
        <v>315</v>
      </c>
    </row>
    <row r="126" spans="2:3" x14ac:dyDescent="0.3">
      <c r="B126" t="s">
        <v>274</v>
      </c>
      <c r="C126" t="s">
        <v>829</v>
      </c>
    </row>
    <row r="127" spans="2:3" x14ac:dyDescent="0.3">
      <c r="B127" t="s">
        <v>703</v>
      </c>
      <c r="C127" t="s">
        <v>865</v>
      </c>
    </row>
    <row r="128" spans="2:3" x14ac:dyDescent="0.3">
      <c r="B128" t="s">
        <v>704</v>
      </c>
      <c r="C128" t="s">
        <v>866</v>
      </c>
    </row>
    <row r="129" spans="2:3" x14ac:dyDescent="0.3">
      <c r="B129" t="s">
        <v>276</v>
      </c>
      <c r="C129" t="s">
        <v>867</v>
      </c>
    </row>
    <row r="130" spans="2:3" x14ac:dyDescent="0.3">
      <c r="B130" t="s">
        <v>705</v>
      </c>
      <c r="C130" t="s">
        <v>868</v>
      </c>
    </row>
    <row r="131" spans="2:3" x14ac:dyDescent="0.3">
      <c r="B131" t="s">
        <v>147</v>
      </c>
      <c r="C131" t="s">
        <v>869</v>
      </c>
    </row>
    <row r="132" spans="2:3" x14ac:dyDescent="0.3">
      <c r="B132" t="s">
        <v>279</v>
      </c>
      <c r="C132" t="s">
        <v>870</v>
      </c>
    </row>
    <row r="133" spans="2:3" x14ac:dyDescent="0.3">
      <c r="B133" t="s">
        <v>169</v>
      </c>
      <c r="C133" t="s">
        <v>830</v>
      </c>
    </row>
    <row r="134" spans="2:3" x14ac:dyDescent="0.3">
      <c r="B134" t="s">
        <v>148</v>
      </c>
      <c r="C134" t="s">
        <v>342</v>
      </c>
    </row>
    <row r="135" spans="2:3" x14ac:dyDescent="0.3">
      <c r="B135" t="s">
        <v>149</v>
      </c>
      <c r="C135" t="s">
        <v>831</v>
      </c>
    </row>
    <row r="136" spans="2:3" x14ac:dyDescent="0.3">
      <c r="B136" t="s">
        <v>150</v>
      </c>
      <c r="C136" t="s">
        <v>191</v>
      </c>
    </row>
    <row r="137" spans="2:3" x14ac:dyDescent="0.3">
      <c r="B137" t="s">
        <v>151</v>
      </c>
      <c r="C137" t="s">
        <v>858</v>
      </c>
    </row>
    <row r="138" spans="2:3" x14ac:dyDescent="0.3">
      <c r="B138" t="s">
        <v>152</v>
      </c>
      <c r="C138" t="s">
        <v>832</v>
      </c>
    </row>
    <row r="139" spans="2:3" x14ac:dyDescent="0.3">
      <c r="B139" t="s">
        <v>153</v>
      </c>
      <c r="C139" t="s">
        <v>833</v>
      </c>
    </row>
    <row r="140" spans="2:3" x14ac:dyDescent="0.3">
      <c r="B140" t="s">
        <v>154</v>
      </c>
      <c r="C140" t="s">
        <v>834</v>
      </c>
    </row>
    <row r="141" spans="2:3" x14ac:dyDescent="0.3">
      <c r="B141" t="s">
        <v>155</v>
      </c>
      <c r="C141" t="s">
        <v>835</v>
      </c>
    </row>
    <row r="142" spans="2:3" x14ac:dyDescent="0.3">
      <c r="B142" t="s">
        <v>706</v>
      </c>
      <c r="C142" t="s">
        <v>859</v>
      </c>
    </row>
    <row r="143" spans="2:3" x14ac:dyDescent="0.3">
      <c r="B143" t="s">
        <v>156</v>
      </c>
      <c r="C143" t="s">
        <v>871</v>
      </c>
    </row>
    <row r="144" spans="2:3" x14ac:dyDescent="0.3">
      <c r="B144" t="s">
        <v>157</v>
      </c>
      <c r="C144" t="s">
        <v>795</v>
      </c>
    </row>
    <row r="145" spans="2:3" x14ac:dyDescent="0.3">
      <c r="B145" t="s">
        <v>158</v>
      </c>
      <c r="C145" t="s">
        <v>872</v>
      </c>
    </row>
    <row r="146" spans="2:3" x14ac:dyDescent="0.3">
      <c r="B146" t="s">
        <v>707</v>
      </c>
      <c r="C146" t="s">
        <v>861</v>
      </c>
    </row>
    <row r="147" spans="2:3" x14ac:dyDescent="0.3">
      <c r="B147" t="s">
        <v>708</v>
      </c>
      <c r="C147" t="s">
        <v>862</v>
      </c>
    </row>
    <row r="148" spans="2:3" x14ac:dyDescent="0.3">
      <c r="B148" t="s">
        <v>709</v>
      </c>
      <c r="C148" t="s">
        <v>863</v>
      </c>
    </row>
    <row r="149" spans="2:3" x14ac:dyDescent="0.3">
      <c r="B149" t="s">
        <v>159</v>
      </c>
      <c r="C149" t="s">
        <v>864</v>
      </c>
    </row>
    <row r="150" spans="2:3" x14ac:dyDescent="0.3">
      <c r="B150" t="s">
        <v>160</v>
      </c>
      <c r="C150" t="s">
        <v>797</v>
      </c>
    </row>
    <row r="151" spans="2:3" x14ac:dyDescent="0.3">
      <c r="B151" t="s">
        <v>161</v>
      </c>
      <c r="C151" t="s">
        <v>873</v>
      </c>
    </row>
    <row r="152" spans="2:3" x14ac:dyDescent="0.3">
      <c r="B152" t="s">
        <v>1448</v>
      </c>
      <c r="C152" t="s">
        <v>1449</v>
      </c>
    </row>
    <row r="153" spans="2:3" x14ac:dyDescent="0.3">
      <c r="B153" s="21" t="s">
        <v>710</v>
      </c>
      <c r="C153" t="s">
        <v>798</v>
      </c>
    </row>
    <row r="154" spans="2:3" x14ac:dyDescent="0.3">
      <c r="B154" s="21" t="s">
        <v>1131</v>
      </c>
      <c r="C154" t="s">
        <v>1130</v>
      </c>
    </row>
    <row r="155" spans="2:3" x14ac:dyDescent="0.3">
      <c r="B155" s="21" t="s">
        <v>711</v>
      </c>
      <c r="C155" t="s">
        <v>839</v>
      </c>
    </row>
    <row r="156" spans="2:3" x14ac:dyDescent="0.3">
      <c r="B156" s="21" t="s">
        <v>712</v>
      </c>
      <c r="C156" t="s">
        <v>840</v>
      </c>
    </row>
    <row r="157" spans="2:3" x14ac:dyDescent="0.3">
      <c r="B157" t="s">
        <v>713</v>
      </c>
      <c r="C157" t="s">
        <v>841</v>
      </c>
    </row>
    <row r="158" spans="2:3" x14ac:dyDescent="0.3">
      <c r="B158" s="21" t="s">
        <v>162</v>
      </c>
      <c r="C158" t="s">
        <v>35</v>
      </c>
    </row>
    <row r="159" spans="2:3" x14ac:dyDescent="0.3">
      <c r="B159" s="4" t="s">
        <v>1012</v>
      </c>
      <c r="C159" t="s">
        <v>1210</v>
      </c>
    </row>
    <row r="160" spans="2:3" x14ac:dyDescent="0.3">
      <c r="B160" s="4" t="s">
        <v>1013</v>
      </c>
      <c r="C160" t="s">
        <v>1211</v>
      </c>
    </row>
    <row r="161" spans="2:3" x14ac:dyDescent="0.3">
      <c r="B161" s="4" t="s">
        <v>1014</v>
      </c>
      <c r="C161" t="s">
        <v>1212</v>
      </c>
    </row>
    <row r="162" spans="2:3" x14ac:dyDescent="0.3">
      <c r="B162" s="4" t="s">
        <v>1015</v>
      </c>
      <c r="C162" t="s">
        <v>1213</v>
      </c>
    </row>
    <row r="163" spans="2:3" x14ac:dyDescent="0.3">
      <c r="B163" s="4" t="s">
        <v>1016</v>
      </c>
      <c r="C163" t="s">
        <v>1214</v>
      </c>
    </row>
    <row r="164" spans="2:3" x14ac:dyDescent="0.3">
      <c r="B164" s="4" t="s">
        <v>1017</v>
      </c>
      <c r="C164" t="s">
        <v>1215</v>
      </c>
    </row>
    <row r="165" spans="2:3" x14ac:dyDescent="0.3">
      <c r="B165" s="4" t="s">
        <v>1018</v>
      </c>
      <c r="C165" t="s">
        <v>1216</v>
      </c>
    </row>
    <row r="166" spans="2:3" x14ac:dyDescent="0.3">
      <c r="B166" s="4" t="s">
        <v>1019</v>
      </c>
      <c r="C166" t="s">
        <v>1217</v>
      </c>
    </row>
    <row r="167" spans="2:3" x14ac:dyDescent="0.3">
      <c r="B167" s="4" t="s">
        <v>1020</v>
      </c>
      <c r="C167" t="s">
        <v>1218</v>
      </c>
    </row>
    <row r="168" spans="2:3" x14ac:dyDescent="0.3">
      <c r="B168" s="4" t="s">
        <v>1021</v>
      </c>
      <c r="C168" t="s">
        <v>1219</v>
      </c>
    </row>
    <row r="169" spans="2:3" x14ac:dyDescent="0.3">
      <c r="B169" s="4" t="s">
        <v>1022</v>
      </c>
      <c r="C169" t="s">
        <v>1220</v>
      </c>
    </row>
    <row r="170" spans="2:3" x14ac:dyDescent="0.3">
      <c r="B170" s="4" t="s">
        <v>1023</v>
      </c>
      <c r="C170" t="s">
        <v>1221</v>
      </c>
    </row>
    <row r="171" spans="2:3" x14ac:dyDescent="0.3">
      <c r="B171" s="4" t="s">
        <v>1024</v>
      </c>
      <c r="C171" t="s">
        <v>1222</v>
      </c>
    </row>
    <row r="172" spans="2:3" x14ac:dyDescent="0.3">
      <c r="B172" s="4" t="s">
        <v>1025</v>
      </c>
      <c r="C172" t="s">
        <v>1223</v>
      </c>
    </row>
    <row r="173" spans="2:3" x14ac:dyDescent="0.3">
      <c r="B173" s="4" t="s">
        <v>1026</v>
      </c>
      <c r="C173" t="s">
        <v>1224</v>
      </c>
    </row>
    <row r="174" spans="2:3" x14ac:dyDescent="0.3">
      <c r="B174" s="4" t="s">
        <v>1027</v>
      </c>
      <c r="C174" t="s">
        <v>1225</v>
      </c>
    </row>
    <row r="175" spans="2:3" x14ac:dyDescent="0.3">
      <c r="B175" s="4" t="s">
        <v>1028</v>
      </c>
      <c r="C175" t="s">
        <v>1226</v>
      </c>
    </row>
    <row r="176" spans="2:3" x14ac:dyDescent="0.3">
      <c r="B176" s="4" t="s">
        <v>1029</v>
      </c>
      <c r="C176" t="s">
        <v>1227</v>
      </c>
    </row>
    <row r="177" spans="2:3" x14ac:dyDescent="0.3">
      <c r="B177" t="s">
        <v>1207</v>
      </c>
      <c r="C177" t="s">
        <v>1209</v>
      </c>
    </row>
    <row r="178" spans="2:3" x14ac:dyDescent="0.3">
      <c r="B178" t="s">
        <v>714</v>
      </c>
      <c r="C178" t="s">
        <v>877</v>
      </c>
    </row>
    <row r="179" spans="2:3" x14ac:dyDescent="0.3">
      <c r="B179" t="s">
        <v>715</v>
      </c>
      <c r="C179" t="s">
        <v>837</v>
      </c>
    </row>
    <row r="180" spans="2:3" x14ac:dyDescent="0.3">
      <c r="B180" t="s">
        <v>716</v>
      </c>
      <c r="C180" t="s">
        <v>878</v>
      </c>
    </row>
    <row r="181" spans="2:3" x14ac:dyDescent="0.3">
      <c r="B181" t="s">
        <v>717</v>
      </c>
      <c r="C181" t="s">
        <v>881</v>
      </c>
    </row>
    <row r="182" spans="2:3" x14ac:dyDescent="0.3">
      <c r="B182" t="s">
        <v>718</v>
      </c>
      <c r="C182" t="s">
        <v>875</v>
      </c>
    </row>
    <row r="183" spans="2:3" x14ac:dyDescent="0.3">
      <c r="B183" t="s">
        <v>1335</v>
      </c>
      <c r="C183" t="s">
        <v>1339</v>
      </c>
    </row>
    <row r="184" spans="2:3" x14ac:dyDescent="0.3">
      <c r="B184" t="s">
        <v>1353</v>
      </c>
      <c r="C184" t="s">
        <v>1340</v>
      </c>
    </row>
    <row r="185" spans="2:3" x14ac:dyDescent="0.3">
      <c r="B185" t="s">
        <v>1336</v>
      </c>
      <c r="C185" t="s">
        <v>1341</v>
      </c>
    </row>
    <row r="186" spans="2:3" x14ac:dyDescent="0.3">
      <c r="B186" t="s">
        <v>1337</v>
      </c>
      <c r="C186" t="s">
        <v>1342</v>
      </c>
    </row>
    <row r="187" spans="2:3" x14ac:dyDescent="0.3">
      <c r="B187" t="s">
        <v>1338</v>
      </c>
      <c r="C187" t="s">
        <v>1343</v>
      </c>
    </row>
    <row r="188" spans="2:3" x14ac:dyDescent="0.3">
      <c r="B188" t="s">
        <v>1344</v>
      </c>
      <c r="C188" t="s">
        <v>1348</v>
      </c>
    </row>
    <row r="189" spans="2:3" x14ac:dyDescent="0.3">
      <c r="B189" t="s">
        <v>1388</v>
      </c>
      <c r="C189" t="s">
        <v>1349</v>
      </c>
    </row>
    <row r="190" spans="2:3" x14ac:dyDescent="0.3">
      <c r="B190" t="s">
        <v>1345</v>
      </c>
      <c r="C190" t="s">
        <v>1350</v>
      </c>
    </row>
    <row r="191" spans="2:3" x14ac:dyDescent="0.3">
      <c r="B191" t="s">
        <v>1346</v>
      </c>
      <c r="C191" t="s">
        <v>1351</v>
      </c>
    </row>
    <row r="192" spans="2:3" x14ac:dyDescent="0.3">
      <c r="B192" t="s">
        <v>1347</v>
      </c>
      <c r="C192" t="s">
        <v>1352</v>
      </c>
    </row>
    <row r="193" spans="2:3" x14ac:dyDescent="0.3">
      <c r="B193" t="s">
        <v>1160</v>
      </c>
      <c r="C193" t="s">
        <v>1164</v>
      </c>
    </row>
    <row r="194" spans="2:3" x14ac:dyDescent="0.3">
      <c r="B194" t="s">
        <v>1161</v>
      </c>
      <c r="C194" t="s">
        <v>1165</v>
      </c>
    </row>
    <row r="195" spans="2:3" x14ac:dyDescent="0.3">
      <c r="B195" t="s">
        <v>1162</v>
      </c>
      <c r="C195" t="s">
        <v>1166</v>
      </c>
    </row>
    <row r="196" spans="2:3" x14ac:dyDescent="0.3">
      <c r="B196" t="s">
        <v>1163</v>
      </c>
      <c r="C196" t="s">
        <v>1167</v>
      </c>
    </row>
    <row r="197" spans="2:3" x14ac:dyDescent="0.3">
      <c r="B197" t="s">
        <v>164</v>
      </c>
      <c r="C197" t="s">
        <v>1</v>
      </c>
    </row>
    <row r="198" spans="2:3" x14ac:dyDescent="0.3">
      <c r="B198" t="s">
        <v>359</v>
      </c>
      <c r="C198" t="s">
        <v>838</v>
      </c>
    </row>
    <row r="199" spans="2:3" x14ac:dyDescent="0.3">
      <c r="B199" t="s">
        <v>719</v>
      </c>
      <c r="C199" t="s">
        <v>208</v>
      </c>
    </row>
    <row r="200" spans="2:3" x14ac:dyDescent="0.3">
      <c r="B200" t="s">
        <v>129</v>
      </c>
      <c r="C200" t="s">
        <v>2</v>
      </c>
    </row>
    <row r="201" spans="2:3" x14ac:dyDescent="0.3">
      <c r="B201" t="s">
        <v>163</v>
      </c>
      <c r="C201" t="s">
        <v>37</v>
      </c>
    </row>
    <row r="202" spans="2:3" x14ac:dyDescent="0.3">
      <c r="B202" t="s">
        <v>222</v>
      </c>
      <c r="C202" t="s">
        <v>842</v>
      </c>
    </row>
    <row r="203" spans="2:3" x14ac:dyDescent="0.3">
      <c r="B203" t="s">
        <v>137</v>
      </c>
      <c r="C203" t="s">
        <v>843</v>
      </c>
    </row>
    <row r="204" spans="2:3" x14ac:dyDescent="0.3">
      <c r="B204" s="4" t="s">
        <v>954</v>
      </c>
      <c r="C204" t="s">
        <v>879</v>
      </c>
    </row>
    <row r="205" spans="2:3" x14ac:dyDescent="0.3">
      <c r="B205" s="4" t="s">
        <v>955</v>
      </c>
      <c r="C205" t="s">
        <v>874</v>
      </c>
    </row>
    <row r="206" spans="2:3" x14ac:dyDescent="0.3">
      <c r="B206" s="4" t="s">
        <v>956</v>
      </c>
      <c r="C206" t="s">
        <v>880</v>
      </c>
    </row>
    <row r="207" spans="2:3" x14ac:dyDescent="0.3">
      <c r="B207" s="4" t="s">
        <v>957</v>
      </c>
      <c r="C207" t="s">
        <v>882</v>
      </c>
    </row>
    <row r="208" spans="2:3" x14ac:dyDescent="0.3">
      <c r="B208" s="4" t="s">
        <v>958</v>
      </c>
      <c r="C208" t="s">
        <v>876</v>
      </c>
    </row>
    <row r="209" spans="2:3" x14ac:dyDescent="0.3">
      <c r="B209" t="s">
        <v>1363</v>
      </c>
      <c r="C209" t="s">
        <v>1391</v>
      </c>
    </row>
    <row r="210" spans="2:3" x14ac:dyDescent="0.3">
      <c r="B210" t="s">
        <v>1364</v>
      </c>
      <c r="C210" t="s">
        <v>1354</v>
      </c>
    </row>
    <row r="211" spans="2:3" x14ac:dyDescent="0.3">
      <c r="B211" t="s">
        <v>1365</v>
      </c>
      <c r="C211" t="s">
        <v>1355</v>
      </c>
    </row>
    <row r="212" spans="2:3" x14ac:dyDescent="0.3">
      <c r="B212" t="s">
        <v>1366</v>
      </c>
      <c r="C212" t="s">
        <v>1356</v>
      </c>
    </row>
    <row r="213" spans="2:3" x14ac:dyDescent="0.3">
      <c r="B213" t="s">
        <v>1367</v>
      </c>
      <c r="C213" t="s">
        <v>1357</v>
      </c>
    </row>
    <row r="214" spans="2:3" x14ac:dyDescent="0.3">
      <c r="B214" t="s">
        <v>1368</v>
      </c>
      <c r="C214" t="s">
        <v>1358</v>
      </c>
    </row>
    <row r="215" spans="2:3" x14ac:dyDescent="0.3">
      <c r="B215" t="s">
        <v>1390</v>
      </c>
      <c r="C215" t="s">
        <v>1359</v>
      </c>
    </row>
    <row r="216" spans="2:3" x14ac:dyDescent="0.3">
      <c r="B216" t="s">
        <v>1369</v>
      </c>
      <c r="C216" t="s">
        <v>1360</v>
      </c>
    </row>
    <row r="217" spans="2:3" x14ac:dyDescent="0.3">
      <c r="B217" t="s">
        <v>1370</v>
      </c>
      <c r="C217" t="s">
        <v>1361</v>
      </c>
    </row>
    <row r="218" spans="2:3" x14ac:dyDescent="0.3">
      <c r="B218" t="s">
        <v>1371</v>
      </c>
      <c r="C218" t="s">
        <v>1362</v>
      </c>
    </row>
    <row r="219" spans="2:3" x14ac:dyDescent="0.3">
      <c r="B219" t="s">
        <v>1152</v>
      </c>
      <c r="C219" t="s">
        <v>1247</v>
      </c>
    </row>
    <row r="220" spans="2:3" x14ac:dyDescent="0.3">
      <c r="B220" t="s">
        <v>1153</v>
      </c>
      <c r="C220" t="s">
        <v>1248</v>
      </c>
    </row>
    <row r="221" spans="2:3" x14ac:dyDescent="0.3">
      <c r="B221" t="s">
        <v>1154</v>
      </c>
      <c r="C221" t="s">
        <v>1249</v>
      </c>
    </row>
    <row r="222" spans="2:3" x14ac:dyDescent="0.3">
      <c r="B222" t="s">
        <v>1155</v>
      </c>
      <c r="C222" t="s">
        <v>1250</v>
      </c>
    </row>
    <row r="223" spans="2:3" x14ac:dyDescent="0.3">
      <c r="B223" s="4" t="s">
        <v>188</v>
      </c>
      <c r="C223" t="s">
        <v>845</v>
      </c>
    </row>
    <row r="224" spans="2:3" x14ac:dyDescent="0.3">
      <c r="B224" s="4" t="s">
        <v>187</v>
      </c>
      <c r="C224" t="s">
        <v>844</v>
      </c>
    </row>
    <row r="225" spans="2:3" x14ac:dyDescent="0.3">
      <c r="B225" s="4" t="s">
        <v>1064</v>
      </c>
      <c r="C225" t="s">
        <v>1228</v>
      </c>
    </row>
    <row r="226" spans="2:3" x14ac:dyDescent="0.3">
      <c r="B226" s="4" t="s">
        <v>1047</v>
      </c>
      <c r="C226" t="s">
        <v>1229</v>
      </c>
    </row>
    <row r="227" spans="2:3" x14ac:dyDescent="0.3">
      <c r="B227" s="4" t="s">
        <v>1048</v>
      </c>
      <c r="C227" t="s">
        <v>1230</v>
      </c>
    </row>
    <row r="228" spans="2:3" x14ac:dyDescent="0.3">
      <c r="B228" s="4" t="s">
        <v>1049</v>
      </c>
      <c r="C228" t="s">
        <v>1231</v>
      </c>
    </row>
    <row r="229" spans="2:3" x14ac:dyDescent="0.3">
      <c r="B229" s="4" t="s">
        <v>1050</v>
      </c>
      <c r="C229" t="s">
        <v>1232</v>
      </c>
    </row>
    <row r="230" spans="2:3" x14ac:dyDescent="0.3">
      <c r="B230" s="4" t="s">
        <v>1051</v>
      </c>
      <c r="C230" t="s">
        <v>1233</v>
      </c>
    </row>
    <row r="231" spans="2:3" x14ac:dyDescent="0.3">
      <c r="B231" s="4" t="s">
        <v>1052</v>
      </c>
      <c r="C231" t="s">
        <v>1234</v>
      </c>
    </row>
    <row r="232" spans="2:3" x14ac:dyDescent="0.3">
      <c r="B232" s="4" t="s">
        <v>1053</v>
      </c>
      <c r="C232" t="s">
        <v>1235</v>
      </c>
    </row>
    <row r="233" spans="2:3" x14ac:dyDescent="0.3">
      <c r="B233" s="4" t="s">
        <v>1054</v>
      </c>
      <c r="C233" t="s">
        <v>1236</v>
      </c>
    </row>
    <row r="234" spans="2:3" x14ac:dyDescent="0.3">
      <c r="B234" s="4" t="s">
        <v>1055</v>
      </c>
      <c r="C234" t="s">
        <v>1237</v>
      </c>
    </row>
    <row r="235" spans="2:3" x14ac:dyDescent="0.3">
      <c r="B235" s="4" t="s">
        <v>1056</v>
      </c>
      <c r="C235" t="s">
        <v>1238</v>
      </c>
    </row>
    <row r="236" spans="2:3" x14ac:dyDescent="0.3">
      <c r="B236" s="4" t="s">
        <v>1057</v>
      </c>
      <c r="C236" t="s">
        <v>1239</v>
      </c>
    </row>
    <row r="237" spans="2:3" x14ac:dyDescent="0.3">
      <c r="B237" s="4" t="s">
        <v>1058</v>
      </c>
      <c r="C237" t="s">
        <v>1240</v>
      </c>
    </row>
    <row r="238" spans="2:3" x14ac:dyDescent="0.3">
      <c r="B238" s="4" t="s">
        <v>1059</v>
      </c>
      <c r="C238" t="s">
        <v>1241</v>
      </c>
    </row>
    <row r="239" spans="2:3" x14ac:dyDescent="0.3">
      <c r="B239" s="4" t="s">
        <v>1060</v>
      </c>
      <c r="C239" t="s">
        <v>1242</v>
      </c>
    </row>
    <row r="240" spans="2:3" x14ac:dyDescent="0.3">
      <c r="B240" s="4" t="s">
        <v>1061</v>
      </c>
      <c r="C240" t="s">
        <v>1243</v>
      </c>
    </row>
    <row r="241" spans="2:3" x14ac:dyDescent="0.3">
      <c r="B241" s="4" t="s">
        <v>1062</v>
      </c>
      <c r="C241" t="s">
        <v>1244</v>
      </c>
    </row>
    <row r="242" spans="2:3" x14ac:dyDescent="0.3">
      <c r="B242" s="4" t="s">
        <v>1063</v>
      </c>
      <c r="C242" t="s">
        <v>1245</v>
      </c>
    </row>
    <row r="243" spans="2:3" x14ac:dyDescent="0.3">
      <c r="B243" s="4" t="s">
        <v>1208</v>
      </c>
      <c r="C243" t="s">
        <v>1246</v>
      </c>
    </row>
    <row r="244" spans="2:3" x14ac:dyDescent="0.3">
      <c r="B244" s="4" t="s">
        <v>189</v>
      </c>
      <c r="C244" t="s">
        <v>846</v>
      </c>
    </row>
    <row r="245" spans="2:3" x14ac:dyDescent="0.3">
      <c r="B245" t="s">
        <v>951</v>
      </c>
      <c r="C245" t="s">
        <v>847</v>
      </c>
    </row>
    <row r="246" spans="2:3" x14ac:dyDescent="0.3">
      <c r="B246" t="s">
        <v>952</v>
      </c>
      <c r="C246" t="s">
        <v>848</v>
      </c>
    </row>
    <row r="247" spans="2:3" x14ac:dyDescent="0.3">
      <c r="B247" t="s">
        <v>166</v>
      </c>
      <c r="C247" t="s">
        <v>849</v>
      </c>
    </row>
    <row r="248" spans="2:3" x14ac:dyDescent="0.3">
      <c r="B248" t="s">
        <v>167</v>
      </c>
      <c r="C248" t="s">
        <v>850</v>
      </c>
    </row>
    <row r="249" spans="2:3" x14ac:dyDescent="0.3">
      <c r="B249" t="s">
        <v>953</v>
      </c>
      <c r="C249" t="s">
        <v>884</v>
      </c>
    </row>
    <row r="250" spans="2:3" x14ac:dyDescent="0.3">
      <c r="B250" t="s">
        <v>235</v>
      </c>
      <c r="C250" t="s">
        <v>883</v>
      </c>
    </row>
    <row r="251" spans="2:3" x14ac:dyDescent="0.3">
      <c r="B251" t="s">
        <v>168</v>
      </c>
      <c r="C251" t="s">
        <v>851</v>
      </c>
    </row>
    <row r="252" spans="2:3" x14ac:dyDescent="0.3">
      <c r="B252" t="s">
        <v>343</v>
      </c>
      <c r="C252" t="s">
        <v>885</v>
      </c>
    </row>
    <row r="253" spans="2:3" x14ac:dyDescent="0.3">
      <c r="B253" t="s">
        <v>344</v>
      </c>
      <c r="C253" t="s">
        <v>886</v>
      </c>
    </row>
    <row r="254" spans="2:3" x14ac:dyDescent="0.3">
      <c r="B254" t="s">
        <v>732</v>
      </c>
      <c r="C254" t="s">
        <v>887</v>
      </c>
    </row>
    <row r="255" spans="2:3" x14ac:dyDescent="0.3">
      <c r="B255" t="s">
        <v>730</v>
      </c>
      <c r="C255" t="s">
        <v>888</v>
      </c>
    </row>
    <row r="256" spans="2:3" x14ac:dyDescent="0.3">
      <c r="B256" t="s">
        <v>289</v>
      </c>
      <c r="C256" t="s">
        <v>889</v>
      </c>
    </row>
    <row r="257" spans="2:3" x14ac:dyDescent="0.3">
      <c r="B257" t="s">
        <v>736</v>
      </c>
      <c r="C257" t="s">
        <v>890</v>
      </c>
    </row>
    <row r="258" spans="2:3" x14ac:dyDescent="0.3">
      <c r="B258" t="s">
        <v>737</v>
      </c>
      <c r="C258" t="s">
        <v>891</v>
      </c>
    </row>
    <row r="259" spans="2:3" x14ac:dyDescent="0.3">
      <c r="B259" t="s">
        <v>733</v>
      </c>
      <c r="C259" t="s">
        <v>892</v>
      </c>
    </row>
    <row r="260" spans="2:3" x14ac:dyDescent="0.3">
      <c r="B260" t="s">
        <v>731</v>
      </c>
      <c r="C260" t="s">
        <v>893</v>
      </c>
    </row>
    <row r="261" spans="2:3" x14ac:dyDescent="0.3">
      <c r="B261" t="s">
        <v>734</v>
      </c>
      <c r="C261" t="s">
        <v>894</v>
      </c>
    </row>
    <row r="262" spans="2:3" x14ac:dyDescent="0.3">
      <c r="B262" t="s">
        <v>735</v>
      </c>
      <c r="C262" t="s">
        <v>895</v>
      </c>
    </row>
    <row r="263" spans="2:3" x14ac:dyDescent="0.3">
      <c r="B263" t="s">
        <v>345</v>
      </c>
      <c r="C263" t="s">
        <v>896</v>
      </c>
    </row>
    <row r="264" spans="2:3" x14ac:dyDescent="0.3">
      <c r="B264" t="s">
        <v>738</v>
      </c>
      <c r="C264" t="s">
        <v>897</v>
      </c>
    </row>
    <row r="265" spans="2:3" x14ac:dyDescent="0.3">
      <c r="B265" t="s">
        <v>739</v>
      </c>
      <c r="C265" t="s">
        <v>898</v>
      </c>
    </row>
    <row r="266" spans="2:3" x14ac:dyDescent="0.3">
      <c r="B266" t="s">
        <v>346</v>
      </c>
      <c r="C266" t="s">
        <v>899</v>
      </c>
    </row>
    <row r="267" spans="2:3" x14ac:dyDescent="0.3">
      <c r="B267" t="s">
        <v>347</v>
      </c>
      <c r="C267" t="s">
        <v>900</v>
      </c>
    </row>
    <row r="268" spans="2:3" x14ac:dyDescent="0.3">
      <c r="B268" t="s">
        <v>349</v>
      </c>
    </row>
    <row r="269" spans="2:3" x14ac:dyDescent="0.3">
      <c r="B269" t="s">
        <v>720</v>
      </c>
    </row>
    <row r="270" spans="2:3" x14ac:dyDescent="0.3">
      <c r="B270" t="s">
        <v>721</v>
      </c>
    </row>
    <row r="271" spans="2:3" x14ac:dyDescent="0.3">
      <c r="B271" t="s">
        <v>722</v>
      </c>
    </row>
    <row r="272" spans="2:3" x14ac:dyDescent="0.3">
      <c r="B272" t="s">
        <v>723</v>
      </c>
    </row>
    <row r="273" spans="2:2" x14ac:dyDescent="0.3">
      <c r="B273" t="s">
        <v>724</v>
      </c>
    </row>
    <row r="274" spans="2:2" x14ac:dyDescent="0.3">
      <c r="B274" t="s">
        <v>725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Y397"/>
  <sheetViews>
    <sheetView workbookViewId="0">
      <selection activeCell="A24" sqref="A24"/>
    </sheetView>
  </sheetViews>
  <sheetFormatPr baseColWidth="10" defaultColWidth="8.88671875" defaultRowHeight="14.4" x14ac:dyDescent="0.3"/>
  <cols>
    <col min="2" max="2" width="12.88671875" bestFit="1" customWidth="1"/>
    <col min="5" max="5" width="12.5546875" bestFit="1" customWidth="1"/>
    <col min="6" max="6" width="13.44140625" bestFit="1" customWidth="1"/>
    <col min="7" max="7" width="21.77734375" customWidth="1"/>
    <col min="8" max="8" width="12.5546875" bestFit="1" customWidth="1"/>
    <col min="9" max="9" width="13.44140625" bestFit="1" customWidth="1"/>
    <col min="11" max="11" width="22.77734375" customWidth="1"/>
  </cols>
  <sheetData>
    <row r="1" spans="1:25" s="9" customFormat="1" ht="13.2" x14ac:dyDescent="0.25">
      <c r="A1" s="8" t="s">
        <v>107</v>
      </c>
    </row>
    <row r="2" spans="1:25" s="9" customFormat="1" ht="13.2" x14ac:dyDescent="0.25">
      <c r="A2" s="13" t="str">
        <f>+A5</f>
        <v>mapaGTAP</v>
      </c>
      <c r="B2" s="13">
        <f t="shared" ref="B2:Y2" si="0">+B5</f>
        <v>0</v>
      </c>
      <c r="C2" s="13">
        <f t="shared" si="0"/>
        <v>0</v>
      </c>
      <c r="D2" s="13" t="str">
        <f t="shared" si="0"/>
        <v>mapcGTAP</v>
      </c>
      <c r="E2" s="13">
        <f t="shared" si="0"/>
        <v>0</v>
      </c>
      <c r="F2" s="13">
        <f t="shared" si="0"/>
        <v>0</v>
      </c>
      <c r="G2" s="13" t="str">
        <f t="shared" si="0"/>
        <v>mapis</v>
      </c>
      <c r="H2" s="13">
        <f t="shared" si="0"/>
        <v>0</v>
      </c>
      <c r="I2" s="13">
        <f t="shared" si="0"/>
        <v>0</v>
      </c>
      <c r="J2" s="13" t="str">
        <f t="shared" si="0"/>
        <v>maptax</v>
      </c>
      <c r="K2" s="13">
        <f t="shared" si="0"/>
        <v>0</v>
      </c>
      <c r="L2" s="13"/>
      <c r="M2" s="13" t="str">
        <f t="shared" si="0"/>
        <v>mapaagr</v>
      </c>
      <c r="N2" s="13">
        <f t="shared" si="0"/>
        <v>0</v>
      </c>
      <c r="O2" s="13">
        <f t="shared" si="0"/>
        <v>0</v>
      </c>
      <c r="P2" s="13">
        <f t="shared" si="0"/>
        <v>0</v>
      </c>
      <c r="Q2" s="13">
        <f t="shared" si="0"/>
        <v>0</v>
      </c>
      <c r="R2" s="13">
        <f t="shared" si="0"/>
        <v>0</v>
      </c>
      <c r="S2" s="13">
        <f t="shared" si="0"/>
        <v>0</v>
      </c>
      <c r="T2" s="13">
        <f t="shared" si="0"/>
        <v>0</v>
      </c>
      <c r="U2" s="13">
        <f t="shared" si="0"/>
        <v>0</v>
      </c>
      <c r="V2" s="13">
        <f t="shared" si="0"/>
        <v>0</v>
      </c>
      <c r="W2" s="13">
        <f t="shared" si="0"/>
        <v>0</v>
      </c>
      <c r="X2" s="13">
        <f t="shared" si="0"/>
        <v>0</v>
      </c>
      <c r="Y2" s="13">
        <f t="shared" si="0"/>
        <v>0</v>
      </c>
    </row>
    <row r="3" spans="1:25" s="9" customFormat="1" ht="13.2" x14ac:dyDescent="0.25">
      <c r="A3" s="9" t="str">
        <f>+SUBSTITUTE(ADDRESS(1,COLUMN(),4),"1","")</f>
        <v>A</v>
      </c>
      <c r="B3" s="9" t="str">
        <f t="shared" ref="B3:Y3" si="1">+SUBSTITUTE(ADDRESS(1,COLUMN(),4),"1","")</f>
        <v>B</v>
      </c>
      <c r="C3" s="9" t="str">
        <f t="shared" si="1"/>
        <v>C</v>
      </c>
      <c r="D3" s="9" t="str">
        <f t="shared" si="1"/>
        <v>D</v>
      </c>
      <c r="E3" s="9" t="str">
        <f t="shared" si="1"/>
        <v>E</v>
      </c>
      <c r="F3" s="9" t="str">
        <f t="shared" si="1"/>
        <v>F</v>
      </c>
      <c r="G3" s="9" t="str">
        <f t="shared" si="1"/>
        <v>G</v>
      </c>
      <c r="H3" s="9" t="str">
        <f>+SUBSTITUTE(ADDRESS(1,COLUMN(),4),"1","")</f>
        <v>H</v>
      </c>
      <c r="I3" s="9" t="str">
        <f t="shared" si="1"/>
        <v>I</v>
      </c>
      <c r="J3" s="9" t="str">
        <f t="shared" si="1"/>
        <v>J</v>
      </c>
      <c r="K3" s="9" t="str">
        <f t="shared" si="1"/>
        <v>K</v>
      </c>
      <c r="M3" s="9" t="str">
        <f t="shared" si="1"/>
        <v>M</v>
      </c>
      <c r="N3" s="9" t="str">
        <f t="shared" si="1"/>
        <v>N</v>
      </c>
      <c r="O3" s="9" t="str">
        <f t="shared" si="1"/>
        <v>O</v>
      </c>
      <c r="P3" s="9" t="str">
        <f t="shared" si="1"/>
        <v>P</v>
      </c>
      <c r="Q3" s="9" t="str">
        <f t="shared" si="1"/>
        <v>Q</v>
      </c>
      <c r="R3" s="9" t="str">
        <f t="shared" si="1"/>
        <v>R</v>
      </c>
      <c r="S3" s="9" t="str">
        <f t="shared" si="1"/>
        <v>S</v>
      </c>
      <c r="T3" s="9" t="str">
        <f t="shared" si="1"/>
        <v>T</v>
      </c>
      <c r="U3" s="9" t="str">
        <f t="shared" si="1"/>
        <v>U</v>
      </c>
      <c r="V3" s="9" t="str">
        <f t="shared" si="1"/>
        <v>V</v>
      </c>
      <c r="W3" s="9" t="str">
        <f t="shared" si="1"/>
        <v>W</v>
      </c>
      <c r="X3" s="9" t="str">
        <f t="shared" si="1"/>
        <v>X</v>
      </c>
      <c r="Y3" s="9" t="str">
        <f t="shared" si="1"/>
        <v>Y</v>
      </c>
    </row>
    <row r="4" spans="1:25" s="9" customFormat="1" ht="13.2" x14ac:dyDescent="0.25">
      <c r="A4" s="13"/>
      <c r="B4" s="8"/>
      <c r="C4" s="14"/>
      <c r="M4" s="9" t="s">
        <v>116</v>
      </c>
    </row>
    <row r="5" spans="1:25" s="15" customFormat="1" x14ac:dyDescent="0.3">
      <c r="A5" s="8" t="s">
        <v>105</v>
      </c>
      <c r="B5" s="9"/>
      <c r="C5" s="8"/>
      <c r="D5" t="s">
        <v>108</v>
      </c>
      <c r="F5" s="8"/>
      <c r="G5" t="s">
        <v>115</v>
      </c>
      <c r="I5" s="8"/>
      <c r="J5" t="s">
        <v>391</v>
      </c>
      <c r="K5" s="16"/>
      <c r="M5" s="15" t="s">
        <v>372</v>
      </c>
    </row>
    <row r="6" spans="1:25" x14ac:dyDescent="0.3">
      <c r="A6" t="s">
        <v>42</v>
      </c>
      <c r="B6" t="s">
        <v>466</v>
      </c>
      <c r="D6" t="s">
        <v>42</v>
      </c>
      <c r="E6" t="s">
        <v>542</v>
      </c>
      <c r="G6" t="s">
        <v>466</v>
      </c>
      <c r="H6" t="s">
        <v>636</v>
      </c>
      <c r="J6" t="s">
        <v>26</v>
      </c>
      <c r="K6" t="s">
        <v>167</v>
      </c>
      <c r="M6" t="s">
        <v>351</v>
      </c>
      <c r="N6" t="s">
        <v>636</v>
      </c>
    </row>
    <row r="7" spans="1:25" x14ac:dyDescent="0.3">
      <c r="A7" t="s">
        <v>46</v>
      </c>
      <c r="B7" t="s">
        <v>467</v>
      </c>
      <c r="D7" t="s">
        <v>46</v>
      </c>
      <c r="E7" t="s">
        <v>543</v>
      </c>
      <c r="G7" t="s">
        <v>467</v>
      </c>
      <c r="H7" t="s">
        <v>637</v>
      </c>
      <c r="J7" t="s">
        <v>24</v>
      </c>
      <c r="K7" s="43" t="s">
        <v>166</v>
      </c>
      <c r="M7" t="s">
        <v>351</v>
      </c>
      <c r="N7" t="s">
        <v>637</v>
      </c>
    </row>
    <row r="8" spans="1:25" x14ac:dyDescent="0.3">
      <c r="A8" t="s">
        <v>47</v>
      </c>
      <c r="B8" t="s">
        <v>468</v>
      </c>
      <c r="D8" t="s">
        <v>47</v>
      </c>
      <c r="E8" t="s">
        <v>544</v>
      </c>
      <c r="G8" t="s">
        <v>468</v>
      </c>
      <c r="H8" t="s">
        <v>638</v>
      </c>
      <c r="J8" t="s">
        <v>34</v>
      </c>
      <c r="K8" t="s">
        <v>953</v>
      </c>
      <c r="M8" t="s">
        <v>351</v>
      </c>
      <c r="N8" t="s">
        <v>638</v>
      </c>
    </row>
    <row r="9" spans="1:25" x14ac:dyDescent="0.3">
      <c r="A9" t="s">
        <v>48</v>
      </c>
      <c r="B9" t="s">
        <v>469</v>
      </c>
      <c r="D9" t="s">
        <v>48</v>
      </c>
      <c r="E9" t="s">
        <v>545</v>
      </c>
      <c r="G9" t="s">
        <v>469</v>
      </c>
      <c r="H9" t="s">
        <v>639</v>
      </c>
      <c r="J9" t="s">
        <v>27</v>
      </c>
      <c r="K9" t="s">
        <v>952</v>
      </c>
      <c r="M9" t="s">
        <v>351</v>
      </c>
      <c r="N9" t="s">
        <v>639</v>
      </c>
    </row>
    <row r="10" spans="1:25" x14ac:dyDescent="0.3">
      <c r="A10" t="s">
        <v>49</v>
      </c>
      <c r="B10" t="s">
        <v>470</v>
      </c>
      <c r="D10" t="s">
        <v>49</v>
      </c>
      <c r="E10" t="s">
        <v>546</v>
      </c>
      <c r="G10" t="s">
        <v>470</v>
      </c>
      <c r="H10" t="s">
        <v>640</v>
      </c>
      <c r="J10" t="s">
        <v>395</v>
      </c>
      <c r="K10" t="s">
        <v>349</v>
      </c>
      <c r="M10" t="s">
        <v>351</v>
      </c>
      <c r="N10" t="s">
        <v>640</v>
      </c>
    </row>
    <row r="11" spans="1:25" x14ac:dyDescent="0.3">
      <c r="A11" t="s">
        <v>131</v>
      </c>
      <c r="B11" t="s">
        <v>471</v>
      </c>
      <c r="D11" t="s">
        <v>131</v>
      </c>
      <c r="E11" t="s">
        <v>547</v>
      </c>
      <c r="G11" t="s">
        <v>471</v>
      </c>
      <c r="H11" t="s">
        <v>641</v>
      </c>
      <c r="J11" t="s">
        <v>31</v>
      </c>
      <c r="K11" t="s">
        <v>349</v>
      </c>
      <c r="M11" t="s">
        <v>351</v>
      </c>
      <c r="N11" t="s">
        <v>641</v>
      </c>
    </row>
    <row r="12" spans="1:25" x14ac:dyDescent="0.3">
      <c r="A12" t="s">
        <v>50</v>
      </c>
      <c r="B12" t="s">
        <v>472</v>
      </c>
      <c r="D12" t="s">
        <v>50</v>
      </c>
      <c r="E12" t="s">
        <v>548</v>
      </c>
      <c r="G12" t="s">
        <v>472</v>
      </c>
      <c r="H12" t="s">
        <v>642</v>
      </c>
      <c r="J12" t="s">
        <v>25</v>
      </c>
      <c r="K12" t="s">
        <v>349</v>
      </c>
      <c r="M12" t="s">
        <v>351</v>
      </c>
      <c r="N12" t="s">
        <v>642</v>
      </c>
    </row>
    <row r="13" spans="1:25" x14ac:dyDescent="0.3">
      <c r="A13" t="s">
        <v>51</v>
      </c>
      <c r="B13" t="s">
        <v>473</v>
      </c>
      <c r="D13" t="s">
        <v>51</v>
      </c>
      <c r="E13" t="s">
        <v>549</v>
      </c>
      <c r="G13" t="s">
        <v>473</v>
      </c>
      <c r="H13" t="s">
        <v>643</v>
      </c>
      <c r="J13" t="s">
        <v>28</v>
      </c>
      <c r="K13" t="s">
        <v>951</v>
      </c>
      <c r="M13" t="s">
        <v>351</v>
      </c>
      <c r="N13" t="s">
        <v>643</v>
      </c>
    </row>
    <row r="14" spans="1:25" x14ac:dyDescent="0.3">
      <c r="A14" t="s">
        <v>52</v>
      </c>
      <c r="B14" t="s">
        <v>474</v>
      </c>
      <c r="D14" t="s">
        <v>52</v>
      </c>
      <c r="E14" t="s">
        <v>550</v>
      </c>
      <c r="G14" t="s">
        <v>474</v>
      </c>
      <c r="H14" t="s">
        <v>644</v>
      </c>
      <c r="J14" t="s">
        <v>23</v>
      </c>
      <c r="K14" t="s">
        <v>349</v>
      </c>
      <c r="M14" t="s">
        <v>351</v>
      </c>
      <c r="N14" t="s">
        <v>644</v>
      </c>
    </row>
    <row r="15" spans="1:25" x14ac:dyDescent="0.3">
      <c r="A15" t="s">
        <v>52</v>
      </c>
      <c r="B15" t="s">
        <v>1180</v>
      </c>
      <c r="D15" t="s">
        <v>52</v>
      </c>
      <c r="E15" t="s">
        <v>1181</v>
      </c>
      <c r="G15" t="s">
        <v>1180</v>
      </c>
      <c r="H15" t="s">
        <v>1176</v>
      </c>
      <c r="K15" s="4"/>
      <c r="M15" t="s">
        <v>351</v>
      </c>
      <c r="N15" t="s">
        <v>1176</v>
      </c>
    </row>
    <row r="16" spans="1:25" x14ac:dyDescent="0.3">
      <c r="A16" t="s">
        <v>53</v>
      </c>
      <c r="B16" t="s">
        <v>475</v>
      </c>
      <c r="D16" t="s">
        <v>53</v>
      </c>
      <c r="E16" t="s">
        <v>551</v>
      </c>
      <c r="G16" t="s">
        <v>475</v>
      </c>
      <c r="H16" t="s">
        <v>645</v>
      </c>
      <c r="K16" s="4"/>
      <c r="M16" t="s">
        <v>351</v>
      </c>
      <c r="N16" t="s">
        <v>645</v>
      </c>
    </row>
    <row r="17" spans="1:14" x14ac:dyDescent="0.3">
      <c r="A17" t="s">
        <v>54</v>
      </c>
      <c r="B17" t="s">
        <v>476</v>
      </c>
      <c r="D17" t="s">
        <v>54</v>
      </c>
      <c r="E17" t="s">
        <v>552</v>
      </c>
      <c r="G17" t="s">
        <v>476</v>
      </c>
      <c r="H17" t="s">
        <v>646</v>
      </c>
      <c r="K17" s="4"/>
      <c r="M17" t="s">
        <v>351</v>
      </c>
      <c r="N17" t="s">
        <v>646</v>
      </c>
    </row>
    <row r="18" spans="1:14" x14ac:dyDescent="0.3">
      <c r="A18" t="s">
        <v>54</v>
      </c>
      <c r="B18" t="s">
        <v>1180</v>
      </c>
      <c r="D18" t="s">
        <v>54</v>
      </c>
      <c r="E18" t="s">
        <v>1181</v>
      </c>
      <c r="G18" t="s">
        <v>477</v>
      </c>
      <c r="H18" t="s">
        <v>647</v>
      </c>
      <c r="K18" s="4"/>
      <c r="M18" t="s">
        <v>351</v>
      </c>
      <c r="N18" t="s">
        <v>647</v>
      </c>
    </row>
    <row r="19" spans="1:14" x14ac:dyDescent="0.3">
      <c r="A19" t="s">
        <v>55</v>
      </c>
      <c r="B19" t="s">
        <v>477</v>
      </c>
      <c r="D19" t="s">
        <v>55</v>
      </c>
      <c r="E19" t="s">
        <v>553</v>
      </c>
      <c r="G19" t="s">
        <v>478</v>
      </c>
      <c r="H19" t="s">
        <v>242</v>
      </c>
      <c r="K19" s="4"/>
      <c r="M19" t="s">
        <v>351</v>
      </c>
      <c r="N19" t="s">
        <v>242</v>
      </c>
    </row>
    <row r="20" spans="1:14" x14ac:dyDescent="0.3">
      <c r="A20" t="s">
        <v>56</v>
      </c>
      <c r="B20" t="s">
        <v>478</v>
      </c>
      <c r="D20" t="s">
        <v>56</v>
      </c>
      <c r="E20" t="s">
        <v>554</v>
      </c>
      <c r="G20" t="s">
        <v>479</v>
      </c>
      <c r="H20" t="s">
        <v>648</v>
      </c>
      <c r="K20" s="4"/>
      <c r="M20" t="s">
        <v>351</v>
      </c>
      <c r="N20" t="s">
        <v>648</v>
      </c>
    </row>
    <row r="21" spans="1:14" x14ac:dyDescent="0.3">
      <c r="A21" t="s">
        <v>57</v>
      </c>
      <c r="B21" t="s">
        <v>479</v>
      </c>
      <c r="D21" t="s">
        <v>57</v>
      </c>
      <c r="E21" t="s">
        <v>555</v>
      </c>
      <c r="G21" t="s">
        <v>480</v>
      </c>
      <c r="H21" t="s">
        <v>230</v>
      </c>
      <c r="K21" s="4"/>
      <c r="M21" t="s">
        <v>353</v>
      </c>
      <c r="N21" t="s">
        <v>237</v>
      </c>
    </row>
    <row r="22" spans="1:14" x14ac:dyDescent="0.3">
      <c r="A22" t="s">
        <v>41</v>
      </c>
      <c r="B22" t="s">
        <v>480</v>
      </c>
      <c r="D22" t="s">
        <v>41</v>
      </c>
      <c r="E22" t="s">
        <v>556</v>
      </c>
      <c r="G22" s="18" t="s">
        <v>481</v>
      </c>
      <c r="H22" s="18" t="s">
        <v>237</v>
      </c>
      <c r="K22" s="4"/>
      <c r="M22" t="s">
        <v>353</v>
      </c>
      <c r="N22" t="s">
        <v>243</v>
      </c>
    </row>
    <row r="23" spans="1:14" x14ac:dyDescent="0.3">
      <c r="A23" t="s">
        <v>58</v>
      </c>
      <c r="B23" s="18" t="s">
        <v>481</v>
      </c>
      <c r="D23" t="s">
        <v>58</v>
      </c>
      <c r="E23" t="s">
        <v>557</v>
      </c>
      <c r="G23" s="18" t="s">
        <v>482</v>
      </c>
      <c r="H23" s="18" t="s">
        <v>243</v>
      </c>
      <c r="K23" s="4"/>
      <c r="M23" t="s">
        <v>353</v>
      </c>
      <c r="N23" t="s">
        <v>230</v>
      </c>
    </row>
    <row r="24" spans="1:14" x14ac:dyDescent="0.3">
      <c r="A24" t="s">
        <v>43</v>
      </c>
      <c r="B24" s="18" t="s">
        <v>482</v>
      </c>
      <c r="D24" t="s">
        <v>43</v>
      </c>
      <c r="E24" t="s">
        <v>558</v>
      </c>
      <c r="G24" t="s">
        <v>483</v>
      </c>
      <c r="H24" t="s">
        <v>246</v>
      </c>
      <c r="K24" s="4"/>
      <c r="M24" t="s">
        <v>353</v>
      </c>
      <c r="N24" t="s">
        <v>246</v>
      </c>
    </row>
    <row r="25" spans="1:14" x14ac:dyDescent="0.3">
      <c r="A25" t="s">
        <v>223</v>
      </c>
      <c r="B25" t="s">
        <v>483</v>
      </c>
      <c r="D25" t="s">
        <v>223</v>
      </c>
      <c r="E25" t="s">
        <v>559</v>
      </c>
      <c r="G25" t="s">
        <v>484</v>
      </c>
      <c r="H25" t="s">
        <v>649</v>
      </c>
      <c r="K25" s="4"/>
      <c r="M25" t="s">
        <v>133</v>
      </c>
      <c r="N25" t="s">
        <v>649</v>
      </c>
    </row>
    <row r="26" spans="1:14" x14ac:dyDescent="0.3">
      <c r="A26" t="s">
        <v>59</v>
      </c>
      <c r="B26" t="s">
        <v>484</v>
      </c>
      <c r="D26" t="s">
        <v>59</v>
      </c>
      <c r="E26" t="s">
        <v>560</v>
      </c>
      <c r="G26" t="s">
        <v>485</v>
      </c>
      <c r="H26" t="s">
        <v>650</v>
      </c>
      <c r="K26" s="4"/>
      <c r="M26" t="s">
        <v>133</v>
      </c>
      <c r="N26" t="s">
        <v>650</v>
      </c>
    </row>
    <row r="27" spans="1:14" x14ac:dyDescent="0.3">
      <c r="A27" t="s">
        <v>60</v>
      </c>
      <c r="B27" t="s">
        <v>485</v>
      </c>
      <c r="D27" t="s">
        <v>60</v>
      </c>
      <c r="E27" t="s">
        <v>561</v>
      </c>
      <c r="G27" t="s">
        <v>486</v>
      </c>
      <c r="H27" t="s">
        <v>651</v>
      </c>
      <c r="K27" s="4"/>
      <c r="M27" t="s">
        <v>133</v>
      </c>
      <c r="N27" t="s">
        <v>651</v>
      </c>
    </row>
    <row r="28" spans="1:14" x14ac:dyDescent="0.3">
      <c r="A28" t="s">
        <v>61</v>
      </c>
      <c r="B28" t="s">
        <v>486</v>
      </c>
      <c r="D28" t="s">
        <v>61</v>
      </c>
      <c r="E28" t="s">
        <v>562</v>
      </c>
      <c r="G28" t="s">
        <v>487</v>
      </c>
      <c r="H28" t="s">
        <v>652</v>
      </c>
      <c r="K28" s="4"/>
      <c r="M28" t="s">
        <v>133</v>
      </c>
      <c r="N28" t="s">
        <v>652</v>
      </c>
    </row>
    <row r="29" spans="1:14" x14ac:dyDescent="0.3">
      <c r="A29" t="s">
        <v>62</v>
      </c>
      <c r="B29" t="s">
        <v>487</v>
      </c>
      <c r="D29" t="s">
        <v>62</v>
      </c>
      <c r="E29" t="s">
        <v>563</v>
      </c>
      <c r="G29" t="s">
        <v>488</v>
      </c>
      <c r="H29" t="s">
        <v>653</v>
      </c>
      <c r="K29" s="4"/>
      <c r="M29" t="s">
        <v>133</v>
      </c>
      <c r="N29" t="s">
        <v>653</v>
      </c>
    </row>
    <row r="30" spans="1:14" x14ac:dyDescent="0.3">
      <c r="A30" t="s">
        <v>63</v>
      </c>
      <c r="B30" t="s">
        <v>488</v>
      </c>
      <c r="D30" t="s">
        <v>63</v>
      </c>
      <c r="E30" t="s">
        <v>564</v>
      </c>
      <c r="G30" t="s">
        <v>489</v>
      </c>
      <c r="H30" t="s">
        <v>654</v>
      </c>
      <c r="K30" s="4"/>
      <c r="M30" t="s">
        <v>133</v>
      </c>
      <c r="N30" t="s">
        <v>654</v>
      </c>
    </row>
    <row r="31" spans="1:14" x14ac:dyDescent="0.3">
      <c r="A31" t="s">
        <v>64</v>
      </c>
      <c r="B31" t="s">
        <v>489</v>
      </c>
      <c r="D31" t="s">
        <v>64</v>
      </c>
      <c r="E31" t="s">
        <v>565</v>
      </c>
      <c r="G31" t="s">
        <v>490</v>
      </c>
      <c r="H31" t="s">
        <v>655</v>
      </c>
      <c r="K31" s="4"/>
      <c r="M31" t="s">
        <v>133</v>
      </c>
      <c r="N31" t="s">
        <v>655</v>
      </c>
    </row>
    <row r="32" spans="1:14" x14ac:dyDescent="0.3">
      <c r="A32" t="s">
        <v>65</v>
      </c>
      <c r="B32" t="s">
        <v>490</v>
      </c>
      <c r="D32" t="s">
        <v>65</v>
      </c>
      <c r="E32" t="s">
        <v>566</v>
      </c>
      <c r="G32" t="s">
        <v>491</v>
      </c>
      <c r="H32" t="s">
        <v>253</v>
      </c>
      <c r="K32" s="4"/>
      <c r="M32" t="s">
        <v>133</v>
      </c>
      <c r="N32" t="s">
        <v>253</v>
      </c>
    </row>
    <row r="33" spans="1:14" x14ac:dyDescent="0.3">
      <c r="A33" t="s">
        <v>66</v>
      </c>
      <c r="B33" t="s">
        <v>491</v>
      </c>
      <c r="D33" t="s">
        <v>66</v>
      </c>
      <c r="E33" t="s">
        <v>567</v>
      </c>
      <c r="G33" t="s">
        <v>492</v>
      </c>
      <c r="H33" t="s">
        <v>256</v>
      </c>
      <c r="K33" s="4"/>
      <c r="M33" t="s">
        <v>133</v>
      </c>
      <c r="N33" t="s">
        <v>256</v>
      </c>
    </row>
    <row r="34" spans="1:14" x14ac:dyDescent="0.3">
      <c r="A34" t="s">
        <v>67</v>
      </c>
      <c r="B34" t="s">
        <v>492</v>
      </c>
      <c r="D34" t="s">
        <v>67</v>
      </c>
      <c r="E34" t="s">
        <v>568</v>
      </c>
      <c r="G34" t="s">
        <v>493</v>
      </c>
      <c r="H34" t="s">
        <v>656</v>
      </c>
      <c r="K34" s="4"/>
      <c r="M34" t="s">
        <v>133</v>
      </c>
      <c r="N34" t="s">
        <v>657</v>
      </c>
    </row>
    <row r="35" spans="1:14" x14ac:dyDescent="0.3">
      <c r="A35" t="s">
        <v>68</v>
      </c>
      <c r="B35" t="s">
        <v>493</v>
      </c>
      <c r="D35" t="s">
        <v>68</v>
      </c>
      <c r="E35" t="s">
        <v>569</v>
      </c>
      <c r="G35" t="s">
        <v>494</v>
      </c>
      <c r="H35" t="s">
        <v>657</v>
      </c>
      <c r="K35" s="4"/>
      <c r="M35" t="s">
        <v>133</v>
      </c>
      <c r="N35" t="s">
        <v>656</v>
      </c>
    </row>
    <row r="36" spans="1:14" x14ac:dyDescent="0.3">
      <c r="A36" t="s">
        <v>69</v>
      </c>
      <c r="B36" t="s">
        <v>494</v>
      </c>
      <c r="D36" t="s">
        <v>69</v>
      </c>
      <c r="E36" t="s">
        <v>570</v>
      </c>
      <c r="G36" t="s">
        <v>495</v>
      </c>
      <c r="H36" t="s">
        <v>658</v>
      </c>
      <c r="M36" t="s">
        <v>133</v>
      </c>
      <c r="N36" t="s">
        <v>658</v>
      </c>
    </row>
    <row r="37" spans="1:14" x14ac:dyDescent="0.3">
      <c r="A37" s="18" t="s">
        <v>70</v>
      </c>
      <c r="B37" t="s">
        <v>495</v>
      </c>
      <c r="D37" s="18" t="s">
        <v>70</v>
      </c>
      <c r="E37" t="s">
        <v>571</v>
      </c>
      <c r="G37" t="s">
        <v>496</v>
      </c>
      <c r="H37" t="s">
        <v>659</v>
      </c>
      <c r="M37" t="s">
        <v>133</v>
      </c>
      <c r="N37" t="s">
        <v>248</v>
      </c>
    </row>
    <row r="38" spans="1:14" x14ac:dyDescent="0.3">
      <c r="A38" s="18" t="s">
        <v>71</v>
      </c>
      <c r="B38" t="s">
        <v>496</v>
      </c>
      <c r="D38" s="18" t="s">
        <v>71</v>
      </c>
      <c r="E38" t="s">
        <v>572</v>
      </c>
      <c r="G38" t="s">
        <v>497</v>
      </c>
      <c r="H38" t="s">
        <v>248</v>
      </c>
      <c r="M38" t="s">
        <v>133</v>
      </c>
      <c r="N38" t="s">
        <v>262</v>
      </c>
    </row>
    <row r="39" spans="1:14" x14ac:dyDescent="0.3">
      <c r="A39" s="18" t="s">
        <v>44</v>
      </c>
      <c r="B39" t="s">
        <v>497</v>
      </c>
      <c r="D39" s="18" t="s">
        <v>44</v>
      </c>
      <c r="E39" t="s">
        <v>573</v>
      </c>
      <c r="G39" t="s">
        <v>498</v>
      </c>
      <c r="H39" t="s">
        <v>262</v>
      </c>
      <c r="M39" t="s">
        <v>133</v>
      </c>
      <c r="N39" t="s">
        <v>264</v>
      </c>
    </row>
    <row r="40" spans="1:14" x14ac:dyDescent="0.3">
      <c r="A40" t="s">
        <v>224</v>
      </c>
      <c r="B40" t="s">
        <v>498</v>
      </c>
      <c r="D40" t="s">
        <v>224</v>
      </c>
      <c r="E40" t="s">
        <v>574</v>
      </c>
      <c r="G40" t="s">
        <v>499</v>
      </c>
      <c r="H40" t="s">
        <v>264</v>
      </c>
      <c r="M40" t="s">
        <v>133</v>
      </c>
      <c r="N40" t="s">
        <v>659</v>
      </c>
    </row>
    <row r="41" spans="1:14" x14ac:dyDescent="0.3">
      <c r="A41" t="s">
        <v>225</v>
      </c>
      <c r="B41" t="s">
        <v>499</v>
      </c>
      <c r="D41" t="s">
        <v>225</v>
      </c>
      <c r="E41" t="s">
        <v>575</v>
      </c>
      <c r="G41" t="s">
        <v>500</v>
      </c>
      <c r="H41" t="s">
        <v>660</v>
      </c>
      <c r="M41" t="s">
        <v>133</v>
      </c>
      <c r="N41" t="s">
        <v>660</v>
      </c>
    </row>
    <row r="42" spans="1:14" x14ac:dyDescent="0.3">
      <c r="A42" t="s">
        <v>282</v>
      </c>
      <c r="B42" t="s">
        <v>500</v>
      </c>
      <c r="D42" t="s">
        <v>282</v>
      </c>
      <c r="E42" t="s">
        <v>576</v>
      </c>
      <c r="G42" t="s">
        <v>501</v>
      </c>
      <c r="H42" t="s">
        <v>363</v>
      </c>
      <c r="M42" t="s">
        <v>133</v>
      </c>
      <c r="N42" t="s">
        <v>661</v>
      </c>
    </row>
    <row r="43" spans="1:14" x14ac:dyDescent="0.3">
      <c r="A43" t="s">
        <v>72</v>
      </c>
      <c r="B43" t="s">
        <v>501</v>
      </c>
      <c r="D43" t="s">
        <v>72</v>
      </c>
      <c r="E43" t="s">
        <v>577</v>
      </c>
      <c r="G43" t="s">
        <v>502</v>
      </c>
      <c r="H43" t="s">
        <v>267</v>
      </c>
      <c r="M43" t="s">
        <v>133</v>
      </c>
      <c r="N43" t="s">
        <v>662</v>
      </c>
    </row>
    <row r="44" spans="1:14" x14ac:dyDescent="0.3">
      <c r="A44" t="s">
        <v>132</v>
      </c>
      <c r="B44" t="s">
        <v>502</v>
      </c>
      <c r="D44" t="s">
        <v>132</v>
      </c>
      <c r="E44" t="s">
        <v>578</v>
      </c>
      <c r="G44" t="s">
        <v>503</v>
      </c>
      <c r="H44" t="s">
        <v>269</v>
      </c>
      <c r="M44" t="s">
        <v>133</v>
      </c>
      <c r="N44" t="s">
        <v>663</v>
      </c>
    </row>
    <row r="45" spans="1:14" x14ac:dyDescent="0.3">
      <c r="A45" t="s">
        <v>73</v>
      </c>
      <c r="B45" t="s">
        <v>503</v>
      </c>
      <c r="D45" t="s">
        <v>73</v>
      </c>
      <c r="E45" t="s">
        <v>579</v>
      </c>
      <c r="G45" t="s">
        <v>504</v>
      </c>
      <c r="H45" t="s">
        <v>271</v>
      </c>
      <c r="M45" t="s">
        <v>133</v>
      </c>
      <c r="N45" t="s">
        <v>271</v>
      </c>
    </row>
    <row r="46" spans="1:14" x14ac:dyDescent="0.3">
      <c r="A46" t="s">
        <v>74</v>
      </c>
      <c r="B46" t="s">
        <v>504</v>
      </c>
      <c r="D46" t="s">
        <v>74</v>
      </c>
      <c r="E46" t="s">
        <v>580</v>
      </c>
      <c r="G46" t="s">
        <v>505</v>
      </c>
      <c r="H46" t="s">
        <v>273</v>
      </c>
      <c r="M46" t="s">
        <v>133</v>
      </c>
      <c r="N46" t="s">
        <v>273</v>
      </c>
    </row>
    <row r="47" spans="1:14" x14ac:dyDescent="0.3">
      <c r="A47" t="s">
        <v>77</v>
      </c>
      <c r="B47" t="s">
        <v>505</v>
      </c>
      <c r="D47" t="s">
        <v>77</v>
      </c>
      <c r="E47" t="s">
        <v>581</v>
      </c>
      <c r="G47" t="s">
        <v>506</v>
      </c>
      <c r="H47" t="s">
        <v>661</v>
      </c>
      <c r="M47" t="s">
        <v>133</v>
      </c>
      <c r="N47" t="s">
        <v>275</v>
      </c>
    </row>
    <row r="48" spans="1:14" x14ac:dyDescent="0.3">
      <c r="A48" t="s">
        <v>283</v>
      </c>
      <c r="B48" t="s">
        <v>506</v>
      </c>
      <c r="D48" t="s">
        <v>283</v>
      </c>
      <c r="E48" t="s">
        <v>582</v>
      </c>
      <c r="G48" t="s">
        <v>507</v>
      </c>
      <c r="H48" t="s">
        <v>662</v>
      </c>
      <c r="M48" t="s">
        <v>133</v>
      </c>
      <c r="N48" t="s">
        <v>277</v>
      </c>
    </row>
    <row r="49" spans="1:14" x14ac:dyDescent="0.3">
      <c r="A49" t="s">
        <v>78</v>
      </c>
      <c r="B49" t="s">
        <v>507</v>
      </c>
      <c r="D49" t="s">
        <v>78</v>
      </c>
      <c r="E49" t="s">
        <v>583</v>
      </c>
      <c r="G49" t="s">
        <v>508</v>
      </c>
      <c r="H49" t="s">
        <v>275</v>
      </c>
      <c r="M49" t="s">
        <v>133</v>
      </c>
      <c r="N49" t="s">
        <v>278</v>
      </c>
    </row>
    <row r="50" spans="1:14" x14ac:dyDescent="0.3">
      <c r="A50" t="s">
        <v>75</v>
      </c>
      <c r="B50" t="s">
        <v>508</v>
      </c>
      <c r="D50" t="s">
        <v>75</v>
      </c>
      <c r="E50" t="s">
        <v>584</v>
      </c>
      <c r="G50" t="s">
        <v>509</v>
      </c>
      <c r="H50" t="s">
        <v>663</v>
      </c>
      <c r="M50" t="s">
        <v>133</v>
      </c>
      <c r="N50" s="18" t="s">
        <v>664</v>
      </c>
    </row>
    <row r="51" spans="1:14" x14ac:dyDescent="0.3">
      <c r="A51" t="s">
        <v>76</v>
      </c>
      <c r="B51" t="s">
        <v>509</v>
      </c>
      <c r="D51" t="s">
        <v>76</v>
      </c>
      <c r="E51" t="s">
        <v>585</v>
      </c>
      <c r="G51" t="s">
        <v>510</v>
      </c>
      <c r="H51" t="s">
        <v>277</v>
      </c>
      <c r="M51" t="s">
        <v>133</v>
      </c>
      <c r="N51" t="s">
        <v>665</v>
      </c>
    </row>
    <row r="52" spans="1:14" x14ac:dyDescent="0.3">
      <c r="A52" t="s">
        <v>79</v>
      </c>
      <c r="B52" t="s">
        <v>510</v>
      </c>
      <c r="D52" t="s">
        <v>79</v>
      </c>
      <c r="E52" t="s">
        <v>586</v>
      </c>
      <c r="G52" t="s">
        <v>511</v>
      </c>
      <c r="H52" t="s">
        <v>278</v>
      </c>
      <c r="M52" t="s">
        <v>133</v>
      </c>
      <c r="N52" t="s">
        <v>666</v>
      </c>
    </row>
    <row r="53" spans="1:14" x14ac:dyDescent="0.3">
      <c r="A53" t="s">
        <v>119</v>
      </c>
      <c r="B53" t="s">
        <v>511</v>
      </c>
      <c r="D53" t="s">
        <v>119</v>
      </c>
      <c r="E53" t="s">
        <v>587</v>
      </c>
      <c r="G53" s="18" t="s">
        <v>512</v>
      </c>
      <c r="H53" s="18" t="s">
        <v>664</v>
      </c>
      <c r="M53" t="s">
        <v>133</v>
      </c>
      <c r="N53" t="s">
        <v>667</v>
      </c>
    </row>
    <row r="54" spans="1:14" x14ac:dyDescent="0.3">
      <c r="A54" t="s">
        <v>130</v>
      </c>
      <c r="B54" s="18" t="s">
        <v>512</v>
      </c>
      <c r="D54" t="s">
        <v>130</v>
      </c>
      <c r="E54" t="s">
        <v>588</v>
      </c>
      <c r="G54" t="s">
        <v>513</v>
      </c>
      <c r="H54" t="s">
        <v>665</v>
      </c>
      <c r="M54" t="s">
        <v>133</v>
      </c>
      <c r="N54" t="s">
        <v>668</v>
      </c>
    </row>
    <row r="55" spans="1:14" x14ac:dyDescent="0.3">
      <c r="A55" t="s">
        <v>215</v>
      </c>
      <c r="B55" t="s">
        <v>513</v>
      </c>
      <c r="D55" t="s">
        <v>215</v>
      </c>
      <c r="E55" t="s">
        <v>589</v>
      </c>
      <c r="G55" t="s">
        <v>514</v>
      </c>
      <c r="H55" t="s">
        <v>666</v>
      </c>
      <c r="M55" t="s">
        <v>133</v>
      </c>
      <c r="N55" t="s">
        <v>669</v>
      </c>
    </row>
    <row r="56" spans="1:14" x14ac:dyDescent="0.3">
      <c r="A56" t="s">
        <v>120</v>
      </c>
      <c r="B56" t="s">
        <v>514</v>
      </c>
      <c r="D56" t="s">
        <v>120</v>
      </c>
      <c r="E56" t="s">
        <v>590</v>
      </c>
      <c r="G56" t="s">
        <v>515</v>
      </c>
      <c r="H56" t="s">
        <v>667</v>
      </c>
      <c r="M56" t="s">
        <v>133</v>
      </c>
      <c r="N56" t="s">
        <v>670</v>
      </c>
    </row>
    <row r="57" spans="1:14" x14ac:dyDescent="0.3">
      <c r="A57" t="s">
        <v>121</v>
      </c>
      <c r="B57" t="s">
        <v>515</v>
      </c>
      <c r="D57" t="s">
        <v>121</v>
      </c>
      <c r="E57" t="s">
        <v>591</v>
      </c>
      <c r="G57" t="s">
        <v>516</v>
      </c>
      <c r="H57" t="s">
        <v>668</v>
      </c>
      <c r="M57" t="s">
        <v>133</v>
      </c>
      <c r="N57" t="s">
        <v>245</v>
      </c>
    </row>
    <row r="58" spans="1:14" x14ac:dyDescent="0.3">
      <c r="A58" t="s">
        <v>122</v>
      </c>
      <c r="B58" t="s">
        <v>516</v>
      </c>
      <c r="D58" t="s">
        <v>122</v>
      </c>
      <c r="E58" t="s">
        <v>592</v>
      </c>
      <c r="G58" t="s">
        <v>517</v>
      </c>
      <c r="H58" t="s">
        <v>669</v>
      </c>
      <c r="M58" t="s">
        <v>133</v>
      </c>
      <c r="N58" t="s">
        <v>252</v>
      </c>
    </row>
    <row r="59" spans="1:14" x14ac:dyDescent="0.3">
      <c r="A59" t="s">
        <v>216</v>
      </c>
      <c r="B59" t="s">
        <v>517</v>
      </c>
      <c r="D59" t="s">
        <v>216</v>
      </c>
      <c r="E59" t="s">
        <v>593</v>
      </c>
      <c r="G59" t="s">
        <v>518</v>
      </c>
      <c r="H59" t="s">
        <v>670</v>
      </c>
      <c r="M59" t="s">
        <v>133</v>
      </c>
      <c r="N59" t="s">
        <v>671</v>
      </c>
    </row>
    <row r="60" spans="1:14" x14ac:dyDescent="0.3">
      <c r="A60" t="s">
        <v>217</v>
      </c>
      <c r="B60" t="s">
        <v>518</v>
      </c>
      <c r="D60" t="s">
        <v>217</v>
      </c>
      <c r="E60" t="s">
        <v>594</v>
      </c>
      <c r="G60" t="s">
        <v>519</v>
      </c>
      <c r="H60" t="s">
        <v>245</v>
      </c>
      <c r="M60" t="s">
        <v>133</v>
      </c>
      <c r="N60" t="s">
        <v>258</v>
      </c>
    </row>
    <row r="61" spans="1:14" x14ac:dyDescent="0.3">
      <c r="A61" t="s">
        <v>123</v>
      </c>
      <c r="B61" t="s">
        <v>519</v>
      </c>
      <c r="D61" t="s">
        <v>123</v>
      </c>
      <c r="E61" t="s">
        <v>595</v>
      </c>
      <c r="G61" t="s">
        <v>520</v>
      </c>
      <c r="H61" t="s">
        <v>252</v>
      </c>
      <c r="M61" t="s">
        <v>133</v>
      </c>
      <c r="N61" t="s">
        <v>672</v>
      </c>
    </row>
    <row r="62" spans="1:14" x14ac:dyDescent="0.3">
      <c r="A62" t="s">
        <v>218</v>
      </c>
      <c r="B62" t="s">
        <v>520</v>
      </c>
      <c r="D62" t="s">
        <v>218</v>
      </c>
      <c r="E62" t="s">
        <v>596</v>
      </c>
      <c r="G62" t="s">
        <v>521</v>
      </c>
      <c r="H62" t="s">
        <v>671</v>
      </c>
      <c r="M62" t="s">
        <v>133</v>
      </c>
      <c r="N62" t="s">
        <v>280</v>
      </c>
    </row>
    <row r="63" spans="1:14" x14ac:dyDescent="0.3">
      <c r="A63" t="s">
        <v>219</v>
      </c>
      <c r="B63" t="s">
        <v>521</v>
      </c>
      <c r="D63" t="s">
        <v>219</v>
      </c>
      <c r="E63" t="s">
        <v>597</v>
      </c>
      <c r="G63" t="s">
        <v>522</v>
      </c>
      <c r="H63" t="s">
        <v>258</v>
      </c>
      <c r="M63" t="s">
        <v>352</v>
      </c>
      <c r="N63" t="s">
        <v>281</v>
      </c>
    </row>
    <row r="64" spans="1:14" x14ac:dyDescent="0.3">
      <c r="A64" t="s">
        <v>220</v>
      </c>
      <c r="B64" t="s">
        <v>522</v>
      </c>
      <c r="D64" t="s">
        <v>220</v>
      </c>
      <c r="E64" t="s">
        <v>598</v>
      </c>
      <c r="G64" t="s">
        <v>523</v>
      </c>
      <c r="H64" t="s">
        <v>672</v>
      </c>
      <c r="M64" t="s">
        <v>365</v>
      </c>
      <c r="N64" t="s">
        <v>363</v>
      </c>
    </row>
    <row r="65" spans="1:14" x14ac:dyDescent="0.3">
      <c r="A65" t="s">
        <v>45</v>
      </c>
      <c r="B65" t="s">
        <v>523</v>
      </c>
      <c r="D65" t="s">
        <v>45</v>
      </c>
      <c r="E65" t="s">
        <v>599</v>
      </c>
      <c r="G65" t="s">
        <v>524</v>
      </c>
      <c r="H65" t="s">
        <v>280</v>
      </c>
      <c r="M65" t="s">
        <v>365</v>
      </c>
      <c r="N65" t="s">
        <v>267</v>
      </c>
    </row>
    <row r="66" spans="1:14" x14ac:dyDescent="0.3">
      <c r="A66" t="s">
        <v>80</v>
      </c>
      <c r="B66" t="s">
        <v>524</v>
      </c>
      <c r="D66" t="s">
        <v>80</v>
      </c>
      <c r="E66" t="s">
        <v>600</v>
      </c>
      <c r="G66" t="s">
        <v>525</v>
      </c>
      <c r="H66" t="s">
        <v>281</v>
      </c>
      <c r="M66" t="s">
        <v>365</v>
      </c>
      <c r="N66" t="s">
        <v>269</v>
      </c>
    </row>
    <row r="67" spans="1:14" x14ac:dyDescent="0.3">
      <c r="A67" t="s">
        <v>81</v>
      </c>
      <c r="B67" t="s">
        <v>525</v>
      </c>
      <c r="D67" t="s">
        <v>81</v>
      </c>
      <c r="E67" t="s">
        <v>601</v>
      </c>
      <c r="G67" t="s">
        <v>526</v>
      </c>
      <c r="H67" t="s">
        <v>231</v>
      </c>
      <c r="M67" t="s">
        <v>134</v>
      </c>
      <c r="N67" t="s">
        <v>231</v>
      </c>
    </row>
    <row r="68" spans="1:14" x14ac:dyDescent="0.3">
      <c r="A68" t="s">
        <v>82</v>
      </c>
      <c r="B68" t="s">
        <v>526</v>
      </c>
      <c r="D68" t="s">
        <v>82</v>
      </c>
      <c r="E68" t="s">
        <v>602</v>
      </c>
      <c r="G68" t="s">
        <v>527</v>
      </c>
      <c r="H68" t="s">
        <v>238</v>
      </c>
      <c r="M68" t="s">
        <v>134</v>
      </c>
      <c r="N68" t="s">
        <v>238</v>
      </c>
    </row>
    <row r="69" spans="1:14" x14ac:dyDescent="0.3">
      <c r="A69" t="s">
        <v>284</v>
      </c>
      <c r="B69" t="s">
        <v>527</v>
      </c>
      <c r="D69" t="s">
        <v>284</v>
      </c>
      <c r="E69" t="s">
        <v>603</v>
      </c>
      <c r="G69" t="s">
        <v>528</v>
      </c>
      <c r="H69" t="s">
        <v>244</v>
      </c>
      <c r="M69" t="s">
        <v>134</v>
      </c>
      <c r="N69" t="s">
        <v>244</v>
      </c>
    </row>
    <row r="70" spans="1:14" x14ac:dyDescent="0.3">
      <c r="A70" t="s">
        <v>83</v>
      </c>
      <c r="B70" t="s">
        <v>528</v>
      </c>
      <c r="D70" t="s">
        <v>83</v>
      </c>
      <c r="E70" s="18" t="s">
        <v>604</v>
      </c>
      <c r="G70" t="s">
        <v>1191</v>
      </c>
      <c r="H70" t="s">
        <v>1184</v>
      </c>
      <c r="M70" t="s">
        <v>134</v>
      </c>
      <c r="N70" t="s">
        <v>1184</v>
      </c>
    </row>
    <row r="71" spans="1:14" x14ac:dyDescent="0.3">
      <c r="A71" t="s">
        <v>83</v>
      </c>
      <c r="B71" t="s">
        <v>1191</v>
      </c>
      <c r="D71" t="s">
        <v>83</v>
      </c>
      <c r="E71" t="s">
        <v>1192</v>
      </c>
      <c r="G71" t="s">
        <v>529</v>
      </c>
      <c r="H71" t="s">
        <v>247</v>
      </c>
      <c r="M71" t="s">
        <v>134</v>
      </c>
      <c r="N71" t="s">
        <v>247</v>
      </c>
    </row>
    <row r="72" spans="1:14" x14ac:dyDescent="0.3">
      <c r="A72" t="s">
        <v>84</v>
      </c>
      <c r="B72" t="s">
        <v>529</v>
      </c>
      <c r="D72" t="s">
        <v>84</v>
      </c>
      <c r="E72" s="18" t="s">
        <v>605</v>
      </c>
      <c r="G72" t="s">
        <v>530</v>
      </c>
      <c r="H72" t="s">
        <v>251</v>
      </c>
      <c r="M72" t="s">
        <v>134</v>
      </c>
      <c r="N72" t="s">
        <v>251</v>
      </c>
    </row>
    <row r="73" spans="1:14" x14ac:dyDescent="0.3">
      <c r="A73" t="s">
        <v>85</v>
      </c>
      <c r="B73" t="s">
        <v>530</v>
      </c>
      <c r="D73" t="s">
        <v>85</v>
      </c>
      <c r="E73" s="18" t="s">
        <v>606</v>
      </c>
      <c r="G73" t="s">
        <v>531</v>
      </c>
      <c r="H73" t="s">
        <v>673</v>
      </c>
      <c r="M73" t="s">
        <v>134</v>
      </c>
      <c r="N73" t="s">
        <v>673</v>
      </c>
    </row>
    <row r="74" spans="1:14" x14ac:dyDescent="0.3">
      <c r="A74" t="s">
        <v>285</v>
      </c>
      <c r="B74" t="s">
        <v>531</v>
      </c>
      <c r="D74" t="s">
        <v>285</v>
      </c>
      <c r="E74" s="18" t="s">
        <v>607</v>
      </c>
      <c r="G74" t="s">
        <v>532</v>
      </c>
      <c r="H74" t="s">
        <v>254</v>
      </c>
      <c r="M74" t="s">
        <v>134</v>
      </c>
      <c r="N74" t="s">
        <v>254</v>
      </c>
    </row>
    <row r="75" spans="1:14" x14ac:dyDescent="0.3">
      <c r="A75" t="s">
        <v>86</v>
      </c>
      <c r="B75" t="s">
        <v>532</v>
      </c>
      <c r="D75" t="s">
        <v>86</v>
      </c>
      <c r="E75" s="18" t="s">
        <v>608</v>
      </c>
      <c r="G75" t="s">
        <v>533</v>
      </c>
      <c r="H75" t="s">
        <v>257</v>
      </c>
      <c r="M75" t="s">
        <v>134</v>
      </c>
      <c r="N75" t="s">
        <v>257</v>
      </c>
    </row>
    <row r="76" spans="1:14" x14ac:dyDescent="0.3">
      <c r="A76" t="s">
        <v>87</v>
      </c>
      <c r="B76" t="s">
        <v>533</v>
      </c>
      <c r="D76" t="s">
        <v>87</v>
      </c>
      <c r="E76" s="18" t="s">
        <v>609</v>
      </c>
      <c r="G76" t="s">
        <v>534</v>
      </c>
      <c r="H76" t="s">
        <v>260</v>
      </c>
      <c r="M76" t="s">
        <v>134</v>
      </c>
      <c r="N76" t="s">
        <v>260</v>
      </c>
    </row>
    <row r="77" spans="1:14" x14ac:dyDescent="0.3">
      <c r="A77" t="s">
        <v>226</v>
      </c>
      <c r="B77" t="s">
        <v>534</v>
      </c>
      <c r="D77" t="s">
        <v>226</v>
      </c>
      <c r="E77" s="18" t="s">
        <v>610</v>
      </c>
      <c r="G77" t="s">
        <v>535</v>
      </c>
      <c r="H77" t="s">
        <v>674</v>
      </c>
      <c r="M77" t="s">
        <v>134</v>
      </c>
      <c r="N77" t="s">
        <v>674</v>
      </c>
    </row>
    <row r="78" spans="1:14" x14ac:dyDescent="0.3">
      <c r="A78" t="s">
        <v>286</v>
      </c>
      <c r="B78" t="s">
        <v>535</v>
      </c>
      <c r="D78" t="s">
        <v>286</v>
      </c>
      <c r="E78" s="18" t="s">
        <v>611</v>
      </c>
      <c r="G78" t="s">
        <v>536</v>
      </c>
      <c r="H78" t="s">
        <v>675</v>
      </c>
      <c r="M78" t="s">
        <v>134</v>
      </c>
      <c r="N78" t="s">
        <v>675</v>
      </c>
    </row>
    <row r="79" spans="1:14" x14ac:dyDescent="0.3">
      <c r="A79" t="s">
        <v>88</v>
      </c>
      <c r="B79" t="s">
        <v>536</v>
      </c>
      <c r="D79" t="s">
        <v>88</v>
      </c>
      <c r="E79" s="18" t="s">
        <v>612</v>
      </c>
      <c r="G79" t="s">
        <v>537</v>
      </c>
      <c r="H79" t="s">
        <v>676</v>
      </c>
      <c r="M79" t="s">
        <v>134</v>
      </c>
      <c r="N79" t="s">
        <v>676</v>
      </c>
    </row>
    <row r="80" spans="1:14" x14ac:dyDescent="0.3">
      <c r="A80" t="s">
        <v>89</v>
      </c>
      <c r="B80" t="s">
        <v>537</v>
      </c>
      <c r="D80" t="s">
        <v>89</v>
      </c>
      <c r="E80" s="18" t="s">
        <v>613</v>
      </c>
      <c r="G80" t="s">
        <v>538</v>
      </c>
      <c r="H80" t="s">
        <v>263</v>
      </c>
      <c r="M80" t="s">
        <v>134</v>
      </c>
      <c r="N80" t="s">
        <v>263</v>
      </c>
    </row>
    <row r="81" spans="1:14" x14ac:dyDescent="0.3">
      <c r="A81" t="s">
        <v>90</v>
      </c>
      <c r="B81" t="s">
        <v>538</v>
      </c>
      <c r="D81" t="s">
        <v>90</v>
      </c>
      <c r="E81" t="s">
        <v>614</v>
      </c>
      <c r="G81" t="s">
        <v>539</v>
      </c>
      <c r="H81" t="s">
        <v>265</v>
      </c>
      <c r="M81" t="s">
        <v>134</v>
      </c>
      <c r="N81" t="s">
        <v>265</v>
      </c>
    </row>
    <row r="82" spans="1:14" x14ac:dyDescent="0.3">
      <c r="A82" t="s">
        <v>287</v>
      </c>
      <c r="B82" t="s">
        <v>539</v>
      </c>
      <c r="D82" t="s">
        <v>287</v>
      </c>
      <c r="E82" t="s">
        <v>615</v>
      </c>
      <c r="G82" t="s">
        <v>540</v>
      </c>
      <c r="H82" t="s">
        <v>266</v>
      </c>
      <c r="M82" t="s">
        <v>134</v>
      </c>
      <c r="N82" t="s">
        <v>266</v>
      </c>
    </row>
    <row r="83" spans="1:14" x14ac:dyDescent="0.3">
      <c r="A83" t="s">
        <v>288</v>
      </c>
      <c r="B83" t="s">
        <v>540</v>
      </c>
      <c r="D83" t="s">
        <v>288</v>
      </c>
      <c r="E83" t="s">
        <v>616</v>
      </c>
      <c r="G83" t="s">
        <v>541</v>
      </c>
      <c r="H83" t="s">
        <v>677</v>
      </c>
      <c r="M83" t="s">
        <v>134</v>
      </c>
      <c r="N83" t="s">
        <v>677</v>
      </c>
    </row>
    <row r="84" spans="1:14" x14ac:dyDescent="0.3">
      <c r="A84" t="s">
        <v>91</v>
      </c>
      <c r="B84" t="s">
        <v>541</v>
      </c>
      <c r="D84" t="s">
        <v>91</v>
      </c>
      <c r="E84" s="21" t="s">
        <v>617</v>
      </c>
      <c r="G84" t="s">
        <v>1132</v>
      </c>
      <c r="H84" t="s">
        <v>1129</v>
      </c>
      <c r="M84" t="s">
        <v>134</v>
      </c>
      <c r="N84" t="s">
        <v>1129</v>
      </c>
    </row>
    <row r="85" spans="1:14" x14ac:dyDescent="0.3">
      <c r="G85" t="s">
        <v>1451</v>
      </c>
      <c r="H85" t="s">
        <v>1450</v>
      </c>
      <c r="M85" s="9" t="s">
        <v>134</v>
      </c>
      <c r="N85" t="s">
        <v>1450</v>
      </c>
    </row>
    <row r="86" spans="1:14" x14ac:dyDescent="0.3">
      <c r="G86" t="s">
        <v>542</v>
      </c>
      <c r="H86" t="s">
        <v>678</v>
      </c>
      <c r="M86" s="9"/>
    </row>
    <row r="87" spans="1:14" x14ac:dyDescent="0.3">
      <c r="G87" t="s">
        <v>543</v>
      </c>
      <c r="H87" t="s">
        <v>679</v>
      </c>
      <c r="M87" s="9"/>
    </row>
    <row r="88" spans="1:14" x14ac:dyDescent="0.3">
      <c r="G88" t="s">
        <v>544</v>
      </c>
      <c r="H88" t="s">
        <v>680</v>
      </c>
      <c r="M88" s="9"/>
    </row>
    <row r="89" spans="1:14" x14ac:dyDescent="0.3">
      <c r="G89" t="s">
        <v>545</v>
      </c>
      <c r="H89" t="s">
        <v>681</v>
      </c>
      <c r="M89" s="9"/>
    </row>
    <row r="90" spans="1:14" x14ac:dyDescent="0.3">
      <c r="G90" t="s">
        <v>546</v>
      </c>
      <c r="H90" t="s">
        <v>682</v>
      </c>
      <c r="M90" s="9"/>
    </row>
    <row r="91" spans="1:14" x14ac:dyDescent="0.3">
      <c r="G91" t="s">
        <v>547</v>
      </c>
      <c r="H91" t="s">
        <v>683</v>
      </c>
      <c r="M91" s="9"/>
    </row>
    <row r="92" spans="1:14" x14ac:dyDescent="0.3">
      <c r="G92" t="s">
        <v>548</v>
      </c>
      <c r="H92" t="s">
        <v>684</v>
      </c>
      <c r="M92" s="9"/>
    </row>
    <row r="93" spans="1:14" x14ac:dyDescent="0.3">
      <c r="G93" t="s">
        <v>549</v>
      </c>
      <c r="H93" t="s">
        <v>685</v>
      </c>
      <c r="M93" s="9"/>
    </row>
    <row r="94" spans="1:14" x14ac:dyDescent="0.3">
      <c r="G94" t="s">
        <v>550</v>
      </c>
      <c r="H94" t="s">
        <v>686</v>
      </c>
    </row>
    <row r="95" spans="1:14" x14ac:dyDescent="0.3">
      <c r="G95" t="s">
        <v>1181</v>
      </c>
      <c r="H95" t="s">
        <v>1179</v>
      </c>
    </row>
    <row r="96" spans="1:14" x14ac:dyDescent="0.3">
      <c r="G96" t="s">
        <v>551</v>
      </c>
      <c r="H96" t="s">
        <v>687</v>
      </c>
    </row>
    <row r="97" spans="7:8" x14ac:dyDescent="0.3">
      <c r="G97" t="s">
        <v>552</v>
      </c>
      <c r="H97" t="s">
        <v>688</v>
      </c>
    </row>
    <row r="98" spans="7:8" x14ac:dyDescent="0.3">
      <c r="G98" t="s">
        <v>553</v>
      </c>
      <c r="H98" t="s">
        <v>689</v>
      </c>
    </row>
    <row r="99" spans="7:8" x14ac:dyDescent="0.3">
      <c r="G99" t="s">
        <v>554</v>
      </c>
      <c r="H99" t="s">
        <v>139</v>
      </c>
    </row>
    <row r="100" spans="7:8" x14ac:dyDescent="0.3">
      <c r="G100" t="s">
        <v>555</v>
      </c>
      <c r="H100" t="s">
        <v>690</v>
      </c>
    </row>
    <row r="101" spans="7:8" x14ac:dyDescent="0.3">
      <c r="G101" t="s">
        <v>556</v>
      </c>
      <c r="H101" t="s">
        <v>234</v>
      </c>
    </row>
    <row r="102" spans="7:8" x14ac:dyDescent="0.3">
      <c r="G102" t="s">
        <v>557</v>
      </c>
      <c r="H102" t="s">
        <v>241</v>
      </c>
    </row>
    <row r="103" spans="7:8" x14ac:dyDescent="0.3">
      <c r="G103" t="s">
        <v>558</v>
      </c>
      <c r="H103" t="s">
        <v>140</v>
      </c>
    </row>
    <row r="104" spans="7:8" x14ac:dyDescent="0.3">
      <c r="G104" t="s">
        <v>559</v>
      </c>
      <c r="H104" t="s">
        <v>141</v>
      </c>
    </row>
    <row r="105" spans="7:8" x14ac:dyDescent="0.3">
      <c r="G105" t="s">
        <v>560</v>
      </c>
      <c r="H105" t="s">
        <v>691</v>
      </c>
    </row>
    <row r="106" spans="7:8" x14ac:dyDescent="0.3">
      <c r="G106" t="s">
        <v>561</v>
      </c>
      <c r="H106" t="s">
        <v>692</v>
      </c>
    </row>
    <row r="107" spans="7:8" x14ac:dyDescent="0.3">
      <c r="G107" t="s">
        <v>562</v>
      </c>
      <c r="H107" t="s">
        <v>693</v>
      </c>
    </row>
    <row r="108" spans="7:8" x14ac:dyDescent="0.3">
      <c r="G108" t="s">
        <v>563</v>
      </c>
      <c r="H108" t="s">
        <v>694</v>
      </c>
    </row>
    <row r="109" spans="7:8" x14ac:dyDescent="0.3">
      <c r="G109" t="s">
        <v>564</v>
      </c>
      <c r="H109" t="s">
        <v>695</v>
      </c>
    </row>
    <row r="110" spans="7:8" x14ac:dyDescent="0.3">
      <c r="G110" t="s">
        <v>565</v>
      </c>
      <c r="H110" t="s">
        <v>696</v>
      </c>
    </row>
    <row r="111" spans="7:8" x14ac:dyDescent="0.3">
      <c r="G111" t="s">
        <v>566</v>
      </c>
      <c r="H111" t="s">
        <v>697</v>
      </c>
    </row>
    <row r="112" spans="7:8" x14ac:dyDescent="0.3">
      <c r="G112" t="s">
        <v>567</v>
      </c>
      <c r="H112" t="s">
        <v>142</v>
      </c>
    </row>
    <row r="113" spans="7:8" x14ac:dyDescent="0.3">
      <c r="G113" t="s">
        <v>568</v>
      </c>
      <c r="H113" t="s">
        <v>143</v>
      </c>
    </row>
    <row r="114" spans="7:8" x14ac:dyDescent="0.3">
      <c r="G114" t="s">
        <v>569</v>
      </c>
      <c r="H114" t="s">
        <v>698</v>
      </c>
    </row>
    <row r="115" spans="7:8" x14ac:dyDescent="0.3">
      <c r="G115" t="s">
        <v>570</v>
      </c>
      <c r="H115" t="s">
        <v>699</v>
      </c>
    </row>
    <row r="116" spans="7:8" x14ac:dyDescent="0.3">
      <c r="G116" t="s">
        <v>571</v>
      </c>
      <c r="H116" t="s">
        <v>700</v>
      </c>
    </row>
    <row r="117" spans="7:8" x14ac:dyDescent="0.3">
      <c r="G117" t="s">
        <v>572</v>
      </c>
      <c r="H117" t="s">
        <v>701</v>
      </c>
    </row>
    <row r="118" spans="7:8" x14ac:dyDescent="0.3">
      <c r="G118" t="s">
        <v>573</v>
      </c>
      <c r="H118" t="s">
        <v>144</v>
      </c>
    </row>
    <row r="119" spans="7:8" x14ac:dyDescent="0.3">
      <c r="G119" t="s">
        <v>574</v>
      </c>
      <c r="H119" t="s">
        <v>145</v>
      </c>
    </row>
    <row r="120" spans="7:8" x14ac:dyDescent="0.3">
      <c r="G120" t="s">
        <v>575</v>
      </c>
      <c r="H120" t="s">
        <v>146</v>
      </c>
    </row>
    <row r="121" spans="7:8" x14ac:dyDescent="0.3">
      <c r="G121" t="s">
        <v>576</v>
      </c>
      <c r="H121" t="s">
        <v>702</v>
      </c>
    </row>
    <row r="122" spans="7:8" x14ac:dyDescent="0.3">
      <c r="G122" t="s">
        <v>577</v>
      </c>
      <c r="H122" t="s">
        <v>364</v>
      </c>
    </row>
    <row r="123" spans="7:8" x14ac:dyDescent="0.3">
      <c r="G123" t="s">
        <v>578</v>
      </c>
      <c r="H123" t="s">
        <v>268</v>
      </c>
    </row>
    <row r="124" spans="7:8" x14ac:dyDescent="0.3">
      <c r="G124" t="s">
        <v>579</v>
      </c>
      <c r="H124" t="s">
        <v>270</v>
      </c>
    </row>
    <row r="125" spans="7:8" x14ac:dyDescent="0.3">
      <c r="G125" t="s">
        <v>580</v>
      </c>
      <c r="H125" t="s">
        <v>272</v>
      </c>
    </row>
    <row r="126" spans="7:8" x14ac:dyDescent="0.3">
      <c r="G126" t="s">
        <v>581</v>
      </c>
      <c r="H126" t="s">
        <v>274</v>
      </c>
    </row>
    <row r="127" spans="7:8" x14ac:dyDescent="0.3">
      <c r="G127" t="s">
        <v>582</v>
      </c>
      <c r="H127" t="s">
        <v>703</v>
      </c>
    </row>
    <row r="128" spans="7:8" x14ac:dyDescent="0.3">
      <c r="G128" t="s">
        <v>583</v>
      </c>
      <c r="H128" t="s">
        <v>704</v>
      </c>
    </row>
    <row r="129" spans="7:8" x14ac:dyDescent="0.3">
      <c r="G129" t="s">
        <v>584</v>
      </c>
      <c r="H129" t="s">
        <v>276</v>
      </c>
    </row>
    <row r="130" spans="7:8" x14ac:dyDescent="0.3">
      <c r="G130" t="s">
        <v>585</v>
      </c>
      <c r="H130" t="s">
        <v>705</v>
      </c>
    </row>
    <row r="131" spans="7:8" x14ac:dyDescent="0.3">
      <c r="G131" t="s">
        <v>586</v>
      </c>
      <c r="H131" t="s">
        <v>147</v>
      </c>
    </row>
    <row r="132" spans="7:8" x14ac:dyDescent="0.3">
      <c r="G132" t="s">
        <v>587</v>
      </c>
      <c r="H132" t="s">
        <v>279</v>
      </c>
    </row>
    <row r="133" spans="7:8" x14ac:dyDescent="0.3">
      <c r="G133" t="s">
        <v>588</v>
      </c>
      <c r="H133" t="s">
        <v>169</v>
      </c>
    </row>
    <row r="134" spans="7:8" x14ac:dyDescent="0.3">
      <c r="G134" t="s">
        <v>589</v>
      </c>
      <c r="H134" t="s">
        <v>169</v>
      </c>
    </row>
    <row r="135" spans="7:8" x14ac:dyDescent="0.3">
      <c r="G135" t="s">
        <v>590</v>
      </c>
      <c r="H135" t="s">
        <v>169</v>
      </c>
    </row>
    <row r="136" spans="7:8" x14ac:dyDescent="0.3">
      <c r="G136" t="s">
        <v>591</v>
      </c>
      <c r="H136" t="s">
        <v>169</v>
      </c>
    </row>
    <row r="137" spans="7:8" x14ac:dyDescent="0.3">
      <c r="G137" t="s">
        <v>592</v>
      </c>
      <c r="H137" t="s">
        <v>169</v>
      </c>
    </row>
    <row r="138" spans="7:8" x14ac:dyDescent="0.3">
      <c r="G138" t="s">
        <v>593</v>
      </c>
      <c r="H138" t="s">
        <v>169</v>
      </c>
    </row>
    <row r="139" spans="7:8" x14ac:dyDescent="0.3">
      <c r="G139" t="s">
        <v>594</v>
      </c>
      <c r="H139" t="s">
        <v>169</v>
      </c>
    </row>
    <row r="140" spans="7:8" x14ac:dyDescent="0.3">
      <c r="G140" t="s">
        <v>595</v>
      </c>
      <c r="H140" t="s">
        <v>169</v>
      </c>
    </row>
    <row r="141" spans="7:8" x14ac:dyDescent="0.3">
      <c r="G141" t="s">
        <v>596</v>
      </c>
      <c r="H141" t="s">
        <v>169</v>
      </c>
    </row>
    <row r="142" spans="7:8" x14ac:dyDescent="0.3">
      <c r="G142" t="s">
        <v>597</v>
      </c>
      <c r="H142" t="s">
        <v>169</v>
      </c>
    </row>
    <row r="143" spans="7:8" x14ac:dyDescent="0.3">
      <c r="G143" t="s">
        <v>598</v>
      </c>
      <c r="H143" t="s">
        <v>169</v>
      </c>
    </row>
    <row r="144" spans="7:8" x14ac:dyDescent="0.3">
      <c r="G144" t="s">
        <v>599</v>
      </c>
      <c r="H144" t="s">
        <v>148</v>
      </c>
    </row>
    <row r="145" spans="7:8" x14ac:dyDescent="0.3">
      <c r="G145" t="s">
        <v>600</v>
      </c>
      <c r="H145" t="s">
        <v>149</v>
      </c>
    </row>
    <row r="146" spans="7:8" x14ac:dyDescent="0.3">
      <c r="G146" t="s">
        <v>601</v>
      </c>
      <c r="H146" t="s">
        <v>150</v>
      </c>
    </row>
    <row r="147" spans="7:8" x14ac:dyDescent="0.3">
      <c r="G147" t="s">
        <v>602</v>
      </c>
      <c r="H147" t="s">
        <v>151</v>
      </c>
    </row>
    <row r="148" spans="7:8" x14ac:dyDescent="0.3">
      <c r="G148" t="s">
        <v>603</v>
      </c>
      <c r="H148" t="s">
        <v>152</v>
      </c>
    </row>
    <row r="149" spans="7:8" x14ac:dyDescent="0.3">
      <c r="G149" s="18" t="s">
        <v>604</v>
      </c>
      <c r="H149" t="s">
        <v>153</v>
      </c>
    </row>
    <row r="150" spans="7:8" x14ac:dyDescent="0.3">
      <c r="G150" t="s">
        <v>1192</v>
      </c>
      <c r="H150" t="s">
        <v>153</v>
      </c>
    </row>
    <row r="151" spans="7:8" x14ac:dyDescent="0.3">
      <c r="G151" s="18" t="s">
        <v>605</v>
      </c>
      <c r="H151" t="s">
        <v>154</v>
      </c>
    </row>
    <row r="152" spans="7:8" x14ac:dyDescent="0.3">
      <c r="G152" s="18" t="s">
        <v>606</v>
      </c>
      <c r="H152" t="s">
        <v>155</v>
      </c>
    </row>
    <row r="153" spans="7:8" x14ac:dyDescent="0.3">
      <c r="G153" s="18" t="s">
        <v>607</v>
      </c>
      <c r="H153" t="s">
        <v>706</v>
      </c>
    </row>
    <row r="154" spans="7:8" x14ac:dyDescent="0.3">
      <c r="G154" s="18" t="s">
        <v>608</v>
      </c>
      <c r="H154" t="s">
        <v>156</v>
      </c>
    </row>
    <row r="155" spans="7:8" x14ac:dyDescent="0.3">
      <c r="G155" s="18" t="s">
        <v>609</v>
      </c>
      <c r="H155" t="s">
        <v>157</v>
      </c>
    </row>
    <row r="156" spans="7:8" x14ac:dyDescent="0.3">
      <c r="G156" s="18" t="s">
        <v>610</v>
      </c>
      <c r="H156" t="s">
        <v>158</v>
      </c>
    </row>
    <row r="157" spans="7:8" x14ac:dyDescent="0.3">
      <c r="G157" s="18" t="s">
        <v>611</v>
      </c>
      <c r="H157" t="s">
        <v>707</v>
      </c>
    </row>
    <row r="158" spans="7:8" x14ac:dyDescent="0.3">
      <c r="G158" s="18" t="s">
        <v>612</v>
      </c>
      <c r="H158" t="s">
        <v>708</v>
      </c>
    </row>
    <row r="159" spans="7:8" x14ac:dyDescent="0.3">
      <c r="G159" s="18" t="s">
        <v>613</v>
      </c>
      <c r="H159" t="s">
        <v>709</v>
      </c>
    </row>
    <row r="160" spans="7:8" x14ac:dyDescent="0.3">
      <c r="G160" t="s">
        <v>614</v>
      </c>
      <c r="H160" t="s">
        <v>159</v>
      </c>
    </row>
    <row r="161" spans="7:8" x14ac:dyDescent="0.3">
      <c r="G161" t="s">
        <v>615</v>
      </c>
      <c r="H161" t="s">
        <v>160</v>
      </c>
    </row>
    <row r="162" spans="7:8" x14ac:dyDescent="0.3">
      <c r="G162" t="s">
        <v>616</v>
      </c>
      <c r="H162" t="s">
        <v>161</v>
      </c>
    </row>
    <row r="163" spans="7:8" x14ac:dyDescent="0.3">
      <c r="G163" s="21" t="s">
        <v>617</v>
      </c>
      <c r="H163" s="21" t="s">
        <v>710</v>
      </c>
    </row>
    <row r="164" spans="7:8" x14ac:dyDescent="0.3">
      <c r="G164" t="s">
        <v>1133</v>
      </c>
      <c r="H164" t="s">
        <v>1131</v>
      </c>
    </row>
    <row r="165" spans="7:8" x14ac:dyDescent="0.3">
      <c r="G165" t="s">
        <v>1452</v>
      </c>
      <c r="H165" t="s">
        <v>1448</v>
      </c>
    </row>
    <row r="166" spans="7:8" x14ac:dyDescent="0.3">
      <c r="G166" s="21" t="s">
        <v>618</v>
      </c>
      <c r="H166" s="21" t="s">
        <v>711</v>
      </c>
    </row>
    <row r="167" spans="7:8" x14ac:dyDescent="0.3">
      <c r="G167" s="21" t="s">
        <v>619</v>
      </c>
      <c r="H167" s="21" t="s">
        <v>712</v>
      </c>
    </row>
    <row r="168" spans="7:8" x14ac:dyDescent="0.3">
      <c r="G168" t="s">
        <v>620</v>
      </c>
      <c r="H168" t="s">
        <v>713</v>
      </c>
    </row>
    <row r="169" spans="7:8" x14ac:dyDescent="0.3">
      <c r="G169" s="21" t="s">
        <v>621</v>
      </c>
      <c r="H169" s="21" t="s">
        <v>162</v>
      </c>
    </row>
    <row r="170" spans="7:8" x14ac:dyDescent="0.3">
      <c r="G170" s="4" t="s">
        <v>994</v>
      </c>
      <c r="H170" s="4" t="s">
        <v>1012</v>
      </c>
    </row>
    <row r="171" spans="7:8" x14ac:dyDescent="0.3">
      <c r="G171" s="4" t="s">
        <v>995</v>
      </c>
      <c r="H171" s="4" t="s">
        <v>1013</v>
      </c>
    </row>
    <row r="172" spans="7:8" x14ac:dyDescent="0.3">
      <c r="G172" s="4" t="s">
        <v>996</v>
      </c>
      <c r="H172" s="4" t="s">
        <v>1014</v>
      </c>
    </row>
    <row r="173" spans="7:8" x14ac:dyDescent="0.3">
      <c r="G173" s="4" t="s">
        <v>997</v>
      </c>
      <c r="H173" s="4" t="s">
        <v>1015</v>
      </c>
    </row>
    <row r="174" spans="7:8" x14ac:dyDescent="0.3">
      <c r="G174" s="4" t="s">
        <v>998</v>
      </c>
      <c r="H174" s="4" t="s">
        <v>1016</v>
      </c>
    </row>
    <row r="175" spans="7:8" x14ac:dyDescent="0.3">
      <c r="G175" s="4" t="s">
        <v>999</v>
      </c>
      <c r="H175" s="4" t="s">
        <v>1017</v>
      </c>
    </row>
    <row r="176" spans="7:8" x14ac:dyDescent="0.3">
      <c r="G176" s="4" t="s">
        <v>1000</v>
      </c>
      <c r="H176" s="4" t="s">
        <v>1018</v>
      </c>
    </row>
    <row r="177" spans="7:8" x14ac:dyDescent="0.3">
      <c r="G177" s="4" t="s">
        <v>1001</v>
      </c>
      <c r="H177" s="4" t="s">
        <v>1019</v>
      </c>
    </row>
    <row r="178" spans="7:8" x14ac:dyDescent="0.3">
      <c r="G178" s="4" t="s">
        <v>1002</v>
      </c>
      <c r="H178" s="4" t="s">
        <v>1020</v>
      </c>
    </row>
    <row r="179" spans="7:8" x14ac:dyDescent="0.3">
      <c r="G179" s="4" t="s">
        <v>1003</v>
      </c>
      <c r="H179" s="4" t="s">
        <v>1021</v>
      </c>
    </row>
    <row r="180" spans="7:8" x14ac:dyDescent="0.3">
      <c r="G180" s="4" t="s">
        <v>1004</v>
      </c>
      <c r="H180" s="4" t="s">
        <v>1022</v>
      </c>
    </row>
    <row r="181" spans="7:8" x14ac:dyDescent="0.3">
      <c r="G181" s="4" t="s">
        <v>1005</v>
      </c>
      <c r="H181" s="4" t="s">
        <v>1023</v>
      </c>
    </row>
    <row r="182" spans="7:8" x14ac:dyDescent="0.3">
      <c r="G182" s="4" t="s">
        <v>1006</v>
      </c>
      <c r="H182" s="4" t="s">
        <v>1024</v>
      </c>
    </row>
    <row r="183" spans="7:8" x14ac:dyDescent="0.3">
      <c r="G183" s="4" t="s">
        <v>1007</v>
      </c>
      <c r="H183" s="4" t="s">
        <v>1025</v>
      </c>
    </row>
    <row r="184" spans="7:8" x14ac:dyDescent="0.3">
      <c r="G184" s="4" t="s">
        <v>1008</v>
      </c>
      <c r="H184" s="4" t="s">
        <v>1026</v>
      </c>
    </row>
    <row r="185" spans="7:8" x14ac:dyDescent="0.3">
      <c r="G185" s="4" t="s">
        <v>1009</v>
      </c>
      <c r="H185" s="4" t="s">
        <v>1027</v>
      </c>
    </row>
    <row r="186" spans="7:8" x14ac:dyDescent="0.3">
      <c r="G186" s="4" t="s">
        <v>1010</v>
      </c>
      <c r="H186" s="4" t="s">
        <v>1028</v>
      </c>
    </row>
    <row r="187" spans="7:8" x14ac:dyDescent="0.3">
      <c r="G187" s="4" t="s">
        <v>1011</v>
      </c>
      <c r="H187" s="4" t="s">
        <v>1029</v>
      </c>
    </row>
    <row r="188" spans="7:8" x14ac:dyDescent="0.3">
      <c r="G188" t="s">
        <v>1206</v>
      </c>
      <c r="H188" t="s">
        <v>1207</v>
      </c>
    </row>
    <row r="189" spans="7:8" x14ac:dyDescent="0.3">
      <c r="G189" t="s">
        <v>622</v>
      </c>
      <c r="H189" t="s">
        <v>714</v>
      </c>
    </row>
    <row r="190" spans="7:8" x14ac:dyDescent="0.3">
      <c r="G190" t="s">
        <v>623</v>
      </c>
      <c r="H190" t="s">
        <v>715</v>
      </c>
    </row>
    <row r="191" spans="7:8" x14ac:dyDescent="0.3">
      <c r="G191" t="s">
        <v>624</v>
      </c>
      <c r="H191" t="s">
        <v>716</v>
      </c>
    </row>
    <row r="192" spans="7:8" x14ac:dyDescent="0.3">
      <c r="G192" t="s">
        <v>625</v>
      </c>
      <c r="H192" t="s">
        <v>717</v>
      </c>
    </row>
    <row r="193" spans="7:8" x14ac:dyDescent="0.3">
      <c r="G193" t="s">
        <v>626</v>
      </c>
      <c r="H193" t="s">
        <v>718</v>
      </c>
    </row>
    <row r="194" spans="7:8" x14ac:dyDescent="0.3">
      <c r="G194" t="s">
        <v>1372</v>
      </c>
      <c r="H194" t="s">
        <v>1335</v>
      </c>
    </row>
    <row r="195" spans="7:8" x14ac:dyDescent="0.3">
      <c r="G195" t="s">
        <v>1373</v>
      </c>
      <c r="H195" t="s">
        <v>1353</v>
      </c>
    </row>
    <row r="196" spans="7:8" x14ac:dyDescent="0.3">
      <c r="G196" t="s">
        <v>1374</v>
      </c>
      <c r="H196" t="s">
        <v>1336</v>
      </c>
    </row>
    <row r="197" spans="7:8" x14ac:dyDescent="0.3">
      <c r="G197" t="s">
        <v>1375</v>
      </c>
      <c r="H197" t="s">
        <v>1337</v>
      </c>
    </row>
    <row r="198" spans="7:8" x14ac:dyDescent="0.3">
      <c r="G198" t="s">
        <v>1376</v>
      </c>
      <c r="H198" t="s">
        <v>1338</v>
      </c>
    </row>
    <row r="199" spans="7:8" x14ac:dyDescent="0.3">
      <c r="G199" t="s">
        <v>1377</v>
      </c>
      <c r="H199" t="s">
        <v>1344</v>
      </c>
    </row>
    <row r="200" spans="7:8" x14ac:dyDescent="0.3">
      <c r="G200" t="s">
        <v>1389</v>
      </c>
      <c r="H200" t="s">
        <v>1388</v>
      </c>
    </row>
    <row r="201" spans="7:8" x14ac:dyDescent="0.3">
      <c r="G201" t="s">
        <v>1378</v>
      </c>
      <c r="H201" t="s">
        <v>1345</v>
      </c>
    </row>
    <row r="202" spans="7:8" x14ac:dyDescent="0.3">
      <c r="G202" t="s">
        <v>1379</v>
      </c>
      <c r="H202" t="s">
        <v>1346</v>
      </c>
    </row>
    <row r="203" spans="7:8" x14ac:dyDescent="0.3">
      <c r="G203" t="s">
        <v>1393</v>
      </c>
      <c r="H203" t="s">
        <v>1347</v>
      </c>
    </row>
    <row r="204" spans="7:8" x14ac:dyDescent="0.3">
      <c r="G204" s="4" t="s">
        <v>1172</v>
      </c>
      <c r="H204" s="4" t="s">
        <v>1168</v>
      </c>
    </row>
    <row r="205" spans="7:8" x14ac:dyDescent="0.3">
      <c r="G205" s="4" t="s">
        <v>1173</v>
      </c>
      <c r="H205" s="4" t="s">
        <v>1169</v>
      </c>
    </row>
    <row r="206" spans="7:8" x14ac:dyDescent="0.3">
      <c r="G206" s="4" t="s">
        <v>1174</v>
      </c>
      <c r="H206" s="4" t="s">
        <v>1170</v>
      </c>
    </row>
    <row r="207" spans="7:8" x14ac:dyDescent="0.3">
      <c r="G207" s="4" t="s">
        <v>1175</v>
      </c>
      <c r="H207" s="4" t="s">
        <v>1171</v>
      </c>
    </row>
    <row r="208" spans="7:8" x14ac:dyDescent="0.3">
      <c r="G208" t="s">
        <v>627</v>
      </c>
      <c r="H208" t="s">
        <v>164</v>
      </c>
    </row>
    <row r="209" spans="7:8" x14ac:dyDescent="0.3">
      <c r="G209" t="s">
        <v>628</v>
      </c>
      <c r="H209" t="s">
        <v>359</v>
      </c>
    </row>
    <row r="210" spans="7:8" x14ac:dyDescent="0.3">
      <c r="G210" t="s">
        <v>629</v>
      </c>
      <c r="H210" t="s">
        <v>719</v>
      </c>
    </row>
    <row r="211" spans="7:8" x14ac:dyDescent="0.3">
      <c r="G211" t="s">
        <v>630</v>
      </c>
      <c r="H211" t="s">
        <v>129</v>
      </c>
    </row>
    <row r="212" spans="7:8" x14ac:dyDescent="0.3">
      <c r="G212" s="21" t="s">
        <v>631</v>
      </c>
      <c r="H212" t="s">
        <v>163</v>
      </c>
    </row>
    <row r="213" spans="7:8" x14ac:dyDescent="0.3">
      <c r="G213" s="21" t="s">
        <v>632</v>
      </c>
      <c r="H213" t="s">
        <v>222</v>
      </c>
    </row>
    <row r="214" spans="7:8" x14ac:dyDescent="0.3">
      <c r="G214" t="s">
        <v>633</v>
      </c>
      <c r="H214" t="s">
        <v>137</v>
      </c>
    </row>
    <row r="215" spans="7:8" x14ac:dyDescent="0.3">
      <c r="G215" s="4" t="s">
        <v>961</v>
      </c>
      <c r="H215" s="4" t="s">
        <v>954</v>
      </c>
    </row>
    <row r="216" spans="7:8" x14ac:dyDescent="0.3">
      <c r="G216" s="4" t="s">
        <v>962</v>
      </c>
      <c r="H216" s="4" t="s">
        <v>955</v>
      </c>
    </row>
    <row r="217" spans="7:8" x14ac:dyDescent="0.3">
      <c r="G217" s="4" t="s">
        <v>963</v>
      </c>
      <c r="H217" s="4" t="s">
        <v>956</v>
      </c>
    </row>
    <row r="218" spans="7:8" x14ac:dyDescent="0.3">
      <c r="G218" s="4" t="s">
        <v>964</v>
      </c>
      <c r="H218" s="4" t="s">
        <v>957</v>
      </c>
    </row>
    <row r="219" spans="7:8" x14ac:dyDescent="0.3">
      <c r="G219" s="4" t="s">
        <v>965</v>
      </c>
      <c r="H219" s="4" t="s">
        <v>958</v>
      </c>
    </row>
    <row r="220" spans="7:8" x14ac:dyDescent="0.3">
      <c r="G220" t="s">
        <v>1380</v>
      </c>
      <c r="H220" t="s">
        <v>1363</v>
      </c>
    </row>
    <row r="221" spans="7:8" x14ac:dyDescent="0.3">
      <c r="G221" t="s">
        <v>1381</v>
      </c>
      <c r="H221" t="s">
        <v>1364</v>
      </c>
    </row>
    <row r="222" spans="7:8" x14ac:dyDescent="0.3">
      <c r="G222" t="s">
        <v>1382</v>
      </c>
      <c r="H222" t="s">
        <v>1365</v>
      </c>
    </row>
    <row r="223" spans="7:8" x14ac:dyDescent="0.3">
      <c r="G223" t="s">
        <v>1383</v>
      </c>
      <c r="H223" t="s">
        <v>1366</v>
      </c>
    </row>
    <row r="224" spans="7:8" x14ac:dyDescent="0.3">
      <c r="G224" t="s">
        <v>1384</v>
      </c>
      <c r="H224" t="s">
        <v>1367</v>
      </c>
    </row>
    <row r="225" spans="7:8" x14ac:dyDescent="0.3">
      <c r="G225" t="s">
        <v>1385</v>
      </c>
      <c r="H225" t="s">
        <v>1368</v>
      </c>
    </row>
    <row r="226" spans="7:8" x14ac:dyDescent="0.3">
      <c r="G226" t="s">
        <v>1392</v>
      </c>
      <c r="H226" t="s">
        <v>1390</v>
      </c>
    </row>
    <row r="227" spans="7:8" x14ac:dyDescent="0.3">
      <c r="G227" t="s">
        <v>1386</v>
      </c>
      <c r="H227" t="s">
        <v>1369</v>
      </c>
    </row>
    <row r="228" spans="7:8" x14ac:dyDescent="0.3">
      <c r="G228" t="s">
        <v>1387</v>
      </c>
      <c r="H228" t="s">
        <v>1370</v>
      </c>
    </row>
    <row r="229" spans="7:8" x14ac:dyDescent="0.3">
      <c r="G229" t="s">
        <v>1394</v>
      </c>
      <c r="H229" t="s">
        <v>1371</v>
      </c>
    </row>
    <row r="230" spans="7:8" x14ac:dyDescent="0.3">
      <c r="G230" s="4" t="s">
        <v>966</v>
      </c>
      <c r="H230" s="4" t="s">
        <v>188</v>
      </c>
    </row>
    <row r="231" spans="7:8" x14ac:dyDescent="0.3">
      <c r="G231" s="4" t="s">
        <v>967</v>
      </c>
      <c r="H231" s="4" t="s">
        <v>187</v>
      </c>
    </row>
    <row r="232" spans="7:8" x14ac:dyDescent="0.3">
      <c r="G232" s="4" t="s">
        <v>1120</v>
      </c>
      <c r="H232" s="4" t="s">
        <v>1064</v>
      </c>
    </row>
    <row r="233" spans="7:8" x14ac:dyDescent="0.3">
      <c r="G233" s="4" t="s">
        <v>1030</v>
      </c>
      <c r="H233" s="4" t="s">
        <v>1047</v>
      </c>
    </row>
    <row r="234" spans="7:8" x14ac:dyDescent="0.3">
      <c r="G234" s="4" t="s">
        <v>1031</v>
      </c>
      <c r="H234" s="4" t="s">
        <v>1048</v>
      </c>
    </row>
    <row r="235" spans="7:8" x14ac:dyDescent="0.3">
      <c r="G235" s="4" t="s">
        <v>1032</v>
      </c>
      <c r="H235" s="4" t="s">
        <v>1049</v>
      </c>
    </row>
    <row r="236" spans="7:8" x14ac:dyDescent="0.3">
      <c r="G236" s="4" t="s">
        <v>1033</v>
      </c>
      <c r="H236" s="4" t="s">
        <v>1050</v>
      </c>
    </row>
    <row r="237" spans="7:8" x14ac:dyDescent="0.3">
      <c r="G237" s="4" t="s">
        <v>1034</v>
      </c>
      <c r="H237" s="4" t="s">
        <v>1051</v>
      </c>
    </row>
    <row r="238" spans="7:8" x14ac:dyDescent="0.3">
      <c r="G238" s="4" t="s">
        <v>1035</v>
      </c>
      <c r="H238" s="4" t="s">
        <v>1052</v>
      </c>
    </row>
    <row r="239" spans="7:8" x14ac:dyDescent="0.3">
      <c r="G239" s="4" t="s">
        <v>1036</v>
      </c>
      <c r="H239" s="4" t="s">
        <v>1053</v>
      </c>
    </row>
    <row r="240" spans="7:8" x14ac:dyDescent="0.3">
      <c r="G240" s="4" t="s">
        <v>1037</v>
      </c>
      <c r="H240" s="4" t="s">
        <v>1054</v>
      </c>
    </row>
    <row r="241" spans="7:12" x14ac:dyDescent="0.3">
      <c r="G241" s="4" t="s">
        <v>1038</v>
      </c>
      <c r="H241" s="4" t="s">
        <v>1055</v>
      </c>
    </row>
    <row r="242" spans="7:12" x14ac:dyDescent="0.3">
      <c r="G242" s="4" t="s">
        <v>1039</v>
      </c>
      <c r="H242" s="4" t="s">
        <v>1056</v>
      </c>
    </row>
    <row r="243" spans="7:12" x14ac:dyDescent="0.3">
      <c r="G243" s="4" t="s">
        <v>1040</v>
      </c>
      <c r="H243" s="4" t="s">
        <v>1057</v>
      </c>
    </row>
    <row r="244" spans="7:12" x14ac:dyDescent="0.3">
      <c r="G244" s="4" t="s">
        <v>1041</v>
      </c>
      <c r="H244" s="4" t="s">
        <v>1058</v>
      </c>
    </row>
    <row r="245" spans="7:12" x14ac:dyDescent="0.3">
      <c r="G245" s="4" t="s">
        <v>1042</v>
      </c>
      <c r="H245" s="4" t="s">
        <v>1059</v>
      </c>
    </row>
    <row r="246" spans="7:12" x14ac:dyDescent="0.3">
      <c r="G246" s="4" t="s">
        <v>1043</v>
      </c>
      <c r="H246" s="4" t="s">
        <v>1060</v>
      </c>
    </row>
    <row r="247" spans="7:12" x14ac:dyDescent="0.3">
      <c r="G247" s="4" t="s">
        <v>1044</v>
      </c>
      <c r="H247" s="4" t="s">
        <v>1061</v>
      </c>
    </row>
    <row r="248" spans="7:12" x14ac:dyDescent="0.3">
      <c r="G248" s="4" t="s">
        <v>1045</v>
      </c>
      <c r="H248" s="4" t="s">
        <v>1062</v>
      </c>
    </row>
    <row r="249" spans="7:12" x14ac:dyDescent="0.3">
      <c r="G249" s="4" t="s">
        <v>1046</v>
      </c>
      <c r="H249" s="4" t="s">
        <v>1063</v>
      </c>
    </row>
    <row r="250" spans="7:12" x14ac:dyDescent="0.3">
      <c r="G250" t="s">
        <v>1251</v>
      </c>
      <c r="H250" t="s">
        <v>1208</v>
      </c>
    </row>
    <row r="251" spans="7:12" x14ac:dyDescent="0.3">
      <c r="G251" s="4" t="s">
        <v>968</v>
      </c>
      <c r="H251" s="4" t="s">
        <v>189</v>
      </c>
    </row>
    <row r="252" spans="7:12" x14ac:dyDescent="0.3">
      <c r="G252" s="4" t="s">
        <v>1156</v>
      </c>
      <c r="H252" s="4" t="s">
        <v>1152</v>
      </c>
    </row>
    <row r="253" spans="7:12" x14ac:dyDescent="0.3">
      <c r="G253" s="4" t="s">
        <v>1157</v>
      </c>
      <c r="H253" s="4" t="s">
        <v>1153</v>
      </c>
      <c r="L253" s="5"/>
    </row>
    <row r="254" spans="7:12" x14ac:dyDescent="0.3">
      <c r="G254" s="4" t="s">
        <v>1158</v>
      </c>
      <c r="H254" s="4" t="s">
        <v>1154</v>
      </c>
      <c r="L254" s="5"/>
    </row>
    <row r="255" spans="7:12" x14ac:dyDescent="0.3">
      <c r="G255" s="4" t="s">
        <v>1159</v>
      </c>
      <c r="H255" s="4" t="s">
        <v>1155</v>
      </c>
      <c r="L255" s="5"/>
    </row>
    <row r="256" spans="7:12" x14ac:dyDescent="0.3">
      <c r="G256" s="4" t="s">
        <v>969</v>
      </c>
      <c r="H256" s="4" t="s">
        <v>951</v>
      </c>
      <c r="L256" s="5"/>
    </row>
    <row r="257" spans="7:12" x14ac:dyDescent="0.3">
      <c r="G257" s="4" t="s">
        <v>970</v>
      </c>
      <c r="H257" s="4" t="s">
        <v>952</v>
      </c>
    </row>
    <row r="258" spans="7:12" x14ac:dyDescent="0.3">
      <c r="G258" s="4" t="s">
        <v>971</v>
      </c>
      <c r="H258" s="4" t="s">
        <v>959</v>
      </c>
      <c r="L258" s="5"/>
    </row>
    <row r="259" spans="7:12" x14ac:dyDescent="0.3">
      <c r="G259" s="4" t="s">
        <v>972</v>
      </c>
      <c r="H259" s="4" t="s">
        <v>960</v>
      </c>
    </row>
    <row r="260" spans="7:12" x14ac:dyDescent="0.3">
      <c r="G260" s="4" t="s">
        <v>973</v>
      </c>
      <c r="H260" s="4" t="s">
        <v>953</v>
      </c>
    </row>
    <row r="261" spans="7:12" x14ac:dyDescent="0.3">
      <c r="G261" t="s">
        <v>634</v>
      </c>
      <c r="H261" t="s">
        <v>235</v>
      </c>
    </row>
    <row r="262" spans="7:12" x14ac:dyDescent="0.3">
      <c r="G262" t="s">
        <v>635</v>
      </c>
      <c r="H262" t="s">
        <v>168</v>
      </c>
    </row>
    <row r="275" spans="12:12" x14ac:dyDescent="0.3">
      <c r="L275" s="5"/>
    </row>
    <row r="276" spans="12:12" x14ac:dyDescent="0.3">
      <c r="L276" s="5"/>
    </row>
    <row r="277" spans="12:12" x14ac:dyDescent="0.3">
      <c r="L277" s="5"/>
    </row>
    <row r="278" spans="12:12" x14ac:dyDescent="0.3">
      <c r="L278" s="5"/>
    </row>
    <row r="279" spans="12:12" x14ac:dyDescent="0.3">
      <c r="L279" s="5"/>
    </row>
    <row r="280" spans="12:12" x14ac:dyDescent="0.3">
      <c r="L280" s="5"/>
    </row>
    <row r="281" spans="12:12" x14ac:dyDescent="0.3">
      <c r="L281" s="5"/>
    </row>
    <row r="282" spans="12:12" x14ac:dyDescent="0.3">
      <c r="L282" s="5"/>
    </row>
    <row r="305" spans="8:12" x14ac:dyDescent="0.3">
      <c r="H305" s="5"/>
    </row>
    <row r="306" spans="8:12" x14ac:dyDescent="0.3">
      <c r="H306" s="5"/>
    </row>
    <row r="307" spans="8:12" x14ac:dyDescent="0.3">
      <c r="H307" s="5"/>
    </row>
    <row r="308" spans="8:12" x14ac:dyDescent="0.3">
      <c r="H308" s="5"/>
    </row>
    <row r="310" spans="8:12" x14ac:dyDescent="0.3">
      <c r="L310" s="5"/>
    </row>
    <row r="311" spans="8:12" x14ac:dyDescent="0.3">
      <c r="L311" s="5"/>
    </row>
    <row r="312" spans="8:12" x14ac:dyDescent="0.3">
      <c r="L312" s="5"/>
    </row>
    <row r="313" spans="8:12" x14ac:dyDescent="0.3">
      <c r="L313" s="5"/>
    </row>
    <row r="380" spans="6:9" x14ac:dyDescent="0.3">
      <c r="F380" s="3"/>
      <c r="I380" s="3"/>
    </row>
    <row r="381" spans="6:9" x14ac:dyDescent="0.3">
      <c r="F381" s="3"/>
      <c r="I381" s="3"/>
    </row>
    <row r="382" spans="6:9" x14ac:dyDescent="0.3">
      <c r="F382" s="3"/>
      <c r="I382" s="3"/>
    </row>
    <row r="383" spans="6:9" x14ac:dyDescent="0.3">
      <c r="F383" s="3"/>
      <c r="I383" s="3"/>
    </row>
    <row r="384" spans="6:9" x14ac:dyDescent="0.3">
      <c r="F384" s="3"/>
      <c r="I384" s="3"/>
    </row>
    <row r="385" spans="6:9" x14ac:dyDescent="0.3">
      <c r="F385" s="3"/>
      <c r="I385" s="3"/>
    </row>
    <row r="386" spans="6:9" x14ac:dyDescent="0.3">
      <c r="F386" s="3"/>
      <c r="I386" s="3"/>
    </row>
    <row r="387" spans="6:9" x14ac:dyDescent="0.3">
      <c r="F387" s="3"/>
      <c r="I387" s="3"/>
    </row>
    <row r="388" spans="6:9" x14ac:dyDescent="0.3">
      <c r="F388" s="3"/>
      <c r="I388" s="3"/>
    </row>
    <row r="389" spans="6:9" x14ac:dyDescent="0.3">
      <c r="F389" s="3"/>
      <c r="I389" s="3"/>
    </row>
    <row r="390" spans="6:9" x14ac:dyDescent="0.3">
      <c r="F390" s="3"/>
      <c r="I390" s="3"/>
    </row>
    <row r="391" spans="6:9" x14ac:dyDescent="0.3">
      <c r="F391" s="3"/>
      <c r="I391" s="3"/>
    </row>
    <row r="392" spans="6:9" x14ac:dyDescent="0.3">
      <c r="F392" s="3"/>
      <c r="I392" s="3"/>
    </row>
    <row r="393" spans="6:9" x14ac:dyDescent="0.3">
      <c r="F393" s="3"/>
      <c r="I393" s="3"/>
    </row>
    <row r="394" spans="6:9" x14ac:dyDescent="0.3">
      <c r="F394" s="3"/>
      <c r="I394" s="3"/>
    </row>
    <row r="395" spans="6:9" x14ac:dyDescent="0.3">
      <c r="F395" s="3"/>
      <c r="I395" s="3"/>
    </row>
    <row r="396" spans="6:9" x14ac:dyDescent="0.3">
      <c r="F396" s="3"/>
      <c r="I396" s="3"/>
    </row>
    <row r="397" spans="6:9" x14ac:dyDescent="0.3">
      <c r="F397" s="3"/>
      <c r="I397" s="3"/>
    </row>
  </sheetData>
  <phoneticPr fontId="9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5176-B896-4336-B329-E14702931C06}">
  <dimension ref="A1:CH6"/>
  <sheetViews>
    <sheetView workbookViewId="0">
      <selection activeCell="E18" sqref="E18"/>
    </sheetView>
  </sheetViews>
  <sheetFormatPr baseColWidth="10" defaultRowHeight="14.4" x14ac:dyDescent="0.3"/>
  <sheetData>
    <row r="1" spans="1:86" x14ac:dyDescent="0.3">
      <c r="C1" s="4" t="s">
        <v>1457</v>
      </c>
      <c r="D1" s="4" t="s">
        <v>1458</v>
      </c>
      <c r="E1" s="4" t="s">
        <v>1459</v>
      </c>
      <c r="F1" s="4" t="s">
        <v>1460</v>
      </c>
      <c r="G1" s="4" t="s">
        <v>1461</v>
      </c>
      <c r="H1" s="4" t="s">
        <v>1462</v>
      </c>
      <c r="I1" s="4" t="s">
        <v>1463</v>
      </c>
      <c r="J1" s="4" t="s">
        <v>1464</v>
      </c>
      <c r="K1" s="4" t="s">
        <v>1465</v>
      </c>
      <c r="L1" s="4" t="s">
        <v>1466</v>
      </c>
      <c r="M1" s="4" t="s">
        <v>1467</v>
      </c>
      <c r="N1" s="4" t="s">
        <v>1468</v>
      </c>
      <c r="O1" s="4" t="s">
        <v>1469</v>
      </c>
      <c r="P1" s="4" t="s">
        <v>1470</v>
      </c>
      <c r="Q1" s="4" t="s">
        <v>1471</v>
      </c>
      <c r="R1" s="4" t="s">
        <v>1472</v>
      </c>
      <c r="S1" s="4" t="s">
        <v>1473</v>
      </c>
      <c r="T1" s="4" t="s">
        <v>1474</v>
      </c>
      <c r="U1" s="4" t="s">
        <v>1475</v>
      </c>
      <c r="V1" s="4" t="s">
        <v>1476</v>
      </c>
      <c r="W1" s="4" t="s">
        <v>1477</v>
      </c>
      <c r="X1" s="4" t="s">
        <v>1478</v>
      </c>
      <c r="Y1" s="4" t="s">
        <v>1479</v>
      </c>
      <c r="Z1" s="4" t="s">
        <v>1480</v>
      </c>
      <c r="AA1" s="4" t="s">
        <v>1481</v>
      </c>
      <c r="AB1" s="4" t="s">
        <v>1482</v>
      </c>
      <c r="AC1" s="4" t="s">
        <v>1483</v>
      </c>
      <c r="AD1" s="4" t="s">
        <v>1484</v>
      </c>
      <c r="AE1" s="4" t="s">
        <v>1485</v>
      </c>
      <c r="AF1" s="4" t="s">
        <v>1486</v>
      </c>
      <c r="AG1" s="4" t="s">
        <v>1487</v>
      </c>
      <c r="AH1" s="4" t="s">
        <v>1488</v>
      </c>
      <c r="AI1" s="4" t="s">
        <v>1489</v>
      </c>
      <c r="AJ1" s="4" t="s">
        <v>1490</v>
      </c>
      <c r="AK1" s="4" t="s">
        <v>1491</v>
      </c>
      <c r="AL1" s="4" t="s">
        <v>1492</v>
      </c>
      <c r="AM1" s="4" t="s">
        <v>1493</v>
      </c>
      <c r="AN1" s="4" t="s">
        <v>1494</v>
      </c>
      <c r="AO1" s="4" t="s">
        <v>1495</v>
      </c>
      <c r="AP1" s="4" t="s">
        <v>1496</v>
      </c>
      <c r="AQ1" s="4" t="s">
        <v>1497</v>
      </c>
      <c r="AR1" s="4" t="s">
        <v>1498</v>
      </c>
      <c r="AS1" s="4" t="s">
        <v>1499</v>
      </c>
      <c r="AT1" s="4" t="s">
        <v>1500</v>
      </c>
      <c r="AU1" s="4" t="s">
        <v>1501</v>
      </c>
      <c r="AV1" s="4" t="s">
        <v>1502</v>
      </c>
      <c r="AW1" s="4" t="s">
        <v>1503</v>
      </c>
      <c r="AX1" s="4" t="s">
        <v>1504</v>
      </c>
      <c r="AY1" s="4" t="s">
        <v>1505</v>
      </c>
      <c r="AZ1" s="4" t="s">
        <v>1506</v>
      </c>
      <c r="BA1" s="4" t="s">
        <v>1507</v>
      </c>
      <c r="BB1" s="4" t="s">
        <v>1508</v>
      </c>
      <c r="BC1" s="4" t="s">
        <v>1509</v>
      </c>
      <c r="BD1" s="4" t="s">
        <v>1510</v>
      </c>
      <c r="BE1" s="4" t="s">
        <v>1511</v>
      </c>
      <c r="BF1" s="4" t="s">
        <v>1512</v>
      </c>
      <c r="BG1" s="4" t="s">
        <v>1513</v>
      </c>
      <c r="BH1" s="4" t="s">
        <v>1514</v>
      </c>
      <c r="BI1" s="4" t="s">
        <v>1515</v>
      </c>
      <c r="BJ1" s="4" t="s">
        <v>1516</v>
      </c>
      <c r="BK1" s="4" t="s">
        <v>1517</v>
      </c>
      <c r="BL1" s="4" t="s">
        <v>1518</v>
      </c>
      <c r="BM1" s="4" t="s">
        <v>1519</v>
      </c>
      <c r="BN1" s="4" t="s">
        <v>1520</v>
      </c>
      <c r="BO1" s="4" t="s">
        <v>1521</v>
      </c>
      <c r="BP1" s="4" t="s">
        <v>1522</v>
      </c>
      <c r="BQ1" s="4" t="s">
        <v>1523</v>
      </c>
      <c r="BR1" s="4" t="s">
        <v>1524</v>
      </c>
      <c r="BS1" s="4" t="s">
        <v>1525</v>
      </c>
      <c r="BT1" s="4" t="s">
        <v>1526</v>
      </c>
      <c r="BU1" s="4" t="s">
        <v>1527</v>
      </c>
      <c r="BV1" s="4" t="s">
        <v>1528</v>
      </c>
      <c r="BW1" s="4" t="s">
        <v>1529</v>
      </c>
      <c r="BX1" s="4" t="s">
        <v>1530</v>
      </c>
      <c r="BY1" s="4" t="s">
        <v>1531</v>
      </c>
      <c r="BZ1" s="4" t="s">
        <v>1532</v>
      </c>
      <c r="CA1" s="4" t="s">
        <v>1533</v>
      </c>
      <c r="CB1" s="4" t="s">
        <v>1534</v>
      </c>
      <c r="CC1" s="4" t="s">
        <v>1535</v>
      </c>
      <c r="CD1" s="4" t="s">
        <v>1536</v>
      </c>
      <c r="CE1" s="4" t="s">
        <v>1537</v>
      </c>
      <c r="CF1" s="4" t="s">
        <v>1538</v>
      </c>
      <c r="CG1" s="4" t="s">
        <v>1539</v>
      </c>
      <c r="CH1" s="4" t="s">
        <v>1540</v>
      </c>
    </row>
    <row r="2" spans="1:86" x14ac:dyDescent="0.3">
      <c r="A2" s="4" t="s">
        <v>1455</v>
      </c>
      <c r="B2" s="4" t="s">
        <v>666</v>
      </c>
      <c r="C2">
        <v>0.69378913101899775</v>
      </c>
      <c r="D2">
        <v>0.69378913101899775</v>
      </c>
      <c r="E2">
        <v>0.69378913101899775</v>
      </c>
      <c r="F2">
        <v>0.69378913101899775</v>
      </c>
      <c r="G2">
        <v>0.69378913101899775</v>
      </c>
      <c r="H2">
        <v>0.69378913101899775</v>
      </c>
      <c r="I2">
        <v>0.69378913101899775</v>
      </c>
      <c r="J2">
        <v>0.69378913101899775</v>
      </c>
      <c r="K2">
        <v>0.69378913101899775</v>
      </c>
      <c r="L2">
        <v>0.69378913101899775</v>
      </c>
      <c r="M2">
        <v>0.69378913101899775</v>
      </c>
      <c r="N2">
        <v>0.69378913101899775</v>
      </c>
      <c r="O2">
        <v>0.69378913101899775</v>
      </c>
      <c r="P2">
        <v>0.69378913101899775</v>
      </c>
      <c r="Q2">
        <v>0.69378913101899775</v>
      </c>
      <c r="R2">
        <v>0.69378913101899775</v>
      </c>
      <c r="S2">
        <v>0.69378913101899775</v>
      </c>
      <c r="T2">
        <v>0.69378913101899775</v>
      </c>
      <c r="U2">
        <v>0.69378913101899775</v>
      </c>
      <c r="V2">
        <v>0.69378913101899775</v>
      </c>
      <c r="W2">
        <v>0.69378913101899775</v>
      </c>
      <c r="X2">
        <v>0.69378913101899775</v>
      </c>
      <c r="Y2">
        <v>0.69378913101899775</v>
      </c>
      <c r="Z2">
        <v>0.69378913101899775</v>
      </c>
      <c r="AA2">
        <v>0.69378913101899775</v>
      </c>
      <c r="AB2">
        <v>0.69378913101899775</v>
      </c>
      <c r="AC2">
        <v>0.69378913101899775</v>
      </c>
      <c r="AD2">
        <v>0.69378913101899775</v>
      </c>
      <c r="AE2">
        <v>0.69378913101899775</v>
      </c>
      <c r="AF2">
        <v>0.69378913101899775</v>
      </c>
      <c r="AG2">
        <v>0.69378913101899775</v>
      </c>
      <c r="AH2">
        <v>0.69378913101899775</v>
      </c>
      <c r="AI2">
        <v>0.69378913101899775</v>
      </c>
      <c r="AJ2">
        <v>0.69378913101899775</v>
      </c>
      <c r="AK2">
        <v>0.69378913101899775</v>
      </c>
      <c r="AL2">
        <v>0.69378913101899775</v>
      </c>
      <c r="AM2">
        <v>0.69378913101899775</v>
      </c>
      <c r="AN2">
        <v>0.69378913101899775</v>
      </c>
      <c r="AO2">
        <v>0.69378913101899775</v>
      </c>
      <c r="AP2">
        <v>0.69378913101899775</v>
      </c>
      <c r="AQ2">
        <v>0.69378913101899775</v>
      </c>
      <c r="AR2">
        <v>0.69378913101899775</v>
      </c>
      <c r="AS2">
        <v>0.69378913101899775</v>
      </c>
      <c r="AT2">
        <v>0.69378913101899775</v>
      </c>
      <c r="AU2">
        <v>0.69378913101899775</v>
      </c>
      <c r="AV2">
        <v>0.69378913101899775</v>
      </c>
      <c r="AW2">
        <v>0.69378913101899775</v>
      </c>
      <c r="AX2">
        <v>0.69378913101899775</v>
      </c>
      <c r="AY2">
        <v>0.69378913101899775</v>
      </c>
      <c r="AZ2">
        <v>0.69378913101899775</v>
      </c>
      <c r="BA2">
        <v>0.69378913101899775</v>
      </c>
      <c r="BB2">
        <v>0.69378913101899775</v>
      </c>
      <c r="BC2">
        <v>0.69378913101899775</v>
      </c>
      <c r="BD2">
        <v>0.69378913101899775</v>
      </c>
      <c r="BE2">
        <v>0.69378913101899775</v>
      </c>
      <c r="BF2">
        <v>0.69378913101899775</v>
      </c>
      <c r="BG2">
        <v>0.69378913101899775</v>
      </c>
      <c r="BH2">
        <v>0.69378913101899775</v>
      </c>
      <c r="BI2">
        <v>0.69378913101899775</v>
      </c>
      <c r="BJ2">
        <v>0.69378913101899775</v>
      </c>
      <c r="BK2">
        <v>0.69378913101899775</v>
      </c>
      <c r="BL2">
        <v>0.69378913101899775</v>
      </c>
      <c r="BM2">
        <v>0.69378913101899775</v>
      </c>
      <c r="BN2">
        <v>0.69378913101899775</v>
      </c>
      <c r="BO2">
        <v>0.69378913101899775</v>
      </c>
      <c r="BP2">
        <v>0.69378913101899775</v>
      </c>
      <c r="BQ2">
        <v>0.69378913101899775</v>
      </c>
      <c r="BR2">
        <v>0.69378913101899775</v>
      </c>
      <c r="BS2">
        <v>0.69378913101899775</v>
      </c>
      <c r="BT2">
        <v>0.69378913101899775</v>
      </c>
      <c r="BU2">
        <v>0.69378913101899775</v>
      </c>
      <c r="BV2">
        <v>0.69378913101899775</v>
      </c>
      <c r="BW2">
        <v>0.69378913101899775</v>
      </c>
      <c r="BX2">
        <v>0.69378913101899775</v>
      </c>
      <c r="BY2">
        <v>0.69378913101899775</v>
      </c>
      <c r="BZ2">
        <v>0.69378913101899775</v>
      </c>
      <c r="CA2">
        <v>0.69378913101899775</v>
      </c>
      <c r="CB2">
        <v>0.69378913101899775</v>
      </c>
      <c r="CC2">
        <v>0.69378913101899775</v>
      </c>
      <c r="CD2">
        <v>0.69378913101899775</v>
      </c>
      <c r="CE2">
        <v>0.69378913101899775</v>
      </c>
      <c r="CF2">
        <v>0.69378913101899775</v>
      </c>
      <c r="CG2">
        <v>0.69378913101899775</v>
      </c>
      <c r="CH2">
        <v>0.69378913101899775</v>
      </c>
    </row>
    <row r="3" spans="1:86" x14ac:dyDescent="0.3">
      <c r="A3" s="4" t="s">
        <v>1455</v>
      </c>
      <c r="B3" s="4" t="s">
        <v>245</v>
      </c>
      <c r="C3">
        <v>0.27361177290067112</v>
      </c>
      <c r="D3">
        <v>0.27361177290067112</v>
      </c>
      <c r="E3">
        <v>0.27361177290067112</v>
      </c>
      <c r="F3">
        <v>0.27361177290067112</v>
      </c>
      <c r="G3">
        <v>0.27361177290067112</v>
      </c>
      <c r="H3">
        <v>0.27361177290067112</v>
      </c>
      <c r="I3">
        <v>0.27361177290067112</v>
      </c>
      <c r="J3">
        <v>0.27361177290067112</v>
      </c>
      <c r="K3">
        <v>0.27361177290067112</v>
      </c>
      <c r="L3">
        <v>0.27361177290067112</v>
      </c>
      <c r="M3">
        <v>0.27361177290067112</v>
      </c>
      <c r="N3">
        <v>0.27361177290067112</v>
      </c>
      <c r="O3">
        <v>0.27361177290067112</v>
      </c>
      <c r="P3">
        <v>0.27361177290067112</v>
      </c>
      <c r="Q3">
        <v>0.27361177290067112</v>
      </c>
      <c r="R3">
        <v>0.27361177290067112</v>
      </c>
      <c r="S3">
        <v>0.27361177290067112</v>
      </c>
      <c r="T3">
        <v>0.27361177290067112</v>
      </c>
      <c r="U3">
        <v>0.27361177290067112</v>
      </c>
      <c r="V3">
        <v>0.27361177290067112</v>
      </c>
      <c r="W3">
        <v>0.27361177290067112</v>
      </c>
      <c r="X3">
        <v>0.27361177290067112</v>
      </c>
      <c r="Y3">
        <v>0.27361177290067112</v>
      </c>
      <c r="Z3">
        <v>0.27361177290067112</v>
      </c>
      <c r="AA3">
        <v>0.27361177290067112</v>
      </c>
      <c r="AB3">
        <v>0.27361177290067112</v>
      </c>
      <c r="AC3">
        <v>0.27361177290067112</v>
      </c>
      <c r="AD3">
        <v>0.27361177290067112</v>
      </c>
      <c r="AE3">
        <v>0.27361177290067112</v>
      </c>
      <c r="AF3">
        <v>0.27361177290067112</v>
      </c>
      <c r="AG3">
        <v>0.27361177290067112</v>
      </c>
      <c r="AH3">
        <v>0.27361177290067112</v>
      </c>
      <c r="AI3">
        <v>0.27361177290067112</v>
      </c>
      <c r="AJ3">
        <v>0.27361177290067112</v>
      </c>
      <c r="AK3">
        <v>0.27361177290067112</v>
      </c>
      <c r="AL3">
        <v>0.27361177290067112</v>
      </c>
      <c r="AM3">
        <v>0.27361177290067112</v>
      </c>
      <c r="AN3">
        <v>0.27361177290067112</v>
      </c>
      <c r="AO3">
        <v>0.27361177290067112</v>
      </c>
      <c r="AP3">
        <v>0.27361177290067112</v>
      </c>
      <c r="AQ3">
        <v>0.27361177290067112</v>
      </c>
      <c r="AR3">
        <v>0.27361177290067112</v>
      </c>
      <c r="AS3">
        <v>0.27361177290067112</v>
      </c>
      <c r="AT3">
        <v>0.27361177290067112</v>
      </c>
      <c r="AU3">
        <v>0.27361177290067112</v>
      </c>
      <c r="AV3">
        <v>0.27361177290067112</v>
      </c>
      <c r="AW3">
        <v>0.27361177290067112</v>
      </c>
      <c r="AX3">
        <v>0.27361177290067112</v>
      </c>
      <c r="AY3">
        <v>0.27361177290067112</v>
      </c>
      <c r="AZ3">
        <v>0.27361177290067112</v>
      </c>
      <c r="BA3">
        <v>0.27361177290067112</v>
      </c>
      <c r="BB3">
        <v>0.27361177290067112</v>
      </c>
      <c r="BC3">
        <v>0.27361177290067112</v>
      </c>
      <c r="BD3">
        <v>0.27361177290067112</v>
      </c>
      <c r="BE3">
        <v>0.27361177290067112</v>
      </c>
      <c r="BF3">
        <v>0.27361177290067112</v>
      </c>
      <c r="BG3">
        <v>0.27361177290067112</v>
      </c>
      <c r="BH3">
        <v>0.27361177290067112</v>
      </c>
      <c r="BI3">
        <v>0.27361177290067112</v>
      </c>
      <c r="BJ3">
        <v>0.27361177290067112</v>
      </c>
      <c r="BK3">
        <v>0.27361177290067112</v>
      </c>
      <c r="BL3">
        <v>0.27361177290067112</v>
      </c>
      <c r="BM3">
        <v>0.27361177290067112</v>
      </c>
      <c r="BN3">
        <v>0.27361177290067112</v>
      </c>
      <c r="BO3">
        <v>0.27361177290067112</v>
      </c>
      <c r="BP3">
        <v>0.27361177290067112</v>
      </c>
      <c r="BQ3">
        <v>0.27361177290067112</v>
      </c>
      <c r="BR3">
        <v>0.27361177290067112</v>
      </c>
      <c r="BS3">
        <v>0.27361177290067112</v>
      </c>
      <c r="BT3">
        <v>0.27361177290067112</v>
      </c>
      <c r="BU3">
        <v>0.27361177290067112</v>
      </c>
      <c r="BV3">
        <v>0.27361177290067112</v>
      </c>
      <c r="BW3">
        <v>0.27361177290067112</v>
      </c>
      <c r="BX3">
        <v>0.27361177290067112</v>
      </c>
      <c r="BY3">
        <v>0.27361177290067112</v>
      </c>
      <c r="BZ3">
        <v>0.27361177290067112</v>
      </c>
      <c r="CA3">
        <v>0.27361177290067112</v>
      </c>
      <c r="CB3">
        <v>0.27361177290067112</v>
      </c>
      <c r="CC3">
        <v>0.27361177290067112</v>
      </c>
      <c r="CD3">
        <v>0.27361177290067112</v>
      </c>
      <c r="CE3">
        <v>0.27361177290067112</v>
      </c>
      <c r="CF3">
        <v>0.27361177290067112</v>
      </c>
      <c r="CG3">
        <v>0.27361177290067112</v>
      </c>
      <c r="CH3">
        <v>0.27361177290067112</v>
      </c>
    </row>
    <row r="4" spans="1:86" x14ac:dyDescent="0.3">
      <c r="A4" s="4" t="s">
        <v>1455</v>
      </c>
      <c r="B4" s="4" t="s">
        <v>671</v>
      </c>
      <c r="C4">
        <v>2.9590737791135899E-2</v>
      </c>
      <c r="D4">
        <v>2.9590737791135899E-2</v>
      </c>
      <c r="E4">
        <v>2.9590737791135899E-2</v>
      </c>
      <c r="F4">
        <v>2.9590737791135899E-2</v>
      </c>
      <c r="G4">
        <v>2.9590737791135899E-2</v>
      </c>
      <c r="H4">
        <v>2.9590737791135899E-2</v>
      </c>
      <c r="I4">
        <v>2.9590737791135899E-2</v>
      </c>
      <c r="J4">
        <v>2.9590737791135899E-2</v>
      </c>
      <c r="K4">
        <v>2.9590737791135899E-2</v>
      </c>
      <c r="L4">
        <v>2.9590737791135899E-2</v>
      </c>
      <c r="M4">
        <v>2.9590737791135899E-2</v>
      </c>
      <c r="N4">
        <v>2.9590737791135899E-2</v>
      </c>
      <c r="O4">
        <v>2.9590737791135899E-2</v>
      </c>
      <c r="P4">
        <v>2.9590737791135899E-2</v>
      </c>
      <c r="Q4">
        <v>2.9590737791135899E-2</v>
      </c>
      <c r="R4">
        <v>2.9590737791135899E-2</v>
      </c>
      <c r="S4">
        <v>2.9590737791135899E-2</v>
      </c>
      <c r="T4">
        <v>2.9590737791135899E-2</v>
      </c>
      <c r="U4">
        <v>2.9590737791135899E-2</v>
      </c>
      <c r="V4">
        <v>2.9590737791135899E-2</v>
      </c>
      <c r="W4">
        <v>2.9590737791135899E-2</v>
      </c>
      <c r="X4">
        <v>2.9590737791135899E-2</v>
      </c>
      <c r="Y4">
        <v>2.9590737791135899E-2</v>
      </c>
      <c r="Z4">
        <v>2.9590737791135899E-2</v>
      </c>
      <c r="AA4">
        <v>2.9590737791135899E-2</v>
      </c>
      <c r="AB4">
        <v>2.9590737791135899E-2</v>
      </c>
      <c r="AC4">
        <v>2.9590737791135899E-2</v>
      </c>
      <c r="AD4">
        <v>2.9590737791135899E-2</v>
      </c>
      <c r="AE4">
        <v>2.9590737791135899E-2</v>
      </c>
      <c r="AF4">
        <v>2.9590737791135899E-2</v>
      </c>
      <c r="AG4">
        <v>2.9590737791135899E-2</v>
      </c>
      <c r="AH4">
        <v>2.9590737791135899E-2</v>
      </c>
      <c r="AI4">
        <v>2.9590737791135899E-2</v>
      </c>
      <c r="AJ4">
        <v>2.9590737791135899E-2</v>
      </c>
      <c r="AK4">
        <v>2.9590737791135899E-2</v>
      </c>
      <c r="AL4">
        <v>2.9590737791135899E-2</v>
      </c>
      <c r="AM4">
        <v>2.9590737791135899E-2</v>
      </c>
      <c r="AN4">
        <v>2.9590737791135899E-2</v>
      </c>
      <c r="AO4">
        <v>2.9590737791135899E-2</v>
      </c>
      <c r="AP4">
        <v>2.9590737791135899E-2</v>
      </c>
      <c r="AQ4">
        <v>2.9590737791135899E-2</v>
      </c>
      <c r="AR4">
        <v>2.9590737791135899E-2</v>
      </c>
      <c r="AS4">
        <v>2.9590737791135899E-2</v>
      </c>
      <c r="AT4">
        <v>2.9590737791135899E-2</v>
      </c>
      <c r="AU4">
        <v>2.9590737791135899E-2</v>
      </c>
      <c r="AV4">
        <v>2.9590737791135899E-2</v>
      </c>
      <c r="AW4">
        <v>2.9590737791135899E-2</v>
      </c>
      <c r="AX4">
        <v>2.9590737791135899E-2</v>
      </c>
      <c r="AY4">
        <v>2.9590737791135899E-2</v>
      </c>
      <c r="AZ4">
        <v>2.9590737791135899E-2</v>
      </c>
      <c r="BA4">
        <v>2.9590737791135899E-2</v>
      </c>
      <c r="BB4">
        <v>2.9590737791135899E-2</v>
      </c>
      <c r="BC4">
        <v>2.9590737791135899E-2</v>
      </c>
      <c r="BD4">
        <v>2.9590737791135899E-2</v>
      </c>
      <c r="BE4">
        <v>2.9590737791135899E-2</v>
      </c>
      <c r="BF4">
        <v>2.9590737791135899E-2</v>
      </c>
      <c r="BG4">
        <v>2.9590737791135899E-2</v>
      </c>
      <c r="BH4">
        <v>2.9590737791135899E-2</v>
      </c>
      <c r="BI4">
        <v>2.9590737791135899E-2</v>
      </c>
      <c r="BJ4">
        <v>2.9590737791135899E-2</v>
      </c>
      <c r="BK4">
        <v>2.9590737791135899E-2</v>
      </c>
      <c r="BL4">
        <v>2.9590737791135899E-2</v>
      </c>
      <c r="BM4">
        <v>2.9590737791135899E-2</v>
      </c>
      <c r="BN4">
        <v>2.9590737791135899E-2</v>
      </c>
      <c r="BO4">
        <v>2.9590737791135899E-2</v>
      </c>
      <c r="BP4">
        <v>2.9590737791135899E-2</v>
      </c>
      <c r="BQ4">
        <v>2.9590737791135899E-2</v>
      </c>
      <c r="BR4">
        <v>2.9590737791135899E-2</v>
      </c>
      <c r="BS4">
        <v>2.9590737791135899E-2</v>
      </c>
      <c r="BT4">
        <v>2.9590737791135899E-2</v>
      </c>
      <c r="BU4">
        <v>2.9590737791135899E-2</v>
      </c>
      <c r="BV4">
        <v>2.9590737791135899E-2</v>
      </c>
      <c r="BW4">
        <v>2.9590737791135899E-2</v>
      </c>
      <c r="BX4">
        <v>2.9590737791135899E-2</v>
      </c>
      <c r="BY4">
        <v>2.9590737791135899E-2</v>
      </c>
      <c r="BZ4">
        <v>2.9590737791135899E-2</v>
      </c>
      <c r="CA4">
        <v>2.9590737791135899E-2</v>
      </c>
      <c r="CB4">
        <v>2.9590737791135899E-2</v>
      </c>
      <c r="CC4">
        <v>2.9590737791135899E-2</v>
      </c>
      <c r="CD4">
        <v>2.9590737791135899E-2</v>
      </c>
      <c r="CE4">
        <v>2.9590737791135899E-2</v>
      </c>
      <c r="CF4">
        <v>2.9590737791135899E-2</v>
      </c>
      <c r="CG4">
        <v>2.9590737791135899E-2</v>
      </c>
      <c r="CH4">
        <v>2.9590737791135899E-2</v>
      </c>
    </row>
    <row r="5" spans="1:86" x14ac:dyDescent="0.3">
      <c r="A5" s="4" t="s">
        <v>1455</v>
      </c>
      <c r="B5" s="4" t="s">
        <v>258</v>
      </c>
      <c r="C5">
        <v>3.0083582891953157E-3</v>
      </c>
      <c r="D5">
        <v>3.0083582891953157E-3</v>
      </c>
      <c r="E5">
        <v>3.0083582891953157E-3</v>
      </c>
      <c r="F5">
        <v>3.0083582891953157E-3</v>
      </c>
      <c r="G5">
        <v>3.0083582891953157E-3</v>
      </c>
      <c r="H5">
        <v>3.0083582891953157E-3</v>
      </c>
      <c r="I5">
        <v>3.0083582891953157E-3</v>
      </c>
      <c r="J5">
        <v>3.0083582891953157E-3</v>
      </c>
      <c r="K5">
        <v>3.0083582891953157E-3</v>
      </c>
      <c r="L5">
        <v>3.0083582891953157E-3</v>
      </c>
      <c r="M5">
        <v>3.0083582891953157E-3</v>
      </c>
      <c r="N5">
        <v>3.0083582891953157E-3</v>
      </c>
      <c r="O5">
        <v>3.0083582891953157E-3</v>
      </c>
      <c r="P5">
        <v>3.0083582891953157E-3</v>
      </c>
      <c r="Q5">
        <v>3.0083582891953157E-3</v>
      </c>
      <c r="R5">
        <v>3.0083582891953157E-3</v>
      </c>
      <c r="S5">
        <v>3.0083582891953157E-3</v>
      </c>
      <c r="T5">
        <v>3.0083582891953157E-3</v>
      </c>
      <c r="U5">
        <v>3.0083582891953157E-3</v>
      </c>
      <c r="V5">
        <v>3.0083582891953157E-3</v>
      </c>
      <c r="W5">
        <v>3.0083582891953157E-3</v>
      </c>
      <c r="X5">
        <v>3.0083582891953157E-3</v>
      </c>
      <c r="Y5">
        <v>3.0083582891953157E-3</v>
      </c>
      <c r="Z5">
        <v>3.0083582891953157E-3</v>
      </c>
      <c r="AA5">
        <v>3.0083582891953157E-3</v>
      </c>
      <c r="AB5">
        <v>3.0083582891953157E-3</v>
      </c>
      <c r="AC5">
        <v>3.0083582891953157E-3</v>
      </c>
      <c r="AD5">
        <v>3.0083582891953157E-3</v>
      </c>
      <c r="AE5">
        <v>3.0083582891953157E-3</v>
      </c>
      <c r="AF5">
        <v>3.0083582891953157E-3</v>
      </c>
      <c r="AG5">
        <v>3.0083582891953157E-3</v>
      </c>
      <c r="AH5">
        <v>3.0083582891953157E-3</v>
      </c>
      <c r="AI5">
        <v>3.0083582891953157E-3</v>
      </c>
      <c r="AJ5">
        <v>3.0083582891953157E-3</v>
      </c>
      <c r="AK5">
        <v>3.0083582891953157E-3</v>
      </c>
      <c r="AL5">
        <v>3.0083582891953157E-3</v>
      </c>
      <c r="AM5">
        <v>3.0083582891953157E-3</v>
      </c>
      <c r="AN5">
        <v>3.0083582891953157E-3</v>
      </c>
      <c r="AO5">
        <v>3.0083582891953157E-3</v>
      </c>
      <c r="AP5">
        <v>3.0083582891953157E-3</v>
      </c>
      <c r="AQ5">
        <v>3.0083582891953157E-3</v>
      </c>
      <c r="AR5">
        <v>3.0083582891953157E-3</v>
      </c>
      <c r="AS5">
        <v>3.0083582891953157E-3</v>
      </c>
      <c r="AT5">
        <v>3.0083582891953157E-3</v>
      </c>
      <c r="AU5">
        <v>3.0083582891953157E-3</v>
      </c>
      <c r="AV5">
        <v>3.0083582891953157E-3</v>
      </c>
      <c r="AW5">
        <v>3.0083582891953157E-3</v>
      </c>
      <c r="AX5">
        <v>3.0083582891953157E-3</v>
      </c>
      <c r="AY5">
        <v>3.0083582891953157E-3</v>
      </c>
      <c r="AZ5">
        <v>3.0083582891953157E-3</v>
      </c>
      <c r="BA5">
        <v>3.0083582891953157E-3</v>
      </c>
      <c r="BB5">
        <v>3.0083582891953157E-3</v>
      </c>
      <c r="BC5">
        <v>3.0083582891953157E-3</v>
      </c>
      <c r="BD5">
        <v>3.0083582891953157E-3</v>
      </c>
      <c r="BE5">
        <v>3.0083582891953157E-3</v>
      </c>
      <c r="BF5">
        <v>3.0083582891953157E-3</v>
      </c>
      <c r="BG5">
        <v>3.0083582891953157E-3</v>
      </c>
      <c r="BH5">
        <v>3.0083582891953157E-3</v>
      </c>
      <c r="BI5">
        <v>3.0083582891953157E-3</v>
      </c>
      <c r="BJ5">
        <v>3.0083582891953157E-3</v>
      </c>
      <c r="BK5">
        <v>3.0083582891953157E-3</v>
      </c>
      <c r="BL5">
        <v>3.0083582891953157E-3</v>
      </c>
      <c r="BM5">
        <v>3.0083582891953157E-3</v>
      </c>
      <c r="BN5">
        <v>3.0083582891953157E-3</v>
      </c>
      <c r="BO5">
        <v>3.0083582891953157E-3</v>
      </c>
      <c r="BP5">
        <v>3.0083582891953157E-3</v>
      </c>
      <c r="BQ5">
        <v>3.0083582891953157E-3</v>
      </c>
      <c r="BR5">
        <v>3.0083582891953157E-3</v>
      </c>
      <c r="BS5">
        <v>3.0083582891953157E-3</v>
      </c>
      <c r="BT5">
        <v>3.0083582891953157E-3</v>
      </c>
      <c r="BU5">
        <v>3.0083582891953157E-3</v>
      </c>
      <c r="BV5">
        <v>3.0083582891953157E-3</v>
      </c>
      <c r="BW5">
        <v>3.0083582891953157E-3</v>
      </c>
      <c r="BX5">
        <v>3.0083582891953157E-3</v>
      </c>
      <c r="BY5">
        <v>3.0083582891953157E-3</v>
      </c>
      <c r="BZ5">
        <v>3.0083582891953157E-3</v>
      </c>
      <c r="CA5">
        <v>3.0083582891953157E-3</v>
      </c>
      <c r="CB5">
        <v>3.0083582891953157E-3</v>
      </c>
      <c r="CC5">
        <v>3.0083582891953157E-3</v>
      </c>
      <c r="CD5">
        <v>3.0083582891953157E-3</v>
      </c>
      <c r="CE5">
        <v>3.0083582891953157E-3</v>
      </c>
      <c r="CF5">
        <v>3.0083582891953157E-3</v>
      </c>
      <c r="CG5">
        <v>3.0083582891953157E-3</v>
      </c>
      <c r="CH5">
        <v>3.0083582891953157E-3</v>
      </c>
    </row>
    <row r="6" spans="1:86" x14ac:dyDescent="0.3">
      <c r="A6" s="4" t="s">
        <v>1455</v>
      </c>
      <c r="B6" s="4" t="s">
        <v>1456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C12" sqref="C12"/>
    </sheetView>
  </sheetViews>
  <sheetFormatPr baseColWidth="10" defaultColWidth="10.88671875" defaultRowHeight="14.4" x14ac:dyDescent="0.3"/>
  <sheetData>
    <row r="1" spans="1:5" x14ac:dyDescent="0.3">
      <c r="B1" t="s">
        <v>39</v>
      </c>
      <c r="C1" t="s">
        <v>92</v>
      </c>
      <c r="D1" t="s">
        <v>40</v>
      </c>
      <c r="E1" t="s">
        <v>1435</v>
      </c>
    </row>
    <row r="2" spans="1:5" x14ac:dyDescent="0.3">
      <c r="A2" t="s">
        <v>1436</v>
      </c>
      <c r="B2" t="s">
        <v>349</v>
      </c>
    </row>
    <row r="3" spans="1:5" x14ac:dyDescent="0.3">
      <c r="A3" t="s">
        <v>1437</v>
      </c>
    </row>
    <row r="4" spans="1:5" x14ac:dyDescent="0.3">
      <c r="A4" t="s">
        <v>1331</v>
      </c>
    </row>
    <row r="5" spans="1:5" x14ac:dyDescent="0.3">
      <c r="A5" t="s">
        <v>1438</v>
      </c>
    </row>
    <row r="6" spans="1:5" x14ac:dyDescent="0.3">
      <c r="A6" t="s">
        <v>1439</v>
      </c>
    </row>
    <row r="7" spans="1:5" x14ac:dyDescent="0.3">
      <c r="A7" t="s">
        <v>290</v>
      </c>
    </row>
    <row r="8" spans="1:5" x14ac:dyDescent="0.3">
      <c r="A8" t="s">
        <v>228</v>
      </c>
    </row>
    <row r="9" spans="1:5" x14ac:dyDescent="0.3">
      <c r="A9" t="s">
        <v>1440</v>
      </c>
    </row>
    <row r="10" spans="1:5" x14ac:dyDescent="0.3">
      <c r="A10" t="s">
        <v>1441</v>
      </c>
    </row>
    <row r="11" spans="1:5" x14ac:dyDescent="0.3">
      <c r="A11" t="s">
        <v>1442</v>
      </c>
    </row>
    <row r="12" spans="1:5" x14ac:dyDescent="0.3">
      <c r="A12" t="s">
        <v>1443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93"/>
  <sheetViews>
    <sheetView workbookViewId="0">
      <selection activeCell="N3" sqref="N3"/>
    </sheetView>
  </sheetViews>
  <sheetFormatPr baseColWidth="10" defaultColWidth="10.88671875" defaultRowHeight="14.4" x14ac:dyDescent="0.3"/>
  <cols>
    <col min="3" max="7" width="11.5546875" customWidth="1"/>
    <col min="8" max="8" width="10.88671875" customWidth="1"/>
  </cols>
  <sheetData>
    <row r="2" spans="2:18" x14ac:dyDescent="0.3">
      <c r="C2" s="5" t="s">
        <v>1134</v>
      </c>
      <c r="D2" s="52" t="s">
        <v>992</v>
      </c>
      <c r="E2" s="57" t="s">
        <v>993</v>
      </c>
      <c r="F2" s="53" t="s">
        <v>1135</v>
      </c>
      <c r="G2" s="46" t="s">
        <v>127</v>
      </c>
      <c r="H2" s="60" t="s">
        <v>1139</v>
      </c>
      <c r="I2" s="116" t="s">
        <v>1453</v>
      </c>
      <c r="J2" s="61" t="s">
        <v>128</v>
      </c>
      <c r="K2" s="58" t="s">
        <v>1332</v>
      </c>
      <c r="L2" s="74" t="s">
        <v>1333</v>
      </c>
      <c r="M2" s="62" t="s">
        <v>1334</v>
      </c>
      <c r="N2" s="105" t="s">
        <v>1331</v>
      </c>
      <c r="O2" s="98" t="s">
        <v>1194</v>
      </c>
      <c r="P2" s="71" t="s">
        <v>1138</v>
      </c>
      <c r="Q2" s="80" t="s">
        <v>1136</v>
      </c>
      <c r="R2" s="48" t="s">
        <v>1195</v>
      </c>
    </row>
    <row r="3" spans="2:18" x14ac:dyDescent="0.3">
      <c r="C3" s="5">
        <v>0.5</v>
      </c>
      <c r="D3" s="52">
        <v>0.25</v>
      </c>
      <c r="E3" s="57">
        <v>0.25</v>
      </c>
      <c r="F3" s="53">
        <v>0.25</v>
      </c>
      <c r="G3" s="46">
        <v>0.25</v>
      </c>
      <c r="H3" s="60">
        <v>0.2</v>
      </c>
      <c r="I3" s="116">
        <v>2</v>
      </c>
      <c r="J3" s="61">
        <v>0.25</v>
      </c>
      <c r="K3" s="58">
        <v>0.1</v>
      </c>
      <c r="L3" s="74" t="s">
        <v>110</v>
      </c>
      <c r="M3" s="62">
        <v>0.1</v>
      </c>
      <c r="N3" s="105">
        <v>0.25</v>
      </c>
      <c r="O3" s="98">
        <v>0.1</v>
      </c>
      <c r="P3" s="71">
        <v>0.25</v>
      </c>
      <c r="Q3" s="80">
        <v>0.1</v>
      </c>
      <c r="R3" s="48">
        <v>0.25</v>
      </c>
    </row>
    <row r="4" spans="2:18" x14ac:dyDescent="0.3">
      <c r="B4" s="44"/>
      <c r="C4" s="5"/>
      <c r="D4" s="52"/>
      <c r="E4" s="57"/>
      <c r="F4" s="53"/>
      <c r="G4" s="46"/>
      <c r="H4" s="60"/>
      <c r="I4" s="116"/>
      <c r="J4" s="61"/>
      <c r="K4" s="58"/>
      <c r="L4" s="74"/>
      <c r="M4" s="62"/>
      <c r="N4" s="105"/>
      <c r="O4" s="98"/>
      <c r="P4" s="71"/>
      <c r="Q4" s="80"/>
      <c r="R4" s="48"/>
    </row>
    <row r="5" spans="2:18" x14ac:dyDescent="0.3">
      <c r="C5" s="5" t="s">
        <v>1134</v>
      </c>
      <c r="D5" s="52" t="s">
        <v>992</v>
      </c>
      <c r="E5" s="57" t="s">
        <v>993</v>
      </c>
      <c r="F5" s="53" t="s">
        <v>1135</v>
      </c>
      <c r="G5" s="46" t="s">
        <v>127</v>
      </c>
      <c r="H5" s="60" t="s">
        <v>1139</v>
      </c>
      <c r="I5" s="116" t="s">
        <v>1453</v>
      </c>
      <c r="J5" s="61" t="s">
        <v>128</v>
      </c>
      <c r="K5" s="58" t="s">
        <v>1332</v>
      </c>
      <c r="L5" s="74" t="s">
        <v>1333</v>
      </c>
      <c r="M5" s="62" t="s">
        <v>1334</v>
      </c>
      <c r="N5" s="105" t="s">
        <v>1331</v>
      </c>
      <c r="O5" s="98" t="s">
        <v>1194</v>
      </c>
      <c r="P5" s="71" t="s">
        <v>1138</v>
      </c>
      <c r="Q5" s="80" t="s">
        <v>1137</v>
      </c>
      <c r="R5" s="48" t="s">
        <v>1195</v>
      </c>
    </row>
    <row r="6" spans="2:18" hidden="1" x14ac:dyDescent="0.3">
      <c r="B6" s="49" t="s">
        <v>678</v>
      </c>
      <c r="C6" s="50">
        <v>1</v>
      </c>
      <c r="D6" s="51"/>
      <c r="E6" s="76"/>
      <c r="F6" s="54"/>
      <c r="G6" s="46"/>
      <c r="H6" s="59"/>
      <c r="I6" s="90"/>
      <c r="J6" s="61"/>
      <c r="K6" s="58"/>
      <c r="L6" s="74"/>
      <c r="M6" s="62"/>
      <c r="N6" s="105"/>
      <c r="O6" s="98"/>
      <c r="P6" s="71"/>
      <c r="Q6" s="80"/>
      <c r="R6" s="48"/>
    </row>
    <row r="7" spans="2:18" hidden="1" x14ac:dyDescent="0.3">
      <c r="B7" s="49" t="s">
        <v>679</v>
      </c>
      <c r="C7" s="50">
        <v>1</v>
      </c>
      <c r="D7" s="51"/>
      <c r="E7" s="76"/>
      <c r="F7" s="54"/>
      <c r="G7" s="46"/>
      <c r="H7" s="59"/>
      <c r="I7" s="90"/>
      <c r="J7" s="61"/>
      <c r="K7" s="58"/>
      <c r="L7" s="74"/>
      <c r="M7" s="62"/>
      <c r="N7" s="105"/>
      <c r="O7" s="98"/>
      <c r="P7" s="71"/>
      <c r="Q7" s="80"/>
      <c r="R7" s="48"/>
    </row>
    <row r="8" spans="2:18" hidden="1" x14ac:dyDescent="0.3">
      <c r="B8" s="49" t="s">
        <v>680</v>
      </c>
      <c r="C8" s="50">
        <v>1</v>
      </c>
      <c r="D8" s="51"/>
      <c r="E8" s="76"/>
      <c r="F8" s="54"/>
      <c r="G8" s="46"/>
      <c r="H8" s="59"/>
      <c r="I8" s="90"/>
      <c r="J8" s="61"/>
      <c r="K8" s="58"/>
      <c r="L8" s="74"/>
      <c r="M8" s="62"/>
      <c r="N8" s="105"/>
      <c r="O8" s="98"/>
      <c r="P8" s="71"/>
      <c r="Q8" s="80"/>
      <c r="R8" s="48"/>
    </row>
    <row r="9" spans="2:18" hidden="1" x14ac:dyDescent="0.3">
      <c r="B9" s="49" t="s">
        <v>681</v>
      </c>
      <c r="C9" s="50">
        <v>1</v>
      </c>
      <c r="D9" s="51"/>
      <c r="E9" s="76"/>
      <c r="F9" s="54"/>
      <c r="G9" s="46"/>
      <c r="H9" s="59"/>
      <c r="I9" s="90"/>
      <c r="J9" s="61"/>
      <c r="K9" s="58"/>
      <c r="L9" s="74"/>
      <c r="M9" s="62"/>
      <c r="N9" s="105"/>
      <c r="O9" s="98"/>
      <c r="P9" s="71"/>
      <c r="Q9" s="80"/>
      <c r="R9" s="48"/>
    </row>
    <row r="10" spans="2:18" hidden="1" x14ac:dyDescent="0.3">
      <c r="B10" s="49" t="s">
        <v>682</v>
      </c>
      <c r="C10" s="50">
        <v>1</v>
      </c>
      <c r="D10" s="51"/>
      <c r="E10" s="76"/>
      <c r="F10" s="54"/>
      <c r="G10" s="46"/>
      <c r="H10" s="59"/>
      <c r="I10" s="90"/>
      <c r="J10" s="61"/>
      <c r="K10" s="58"/>
      <c r="L10" s="74"/>
      <c r="M10" s="62"/>
      <c r="N10" s="105"/>
      <c r="O10" s="98"/>
      <c r="P10" s="71"/>
      <c r="Q10" s="80"/>
      <c r="R10" s="48"/>
    </row>
    <row r="11" spans="2:18" hidden="1" x14ac:dyDescent="0.3">
      <c r="B11" s="49" t="s">
        <v>683</v>
      </c>
      <c r="C11" s="50">
        <v>1</v>
      </c>
      <c r="D11" s="51"/>
      <c r="E11" s="76"/>
      <c r="F11" s="54"/>
      <c r="G11" s="46"/>
      <c r="H11" s="59"/>
      <c r="I11" s="90"/>
      <c r="J11" s="61"/>
      <c r="K11" s="58"/>
      <c r="L11" s="74"/>
      <c r="M11" s="62"/>
      <c r="N11" s="105"/>
      <c r="O11" s="98"/>
      <c r="P11" s="71"/>
      <c r="Q11" s="80"/>
      <c r="R11" s="48"/>
    </row>
    <row r="12" spans="2:18" hidden="1" x14ac:dyDescent="0.3">
      <c r="B12" s="49" t="s">
        <v>685</v>
      </c>
      <c r="C12" s="49">
        <v>1</v>
      </c>
      <c r="D12" s="51"/>
      <c r="E12" s="76"/>
      <c r="F12" s="54"/>
      <c r="G12" s="46"/>
      <c r="H12" s="59"/>
      <c r="I12" s="90"/>
      <c r="J12" s="61"/>
      <c r="K12" s="58"/>
      <c r="L12" s="74"/>
      <c r="M12" s="62"/>
      <c r="N12" s="105"/>
      <c r="O12" s="98"/>
      <c r="P12" s="71"/>
      <c r="Q12" s="80"/>
      <c r="R12" s="48"/>
    </row>
    <row r="13" spans="2:18" hidden="1" x14ac:dyDescent="0.3">
      <c r="B13" s="52" t="s">
        <v>686</v>
      </c>
      <c r="C13" s="52"/>
      <c r="D13" s="52">
        <v>1</v>
      </c>
      <c r="E13" s="76"/>
      <c r="F13" s="54"/>
      <c r="G13" s="46"/>
      <c r="H13" s="59"/>
      <c r="I13" s="90"/>
      <c r="J13" s="61"/>
      <c r="K13" s="58"/>
      <c r="L13" s="74"/>
      <c r="M13" s="62"/>
      <c r="N13" s="105"/>
      <c r="O13" s="98"/>
      <c r="P13" s="71"/>
      <c r="Q13" s="80"/>
      <c r="R13" s="48"/>
    </row>
    <row r="14" spans="2:18" hidden="1" x14ac:dyDescent="0.3">
      <c r="B14" s="52" t="s">
        <v>1179</v>
      </c>
      <c r="C14" s="52"/>
      <c r="D14" s="52">
        <v>1</v>
      </c>
      <c r="E14" s="76"/>
      <c r="F14" s="54"/>
      <c r="G14" s="46"/>
      <c r="H14" s="59"/>
      <c r="I14" s="90"/>
      <c r="J14" s="61"/>
      <c r="K14" s="58"/>
      <c r="L14" s="74"/>
      <c r="M14" s="62"/>
      <c r="N14" s="105"/>
      <c r="O14" s="98"/>
      <c r="P14" s="71"/>
      <c r="Q14" s="80"/>
      <c r="R14" s="48"/>
    </row>
    <row r="15" spans="2:18" hidden="1" x14ac:dyDescent="0.3">
      <c r="B15" s="52" t="s">
        <v>687</v>
      </c>
      <c r="C15" s="52"/>
      <c r="D15" s="52">
        <v>1</v>
      </c>
      <c r="E15" s="76"/>
      <c r="F15" s="54"/>
      <c r="G15" s="46"/>
      <c r="H15" s="59"/>
      <c r="I15" s="90"/>
      <c r="J15" s="61"/>
      <c r="K15" s="58"/>
      <c r="L15" s="74"/>
      <c r="M15" s="62"/>
      <c r="N15" s="105"/>
      <c r="O15" s="98"/>
      <c r="P15" s="71"/>
      <c r="Q15" s="80"/>
      <c r="R15" s="48"/>
    </row>
    <row r="16" spans="2:18" hidden="1" x14ac:dyDescent="0.3">
      <c r="B16" s="52" t="s">
        <v>688</v>
      </c>
      <c r="C16" s="52"/>
      <c r="D16" s="52">
        <v>1</v>
      </c>
      <c r="E16" s="76"/>
      <c r="F16" s="54"/>
      <c r="G16" s="46"/>
      <c r="H16" s="59"/>
      <c r="I16" s="90"/>
      <c r="J16" s="61"/>
      <c r="K16" s="58"/>
      <c r="L16" s="74"/>
      <c r="M16" s="62"/>
      <c r="N16" s="105"/>
      <c r="O16" s="98"/>
      <c r="P16" s="71"/>
      <c r="Q16" s="80"/>
      <c r="R16" s="48"/>
    </row>
    <row r="17" spans="2:18" hidden="1" x14ac:dyDescent="0.3">
      <c r="B17" s="52" t="s">
        <v>690</v>
      </c>
      <c r="C17" s="52"/>
      <c r="D17" s="52">
        <v>1</v>
      </c>
      <c r="E17" s="76"/>
      <c r="F17" s="54"/>
      <c r="G17" s="46"/>
      <c r="H17" s="59"/>
      <c r="I17" s="90"/>
      <c r="J17" s="61"/>
      <c r="K17" s="58"/>
      <c r="L17" s="74"/>
      <c r="M17" s="62"/>
      <c r="N17" s="105"/>
      <c r="O17" s="98"/>
      <c r="P17" s="71"/>
      <c r="Q17" s="80"/>
      <c r="R17" s="48"/>
    </row>
    <row r="18" spans="2:18" hidden="1" x14ac:dyDescent="0.3">
      <c r="B18" s="52" t="s">
        <v>691</v>
      </c>
      <c r="C18" s="52"/>
      <c r="D18" s="52">
        <v>1</v>
      </c>
      <c r="E18" s="76"/>
      <c r="F18" s="54"/>
      <c r="G18" s="46"/>
      <c r="H18" s="59"/>
      <c r="I18" s="90"/>
      <c r="J18" s="61"/>
      <c r="K18" s="58"/>
      <c r="L18" s="74"/>
      <c r="M18" s="62"/>
      <c r="N18" s="105"/>
      <c r="O18" s="98"/>
      <c r="P18" s="78"/>
      <c r="Q18" s="80"/>
      <c r="R18" s="48"/>
    </row>
    <row r="19" spans="2:18" hidden="1" x14ac:dyDescent="0.3">
      <c r="B19" s="52" t="s">
        <v>692</v>
      </c>
      <c r="C19" s="52"/>
      <c r="D19" s="52">
        <v>1</v>
      </c>
      <c r="E19" s="76"/>
      <c r="F19" s="54"/>
      <c r="G19" s="46"/>
      <c r="H19" s="59"/>
      <c r="I19" s="90"/>
      <c r="J19" s="61"/>
      <c r="K19" s="58"/>
      <c r="L19" s="74"/>
      <c r="M19" s="62"/>
      <c r="N19" s="105"/>
      <c r="O19" s="98"/>
      <c r="P19" s="78"/>
      <c r="Q19" s="80"/>
      <c r="R19" s="48"/>
    </row>
    <row r="20" spans="2:18" hidden="1" x14ac:dyDescent="0.3">
      <c r="B20" s="52" t="s">
        <v>694</v>
      </c>
      <c r="C20" s="52"/>
      <c r="D20" s="52">
        <v>1</v>
      </c>
      <c r="E20" s="76"/>
      <c r="F20" s="54"/>
      <c r="G20" s="46"/>
      <c r="H20" s="59"/>
      <c r="I20" s="90"/>
      <c r="J20" s="61"/>
      <c r="K20" s="58"/>
      <c r="L20" s="74"/>
      <c r="M20" s="62"/>
      <c r="N20" s="105"/>
      <c r="O20" s="98"/>
      <c r="P20" s="78"/>
      <c r="Q20" s="80"/>
      <c r="R20" s="48"/>
    </row>
    <row r="21" spans="2:18" hidden="1" x14ac:dyDescent="0.3">
      <c r="B21" s="102" t="s">
        <v>151</v>
      </c>
      <c r="C21" s="102"/>
      <c r="D21" s="102">
        <v>0.05</v>
      </c>
      <c r="E21" s="57">
        <v>0.1</v>
      </c>
      <c r="F21" s="53">
        <v>0.1</v>
      </c>
      <c r="G21" s="46">
        <v>0.05</v>
      </c>
      <c r="H21" s="59">
        <v>0.6</v>
      </c>
      <c r="I21" s="90"/>
      <c r="J21" s="61"/>
      <c r="K21" s="58"/>
      <c r="L21" s="74"/>
      <c r="M21" s="62">
        <v>0.1</v>
      </c>
      <c r="N21" s="105"/>
      <c r="O21" s="98"/>
      <c r="P21" s="78"/>
      <c r="Q21" s="80"/>
      <c r="R21" s="48"/>
    </row>
    <row r="22" spans="2:18" hidden="1" x14ac:dyDescent="0.3">
      <c r="B22" s="57" t="s">
        <v>693</v>
      </c>
      <c r="C22" s="57"/>
      <c r="D22" s="57"/>
      <c r="E22" s="77">
        <v>1</v>
      </c>
      <c r="F22" s="54"/>
      <c r="G22" s="46"/>
      <c r="H22" s="59"/>
      <c r="I22" s="90"/>
      <c r="J22" s="61"/>
      <c r="K22" s="58"/>
      <c r="L22" s="74"/>
      <c r="M22" s="62"/>
      <c r="N22" s="105"/>
      <c r="O22" s="98"/>
      <c r="P22" s="78"/>
      <c r="Q22" s="80"/>
      <c r="R22" s="48"/>
    </row>
    <row r="23" spans="2:18" hidden="1" x14ac:dyDescent="0.3">
      <c r="B23" s="57" t="s">
        <v>695</v>
      </c>
      <c r="C23" s="57"/>
      <c r="D23" s="57"/>
      <c r="E23" s="57">
        <v>1</v>
      </c>
      <c r="F23" s="54"/>
      <c r="G23" s="46"/>
      <c r="H23" s="59"/>
      <c r="I23" s="90"/>
      <c r="J23" s="61"/>
      <c r="K23" s="58"/>
      <c r="L23" s="74"/>
      <c r="M23" s="62"/>
      <c r="N23" s="105"/>
      <c r="O23" s="98"/>
      <c r="P23" s="78"/>
      <c r="Q23" s="80"/>
      <c r="R23" s="48"/>
    </row>
    <row r="24" spans="2:18" hidden="1" x14ac:dyDescent="0.3">
      <c r="B24" s="57" t="s">
        <v>696</v>
      </c>
      <c r="C24" s="57"/>
      <c r="D24" s="57"/>
      <c r="E24" s="57">
        <v>1</v>
      </c>
      <c r="F24" s="54"/>
      <c r="G24" s="46"/>
      <c r="H24" s="59"/>
      <c r="I24" s="90"/>
      <c r="J24" s="61"/>
      <c r="K24" s="58"/>
      <c r="L24" s="74"/>
      <c r="M24" s="62"/>
      <c r="N24" s="105"/>
      <c r="O24" s="98"/>
      <c r="P24" s="78"/>
      <c r="Q24" s="80"/>
      <c r="R24" s="48"/>
    </row>
    <row r="25" spans="2:18" hidden="1" x14ac:dyDescent="0.3">
      <c r="B25" s="57" t="s">
        <v>697</v>
      </c>
      <c r="C25" s="57"/>
      <c r="D25" s="57"/>
      <c r="E25" s="57">
        <v>1</v>
      </c>
      <c r="F25" s="54"/>
      <c r="G25" s="46"/>
      <c r="H25" s="59"/>
      <c r="I25" s="90"/>
      <c r="J25" s="61"/>
      <c r="K25" s="58"/>
      <c r="L25" s="74"/>
      <c r="M25" s="62"/>
      <c r="N25" s="105"/>
      <c r="O25" s="98"/>
      <c r="P25" s="78"/>
      <c r="Q25" s="80"/>
      <c r="R25" s="48"/>
    </row>
    <row r="26" spans="2:18" hidden="1" x14ac:dyDescent="0.3">
      <c r="B26" s="57" t="s">
        <v>142</v>
      </c>
      <c r="C26" s="57"/>
      <c r="D26" s="57"/>
      <c r="E26" s="57">
        <v>1</v>
      </c>
      <c r="F26" s="54"/>
      <c r="G26" s="46"/>
      <c r="H26" s="59"/>
      <c r="I26" s="90"/>
      <c r="J26" s="61"/>
      <c r="K26" s="58"/>
      <c r="L26" s="74"/>
      <c r="M26" s="62"/>
      <c r="N26" s="105"/>
      <c r="O26" s="98"/>
      <c r="P26" s="78"/>
      <c r="Q26" s="80"/>
      <c r="R26" s="48"/>
    </row>
    <row r="27" spans="2:18" hidden="1" x14ac:dyDescent="0.3">
      <c r="B27" s="53" t="s">
        <v>684</v>
      </c>
      <c r="C27" s="53" t="s">
        <v>465</v>
      </c>
      <c r="D27" s="53"/>
      <c r="E27" s="53" t="s">
        <v>465</v>
      </c>
      <c r="F27" s="53">
        <v>1</v>
      </c>
      <c r="G27" s="46"/>
      <c r="H27" s="59"/>
      <c r="I27" s="90"/>
      <c r="J27" s="61"/>
      <c r="K27" s="58"/>
      <c r="L27" s="74"/>
      <c r="M27" s="62"/>
      <c r="N27" s="105"/>
      <c r="O27" s="98"/>
      <c r="P27" s="71"/>
      <c r="Q27" s="80"/>
      <c r="R27" s="48"/>
    </row>
    <row r="28" spans="2:18" hidden="1" x14ac:dyDescent="0.3">
      <c r="B28" s="47" t="s">
        <v>689</v>
      </c>
      <c r="C28" s="47"/>
      <c r="D28" s="55" t="s">
        <v>465</v>
      </c>
      <c r="E28" s="56"/>
      <c r="F28" s="53">
        <v>1</v>
      </c>
      <c r="G28" s="46"/>
      <c r="H28" s="59"/>
      <c r="I28" s="90"/>
      <c r="J28" s="61"/>
      <c r="K28" s="58"/>
      <c r="L28" s="74"/>
      <c r="M28" s="62"/>
      <c r="N28" s="105"/>
      <c r="O28" s="98"/>
      <c r="P28" s="71"/>
      <c r="Q28" s="80"/>
      <c r="R28" s="48"/>
    </row>
    <row r="29" spans="2:18" hidden="1" x14ac:dyDescent="0.3">
      <c r="B29" s="53" t="s">
        <v>143</v>
      </c>
      <c r="C29" s="53"/>
      <c r="D29" s="53"/>
      <c r="E29" s="53"/>
      <c r="F29" s="53">
        <v>1</v>
      </c>
      <c r="G29" s="46" t="s">
        <v>465</v>
      </c>
      <c r="H29" s="59"/>
      <c r="I29" s="90"/>
      <c r="J29" s="61"/>
      <c r="K29" s="58"/>
      <c r="L29" s="74"/>
      <c r="M29" s="62"/>
      <c r="N29" s="105"/>
      <c r="O29" s="98"/>
      <c r="P29" s="78"/>
      <c r="Q29" s="80"/>
      <c r="R29" s="48"/>
    </row>
    <row r="30" spans="2:18" hidden="1" x14ac:dyDescent="0.3">
      <c r="B30" s="53" t="s">
        <v>699</v>
      </c>
      <c r="C30" s="53"/>
      <c r="D30" s="53"/>
      <c r="E30" s="53"/>
      <c r="F30" s="53">
        <v>1</v>
      </c>
      <c r="G30" s="46" t="s">
        <v>465</v>
      </c>
      <c r="H30" s="59"/>
      <c r="I30" s="90"/>
      <c r="J30" s="61"/>
      <c r="K30" s="58"/>
      <c r="L30" s="74"/>
      <c r="M30" s="62"/>
      <c r="N30" s="105"/>
      <c r="O30" s="98"/>
      <c r="P30" s="78"/>
      <c r="Q30" s="80"/>
      <c r="R30" s="48"/>
    </row>
    <row r="31" spans="2:18" hidden="1" x14ac:dyDescent="0.3">
      <c r="B31" s="53" t="s">
        <v>698</v>
      </c>
      <c r="C31" s="53"/>
      <c r="D31" s="53"/>
      <c r="E31" s="53"/>
      <c r="F31" s="53">
        <v>1</v>
      </c>
      <c r="G31" s="46" t="s">
        <v>465</v>
      </c>
      <c r="H31" s="59"/>
      <c r="I31" s="90"/>
      <c r="J31" s="61"/>
      <c r="K31" s="58"/>
      <c r="L31" s="74"/>
      <c r="M31" s="62"/>
      <c r="N31" s="105"/>
      <c r="O31" s="98"/>
      <c r="P31" s="78"/>
      <c r="Q31" s="80"/>
      <c r="R31" s="48"/>
    </row>
    <row r="32" spans="2:18" hidden="1" x14ac:dyDescent="0.3">
      <c r="B32" s="46" t="s">
        <v>139</v>
      </c>
      <c r="C32" s="46"/>
      <c r="D32" s="46"/>
      <c r="E32" s="63"/>
      <c r="F32" s="64"/>
      <c r="G32" s="46">
        <v>0.5</v>
      </c>
      <c r="H32" s="59"/>
      <c r="I32" s="90"/>
      <c r="J32" s="61"/>
      <c r="K32" s="58"/>
      <c r="L32" s="74"/>
      <c r="M32" s="62"/>
      <c r="N32" s="105"/>
      <c r="O32" s="98"/>
      <c r="P32" s="71"/>
      <c r="Q32" s="80"/>
      <c r="R32" s="48">
        <v>0.5</v>
      </c>
    </row>
    <row r="33" spans="2:18" hidden="1" x14ac:dyDescent="0.3">
      <c r="B33" s="46" t="s">
        <v>141</v>
      </c>
      <c r="C33" s="46"/>
      <c r="D33" s="46"/>
      <c r="E33" s="63"/>
      <c r="F33" s="64"/>
      <c r="G33" s="46">
        <v>1</v>
      </c>
      <c r="H33" s="59"/>
      <c r="I33" s="90"/>
      <c r="J33" s="61"/>
      <c r="K33" s="58"/>
      <c r="L33" s="74"/>
      <c r="M33" s="62"/>
      <c r="N33" s="105"/>
      <c r="O33" s="98"/>
      <c r="P33" s="78"/>
      <c r="Q33" s="80"/>
      <c r="R33" s="48"/>
    </row>
    <row r="34" spans="2:18" hidden="1" x14ac:dyDescent="0.3">
      <c r="B34" s="46" t="s">
        <v>700</v>
      </c>
      <c r="C34" s="46"/>
      <c r="D34" s="46"/>
      <c r="E34" s="46"/>
      <c r="F34" s="64"/>
      <c r="G34" s="46">
        <v>1</v>
      </c>
      <c r="H34" s="59"/>
      <c r="I34" s="90"/>
      <c r="J34" s="61"/>
      <c r="K34" s="58"/>
      <c r="L34" s="74"/>
      <c r="M34" s="62"/>
      <c r="N34" s="105"/>
      <c r="O34" s="98"/>
      <c r="P34" s="78"/>
      <c r="Q34" s="80"/>
      <c r="R34" s="48"/>
    </row>
    <row r="35" spans="2:18" hidden="1" x14ac:dyDescent="0.3">
      <c r="B35" s="46" t="s">
        <v>145</v>
      </c>
      <c r="C35" s="46"/>
      <c r="D35" s="46"/>
      <c r="E35" s="46"/>
      <c r="F35" s="46"/>
      <c r="G35" s="46">
        <v>1</v>
      </c>
      <c r="H35" s="59"/>
      <c r="I35" s="90"/>
      <c r="J35" s="61"/>
      <c r="K35" s="58"/>
      <c r="L35" s="74"/>
      <c r="M35" s="62"/>
      <c r="N35" s="105"/>
      <c r="O35" s="98"/>
      <c r="P35" s="78"/>
      <c r="Q35" s="80"/>
      <c r="R35" s="48"/>
    </row>
    <row r="36" spans="2:18" hidden="1" x14ac:dyDescent="0.3">
      <c r="B36" s="46" t="s">
        <v>146</v>
      </c>
      <c r="C36" s="46"/>
      <c r="D36" s="46"/>
      <c r="E36" s="46"/>
      <c r="F36" s="46"/>
      <c r="G36" s="46">
        <v>1</v>
      </c>
      <c r="H36" s="59"/>
      <c r="I36" s="90"/>
      <c r="J36" s="61"/>
      <c r="K36" s="58"/>
      <c r="L36" s="74"/>
      <c r="M36" s="62"/>
      <c r="N36" s="105"/>
      <c r="O36" s="98"/>
      <c r="P36" s="78"/>
      <c r="Q36" s="80"/>
      <c r="R36" s="48"/>
    </row>
    <row r="37" spans="2:18" hidden="1" x14ac:dyDescent="0.3">
      <c r="B37" s="46" t="s">
        <v>364</v>
      </c>
      <c r="C37" s="46"/>
      <c r="D37" s="46"/>
      <c r="E37" s="46"/>
      <c r="F37" s="46"/>
      <c r="G37" s="46">
        <v>1</v>
      </c>
      <c r="H37" s="59"/>
      <c r="I37" s="90"/>
      <c r="J37" s="61"/>
      <c r="K37" s="58"/>
      <c r="L37" s="74"/>
      <c r="M37" s="62"/>
      <c r="N37" s="105"/>
      <c r="O37" s="98"/>
      <c r="P37" s="78"/>
      <c r="Q37" s="80"/>
      <c r="R37" s="48"/>
    </row>
    <row r="38" spans="2:18" hidden="1" x14ac:dyDescent="0.3">
      <c r="B38" s="46" t="s">
        <v>268</v>
      </c>
      <c r="C38" s="46"/>
      <c r="D38" s="46"/>
      <c r="E38" s="46"/>
      <c r="F38" s="46"/>
      <c r="G38" s="46">
        <v>1</v>
      </c>
      <c r="H38" s="59"/>
      <c r="I38" s="90"/>
      <c r="J38" s="61"/>
      <c r="K38" s="58"/>
      <c r="L38" s="74"/>
      <c r="M38" s="62"/>
      <c r="N38" s="105"/>
      <c r="O38" s="98"/>
      <c r="P38" s="78"/>
      <c r="Q38" s="80"/>
      <c r="R38" s="48"/>
    </row>
    <row r="39" spans="2:18" hidden="1" x14ac:dyDescent="0.3">
      <c r="B39" s="46" t="s">
        <v>270</v>
      </c>
      <c r="C39" s="46"/>
      <c r="D39" s="46"/>
      <c r="E39" s="46"/>
      <c r="F39" s="46"/>
      <c r="G39" s="46">
        <v>1</v>
      </c>
      <c r="H39" s="59"/>
      <c r="I39" s="90"/>
      <c r="J39" s="61"/>
      <c r="K39" s="58"/>
      <c r="L39" s="74"/>
      <c r="M39" s="62"/>
      <c r="N39" s="105"/>
      <c r="O39" s="98"/>
      <c r="P39" s="78"/>
      <c r="Q39" s="80"/>
      <c r="R39" s="48"/>
    </row>
    <row r="40" spans="2:18" hidden="1" x14ac:dyDescent="0.3">
      <c r="B40" s="46" t="s">
        <v>272</v>
      </c>
      <c r="C40" s="46"/>
      <c r="D40" s="46"/>
      <c r="E40" s="46"/>
      <c r="F40" s="46"/>
      <c r="G40" s="46">
        <v>1</v>
      </c>
      <c r="H40" s="59"/>
      <c r="I40" s="90"/>
      <c r="J40" s="61"/>
      <c r="K40" s="58"/>
      <c r="L40" s="74"/>
      <c r="M40" s="62"/>
      <c r="N40" s="105"/>
      <c r="O40" s="98"/>
      <c r="P40" s="78"/>
      <c r="Q40" s="80"/>
      <c r="R40" s="48"/>
    </row>
    <row r="41" spans="2:18" hidden="1" x14ac:dyDescent="0.3">
      <c r="B41" s="46" t="s">
        <v>274</v>
      </c>
      <c r="C41" s="46"/>
      <c r="D41" s="46"/>
      <c r="E41" s="46"/>
      <c r="F41" s="46"/>
      <c r="G41" s="46">
        <v>1</v>
      </c>
      <c r="H41" s="59"/>
      <c r="I41" s="90"/>
      <c r="J41" s="61"/>
      <c r="K41" s="58"/>
      <c r="L41" s="74"/>
      <c r="M41" s="62"/>
      <c r="N41" s="105"/>
      <c r="O41" s="98"/>
      <c r="P41" s="78"/>
      <c r="Q41" s="80"/>
      <c r="R41" s="48"/>
    </row>
    <row r="42" spans="2:18" hidden="1" x14ac:dyDescent="0.3">
      <c r="B42" s="46" t="s">
        <v>147</v>
      </c>
      <c r="C42" s="46"/>
      <c r="D42" s="46"/>
      <c r="E42" s="46"/>
      <c r="F42" s="46"/>
      <c r="G42" s="46">
        <v>1</v>
      </c>
      <c r="H42" s="59"/>
      <c r="I42" s="90"/>
      <c r="J42" s="61"/>
      <c r="K42" s="58"/>
      <c r="L42" s="74"/>
      <c r="M42" s="62"/>
      <c r="N42" s="105"/>
      <c r="O42" s="98"/>
      <c r="P42" s="78"/>
      <c r="Q42" s="80"/>
      <c r="R42" s="48"/>
    </row>
    <row r="43" spans="2:18" hidden="1" x14ac:dyDescent="0.3">
      <c r="B43" s="46" t="s">
        <v>701</v>
      </c>
      <c r="C43" s="46"/>
      <c r="D43" s="46"/>
      <c r="E43" s="46"/>
      <c r="F43" s="46"/>
      <c r="G43" s="46">
        <v>1</v>
      </c>
      <c r="H43" s="59"/>
      <c r="I43" s="90"/>
      <c r="J43" s="61"/>
      <c r="K43" s="58"/>
      <c r="L43" s="74"/>
      <c r="M43" s="62"/>
      <c r="N43" s="105"/>
      <c r="O43" s="98"/>
      <c r="P43" s="78"/>
      <c r="Q43" s="80"/>
      <c r="R43" s="48"/>
    </row>
    <row r="44" spans="2:18" hidden="1" x14ac:dyDescent="0.3">
      <c r="B44" s="46" t="s">
        <v>703</v>
      </c>
      <c r="C44" s="46"/>
      <c r="D44" s="46"/>
      <c r="E44" s="46"/>
      <c r="F44" s="46"/>
      <c r="G44" s="46">
        <v>1</v>
      </c>
      <c r="H44" s="59"/>
      <c r="I44" s="90"/>
      <c r="J44" s="61"/>
      <c r="K44" s="58"/>
      <c r="L44" s="74"/>
      <c r="M44" s="62"/>
      <c r="N44" s="105"/>
      <c r="O44" s="98"/>
      <c r="P44" s="78"/>
      <c r="Q44" s="80"/>
      <c r="R44" s="48"/>
    </row>
    <row r="45" spans="2:18" hidden="1" x14ac:dyDescent="0.3">
      <c r="B45" s="46" t="s">
        <v>702</v>
      </c>
      <c r="C45" s="46"/>
      <c r="D45" s="46"/>
      <c r="E45" s="46"/>
      <c r="F45" s="46"/>
      <c r="G45" s="46">
        <v>1</v>
      </c>
      <c r="H45" s="59"/>
      <c r="I45" s="90"/>
      <c r="J45" s="61"/>
      <c r="K45" s="58"/>
      <c r="L45" s="74"/>
      <c r="M45" s="62"/>
      <c r="N45" s="105"/>
      <c r="O45" s="98"/>
      <c r="P45" s="78"/>
      <c r="Q45" s="80"/>
      <c r="R45" s="48"/>
    </row>
    <row r="46" spans="2:18" hidden="1" x14ac:dyDescent="0.3">
      <c r="B46" s="46" t="s">
        <v>704</v>
      </c>
      <c r="C46" s="46"/>
      <c r="D46" s="46"/>
      <c r="E46" s="46"/>
      <c r="F46" s="46"/>
      <c r="G46" s="46">
        <v>1</v>
      </c>
      <c r="H46" s="59"/>
      <c r="I46" s="90"/>
      <c r="J46" s="61"/>
      <c r="K46" s="58"/>
      <c r="L46" s="74"/>
      <c r="M46" s="62"/>
      <c r="N46" s="105"/>
      <c r="O46" s="98"/>
      <c r="P46" s="78"/>
      <c r="Q46" s="80"/>
      <c r="R46" s="48"/>
    </row>
    <row r="47" spans="2:18" hidden="1" x14ac:dyDescent="0.3">
      <c r="B47" s="46" t="s">
        <v>149</v>
      </c>
      <c r="C47" s="46"/>
      <c r="D47" s="46"/>
      <c r="E47" s="46"/>
      <c r="F47" s="46"/>
      <c r="G47" s="46">
        <v>1</v>
      </c>
      <c r="H47" s="59"/>
      <c r="I47" s="90"/>
      <c r="J47" s="61"/>
      <c r="K47" s="58"/>
      <c r="L47" s="74"/>
      <c r="M47" s="62"/>
      <c r="N47" s="105"/>
      <c r="O47" s="98"/>
      <c r="P47" s="78"/>
      <c r="Q47" s="80"/>
      <c r="R47" s="48"/>
    </row>
    <row r="48" spans="2:18" hidden="1" x14ac:dyDescent="0.3">
      <c r="B48" s="46" t="s">
        <v>150</v>
      </c>
      <c r="C48" s="46"/>
      <c r="D48" s="46"/>
      <c r="E48" s="46"/>
      <c r="F48" s="46"/>
      <c r="G48" s="46">
        <v>1</v>
      </c>
      <c r="H48" s="59"/>
      <c r="I48" s="90"/>
      <c r="J48" s="61"/>
      <c r="K48" s="58"/>
      <c r="L48" s="74"/>
      <c r="M48" s="62"/>
      <c r="N48" s="105"/>
      <c r="O48" s="98"/>
      <c r="P48" s="78"/>
      <c r="Q48" s="80"/>
      <c r="R48" s="48"/>
    </row>
    <row r="49" spans="2:18" hidden="1" x14ac:dyDescent="0.3">
      <c r="B49" s="59" t="s">
        <v>706</v>
      </c>
      <c r="C49" s="59"/>
      <c r="D49" s="59"/>
      <c r="E49" s="59"/>
      <c r="F49" s="59"/>
      <c r="G49" s="59" t="s">
        <v>465</v>
      </c>
      <c r="H49" s="59">
        <v>1</v>
      </c>
      <c r="I49" s="90"/>
      <c r="J49" s="61"/>
      <c r="K49" s="58"/>
      <c r="L49" s="74"/>
      <c r="M49" s="62"/>
      <c r="N49" s="105"/>
      <c r="O49" s="98"/>
      <c r="P49" s="78"/>
      <c r="Q49" s="80"/>
      <c r="R49" s="48"/>
    </row>
    <row r="50" spans="2:18" hidden="1" x14ac:dyDescent="0.3">
      <c r="B50" s="59" t="s">
        <v>152</v>
      </c>
      <c r="C50" s="59"/>
      <c r="D50" s="59"/>
      <c r="E50" s="59"/>
      <c r="F50" s="59"/>
      <c r="G50" s="59"/>
      <c r="H50" s="59">
        <v>1</v>
      </c>
      <c r="I50" s="90"/>
      <c r="J50" s="61"/>
      <c r="K50" s="58"/>
      <c r="L50" s="74"/>
      <c r="M50" s="62"/>
      <c r="N50" s="105"/>
      <c r="O50" s="98"/>
      <c r="P50" s="78"/>
      <c r="Q50" s="80"/>
      <c r="R50" s="48"/>
    </row>
    <row r="51" spans="2:18" x14ac:dyDescent="0.3">
      <c r="B51" s="90" t="s">
        <v>1448</v>
      </c>
      <c r="C51" s="90"/>
      <c r="D51" s="90"/>
      <c r="E51" s="90"/>
      <c r="F51" s="90"/>
      <c r="G51" s="90"/>
      <c r="H51" s="90"/>
      <c r="I51" s="90">
        <v>1</v>
      </c>
      <c r="J51" s="61"/>
      <c r="K51" s="58"/>
      <c r="L51" s="74"/>
      <c r="M51" s="62"/>
      <c r="N51" s="105"/>
      <c r="O51" s="98"/>
      <c r="P51" s="78"/>
      <c r="Q51" s="80"/>
      <c r="R51" s="48"/>
    </row>
    <row r="52" spans="2:18" x14ac:dyDescent="0.3">
      <c r="B52" s="90" t="s">
        <v>161</v>
      </c>
      <c r="C52" s="90"/>
      <c r="D52" s="90"/>
      <c r="E52" s="90"/>
      <c r="F52" s="90"/>
      <c r="G52" s="90"/>
      <c r="H52" s="90"/>
      <c r="I52" s="90">
        <v>1</v>
      </c>
      <c r="J52" s="61"/>
      <c r="K52" s="58"/>
      <c r="L52" s="74"/>
      <c r="M52" s="62"/>
      <c r="N52" s="105"/>
      <c r="O52" s="98"/>
      <c r="P52" s="78"/>
      <c r="Q52" s="80"/>
      <c r="R52" s="48"/>
    </row>
    <row r="53" spans="2:18" x14ac:dyDescent="0.3">
      <c r="B53" s="61" t="s">
        <v>1453</v>
      </c>
      <c r="C53" s="61"/>
      <c r="D53" s="61"/>
      <c r="E53" s="61"/>
      <c r="F53" s="61"/>
      <c r="G53" s="61"/>
      <c r="H53" s="61"/>
      <c r="I53" s="61" t="s">
        <v>465</v>
      </c>
      <c r="J53" s="61">
        <v>1</v>
      </c>
      <c r="K53" s="58"/>
      <c r="L53" s="74"/>
      <c r="M53" s="62"/>
      <c r="N53" s="105"/>
      <c r="O53" s="98"/>
      <c r="P53" s="78"/>
      <c r="Q53" s="80"/>
      <c r="R53" s="48"/>
    </row>
    <row r="54" spans="2:18" x14ac:dyDescent="0.3">
      <c r="B54" s="61" t="s">
        <v>160</v>
      </c>
      <c r="C54" s="61"/>
      <c r="D54" s="61"/>
      <c r="E54" s="61"/>
      <c r="F54" s="61"/>
      <c r="G54" s="61"/>
      <c r="H54" s="61"/>
      <c r="I54" s="61" t="s">
        <v>465</v>
      </c>
      <c r="J54" s="61">
        <v>1</v>
      </c>
      <c r="K54" s="58"/>
      <c r="L54" s="74"/>
      <c r="M54" s="62"/>
      <c r="N54" s="105"/>
      <c r="O54" s="98"/>
      <c r="P54" s="78"/>
      <c r="Q54" s="80"/>
      <c r="R54" s="48"/>
    </row>
    <row r="55" spans="2:18" x14ac:dyDescent="0.3">
      <c r="B55" s="61" t="s">
        <v>156</v>
      </c>
      <c r="C55" s="61"/>
      <c r="D55" s="61"/>
      <c r="E55" s="61"/>
      <c r="F55" s="61"/>
      <c r="G55" s="61"/>
      <c r="H55" s="61"/>
      <c r="I55" s="61"/>
      <c r="J55" s="61">
        <v>1</v>
      </c>
      <c r="K55" s="58"/>
      <c r="L55" s="74"/>
      <c r="M55" s="62"/>
      <c r="N55" s="105"/>
      <c r="O55" s="98"/>
      <c r="P55" s="78"/>
      <c r="Q55" s="80"/>
      <c r="R55" s="48"/>
    </row>
    <row r="56" spans="2:18" x14ac:dyDescent="0.3">
      <c r="B56" s="61" t="s">
        <v>157</v>
      </c>
      <c r="C56" s="61"/>
      <c r="D56" s="61"/>
      <c r="E56" s="61"/>
      <c r="F56" s="61"/>
      <c r="G56" s="61"/>
      <c r="H56" s="61"/>
      <c r="I56" s="61"/>
      <c r="J56" s="61">
        <v>1</v>
      </c>
      <c r="K56" s="58"/>
      <c r="L56" s="74"/>
      <c r="M56" s="62"/>
      <c r="N56" s="105"/>
      <c r="O56" s="98"/>
      <c r="P56" s="78"/>
      <c r="Q56" s="80"/>
      <c r="R56" s="48"/>
    </row>
    <row r="57" spans="2:18" x14ac:dyDescent="0.3">
      <c r="B57" s="61" t="s">
        <v>158</v>
      </c>
      <c r="C57" s="61"/>
      <c r="D57" s="61"/>
      <c r="E57" s="61"/>
      <c r="F57" s="61"/>
      <c r="G57" s="61"/>
      <c r="H57" s="61"/>
      <c r="I57" s="61"/>
      <c r="J57" s="61">
        <v>0.8</v>
      </c>
      <c r="K57" s="58"/>
      <c r="L57" s="74"/>
      <c r="M57" s="62">
        <v>0.2</v>
      </c>
      <c r="N57" s="105"/>
      <c r="O57" s="98"/>
      <c r="P57" s="78"/>
      <c r="Q57" s="80"/>
      <c r="R57" s="48"/>
    </row>
    <row r="58" spans="2:18" x14ac:dyDescent="0.3">
      <c r="B58" s="61" t="s">
        <v>172</v>
      </c>
      <c r="C58" s="61"/>
      <c r="D58" s="61"/>
      <c r="E58" s="61"/>
      <c r="F58" s="61"/>
      <c r="G58" s="61"/>
      <c r="H58" s="61"/>
      <c r="I58" s="61"/>
      <c r="J58" s="61">
        <v>1</v>
      </c>
      <c r="K58" s="58"/>
      <c r="L58" s="74"/>
      <c r="M58" s="62"/>
      <c r="N58" s="105"/>
      <c r="O58" s="98"/>
      <c r="P58" s="78"/>
      <c r="Q58" s="80"/>
      <c r="R58" s="48"/>
    </row>
    <row r="59" spans="2:18" x14ac:dyDescent="0.3">
      <c r="B59" s="61" t="s">
        <v>159</v>
      </c>
      <c r="C59" s="61"/>
      <c r="D59" s="61"/>
      <c r="E59" s="61"/>
      <c r="F59" s="61"/>
      <c r="G59" s="61"/>
      <c r="H59" s="61"/>
      <c r="I59" s="61"/>
      <c r="J59" s="61">
        <v>1</v>
      </c>
      <c r="K59" s="58"/>
      <c r="L59" s="74"/>
      <c r="M59" s="62"/>
      <c r="N59" s="105"/>
      <c r="O59" s="98"/>
      <c r="P59" s="78"/>
      <c r="Q59" s="80"/>
      <c r="R59" s="48"/>
    </row>
    <row r="60" spans="2:18" x14ac:dyDescent="0.3">
      <c r="B60" s="61" t="s">
        <v>709</v>
      </c>
      <c r="C60" s="61"/>
      <c r="D60" s="61"/>
      <c r="E60" s="61"/>
      <c r="F60" s="61"/>
      <c r="G60" s="61"/>
      <c r="H60" s="61"/>
      <c r="I60" s="61"/>
      <c r="J60" s="61">
        <v>1</v>
      </c>
      <c r="K60" s="58"/>
      <c r="L60" s="74"/>
      <c r="M60" s="62"/>
      <c r="N60" s="105"/>
      <c r="O60" s="98"/>
      <c r="P60" s="78"/>
      <c r="Q60" s="80"/>
      <c r="R60" s="48"/>
    </row>
    <row r="61" spans="2:18" x14ac:dyDescent="0.3">
      <c r="B61" s="61" t="s">
        <v>708</v>
      </c>
      <c r="C61" s="61"/>
      <c r="D61" s="61"/>
      <c r="E61" s="61"/>
      <c r="F61" s="61"/>
      <c r="G61" s="61"/>
      <c r="H61" s="61"/>
      <c r="I61" s="61"/>
      <c r="J61" s="61">
        <v>1</v>
      </c>
      <c r="K61" s="58"/>
      <c r="L61" s="74"/>
      <c r="M61" s="62"/>
      <c r="N61" s="105"/>
      <c r="O61" s="98"/>
      <c r="P61" s="78"/>
      <c r="Q61" s="80"/>
      <c r="R61" s="48"/>
    </row>
    <row r="62" spans="2:18" x14ac:dyDescent="0.3">
      <c r="B62" s="61" t="s">
        <v>710</v>
      </c>
      <c r="C62" s="61"/>
      <c r="D62" s="61"/>
      <c r="E62" s="61"/>
      <c r="F62" s="61"/>
      <c r="G62" s="61"/>
      <c r="H62" s="61"/>
      <c r="I62" s="61"/>
      <c r="J62" s="61">
        <v>1</v>
      </c>
      <c r="K62" s="58"/>
      <c r="L62" s="74"/>
      <c r="M62" s="62"/>
      <c r="N62" s="105"/>
      <c r="O62" s="98"/>
      <c r="P62" s="78"/>
      <c r="Q62" s="80"/>
      <c r="R62" s="48"/>
    </row>
    <row r="63" spans="2:18" x14ac:dyDescent="0.3">
      <c r="B63" s="61" t="s">
        <v>707</v>
      </c>
      <c r="C63" s="61"/>
      <c r="D63" s="61"/>
      <c r="E63" s="61"/>
      <c r="F63" s="61"/>
      <c r="G63" s="61"/>
      <c r="H63" s="61"/>
      <c r="I63" s="61"/>
      <c r="J63" s="61">
        <v>1</v>
      </c>
      <c r="K63" s="58"/>
      <c r="L63" s="74"/>
      <c r="M63" s="62"/>
      <c r="N63" s="105"/>
      <c r="O63" s="98"/>
      <c r="P63" s="78"/>
      <c r="Q63" s="80"/>
      <c r="R63" s="48"/>
    </row>
    <row r="64" spans="2:18" x14ac:dyDescent="0.3">
      <c r="B64" s="61" t="s">
        <v>1131</v>
      </c>
      <c r="C64" s="61"/>
      <c r="D64" s="61"/>
      <c r="E64" s="61"/>
      <c r="F64" s="61"/>
      <c r="G64" s="61"/>
      <c r="H64" s="61"/>
      <c r="I64" s="61"/>
      <c r="J64" s="61">
        <v>1</v>
      </c>
      <c r="K64" s="58"/>
      <c r="L64" s="74"/>
      <c r="M64" s="62"/>
      <c r="N64" s="105"/>
      <c r="O64" s="98"/>
      <c r="P64" s="78"/>
      <c r="Q64" s="80"/>
      <c r="R64" s="48"/>
    </row>
    <row r="65" spans="2:18" x14ac:dyDescent="0.3">
      <c r="B65" s="58" t="s">
        <v>1333</v>
      </c>
      <c r="C65" s="58"/>
      <c r="D65" s="68"/>
      <c r="E65" s="69"/>
      <c r="F65" s="70"/>
      <c r="G65" s="58"/>
      <c r="H65" s="58"/>
      <c r="I65" s="58"/>
      <c r="J65" s="58"/>
      <c r="K65" s="58">
        <v>1</v>
      </c>
      <c r="L65" s="74"/>
      <c r="M65" s="62"/>
      <c r="N65" s="105"/>
      <c r="O65" s="98"/>
      <c r="P65" s="78"/>
      <c r="Q65" s="80"/>
      <c r="R65" s="48"/>
    </row>
    <row r="66" spans="2:18" x14ac:dyDescent="0.3">
      <c r="B66" s="58" t="s">
        <v>1334</v>
      </c>
      <c r="C66" s="58"/>
      <c r="D66" s="68"/>
      <c r="E66" s="69"/>
      <c r="F66" s="70"/>
      <c r="G66" s="58"/>
      <c r="H66" s="58"/>
      <c r="I66" s="58"/>
      <c r="J66" s="58"/>
      <c r="K66" s="58">
        <v>1</v>
      </c>
      <c r="L66" s="74"/>
      <c r="M66" s="62"/>
      <c r="N66" s="105"/>
      <c r="O66" s="98"/>
      <c r="P66" s="78"/>
      <c r="Q66" s="80"/>
      <c r="R66" s="48"/>
    </row>
    <row r="67" spans="2:18" x14ac:dyDescent="0.3">
      <c r="B67" s="75" t="s">
        <v>144</v>
      </c>
      <c r="C67" s="75"/>
      <c r="D67" s="75"/>
      <c r="E67" s="75"/>
      <c r="F67" s="75"/>
      <c r="G67" s="75"/>
      <c r="H67" s="75"/>
      <c r="I67" s="75"/>
      <c r="J67" s="75"/>
      <c r="K67" s="75" t="s">
        <v>465</v>
      </c>
      <c r="L67" s="74">
        <v>0.5</v>
      </c>
      <c r="M67" s="62"/>
      <c r="N67" s="105"/>
      <c r="O67" s="98"/>
      <c r="P67" s="79">
        <v>0.5</v>
      </c>
      <c r="Q67" s="80"/>
      <c r="R67" s="48"/>
    </row>
    <row r="68" spans="2:18" x14ac:dyDescent="0.3">
      <c r="B68" s="62" t="s">
        <v>153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>
        <v>1</v>
      </c>
      <c r="N68" s="105"/>
      <c r="O68" s="98"/>
      <c r="P68" s="78"/>
      <c r="Q68" s="80"/>
      <c r="R68" s="48"/>
    </row>
    <row r="69" spans="2:18" x14ac:dyDescent="0.3">
      <c r="B69" s="62" t="s">
        <v>276</v>
      </c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>
        <v>1</v>
      </c>
      <c r="N69" s="105"/>
      <c r="O69" s="98"/>
      <c r="P69" s="78"/>
      <c r="Q69" s="80"/>
      <c r="R69" s="48"/>
    </row>
    <row r="70" spans="2:18" x14ac:dyDescent="0.3">
      <c r="B70" s="62" t="s">
        <v>705</v>
      </c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>
        <v>1</v>
      </c>
      <c r="N70" s="105"/>
      <c r="O70" s="98"/>
      <c r="P70" s="78"/>
      <c r="Q70" s="80"/>
      <c r="R70" s="48"/>
    </row>
    <row r="71" spans="2:18" x14ac:dyDescent="0.3">
      <c r="B71" s="105" t="s">
        <v>154</v>
      </c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>
        <v>1</v>
      </c>
      <c r="O71" s="98"/>
      <c r="P71" s="78"/>
      <c r="Q71" s="80"/>
      <c r="R71" s="48"/>
    </row>
    <row r="72" spans="2:18" x14ac:dyDescent="0.3">
      <c r="B72" s="105" t="s">
        <v>155</v>
      </c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>
        <v>1</v>
      </c>
      <c r="O72" s="98"/>
      <c r="P72" s="78"/>
      <c r="Q72" s="80"/>
      <c r="R72" s="48"/>
    </row>
    <row r="73" spans="2:18" x14ac:dyDescent="0.3">
      <c r="B73" s="105" t="s">
        <v>1332</v>
      </c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>
        <v>1</v>
      </c>
      <c r="O73" s="98"/>
      <c r="P73" s="78"/>
      <c r="Q73" s="80"/>
      <c r="R73" s="48"/>
    </row>
    <row r="74" spans="2:18" x14ac:dyDescent="0.3">
      <c r="B74" s="98" t="s">
        <v>140</v>
      </c>
      <c r="C74" s="98"/>
      <c r="D74" s="98"/>
      <c r="E74" s="100"/>
      <c r="F74" s="101"/>
      <c r="G74" s="98"/>
      <c r="H74" s="98"/>
      <c r="I74" s="98"/>
      <c r="J74" s="98"/>
      <c r="K74" s="98"/>
      <c r="L74" s="98"/>
      <c r="M74" s="98"/>
      <c r="N74" s="98"/>
      <c r="O74" s="98">
        <v>1</v>
      </c>
      <c r="P74" s="71"/>
      <c r="Q74" s="80"/>
      <c r="R74" s="48"/>
    </row>
    <row r="75" spans="2:18" x14ac:dyDescent="0.3">
      <c r="B75" s="98" t="s">
        <v>148</v>
      </c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>
        <v>1</v>
      </c>
      <c r="P75" s="79"/>
      <c r="Q75" s="80"/>
      <c r="R75" s="48"/>
    </row>
    <row r="76" spans="2:18" x14ac:dyDescent="0.3">
      <c r="B76" s="71" t="s">
        <v>1194</v>
      </c>
      <c r="C76" s="71"/>
      <c r="D76" s="71"/>
      <c r="E76" s="72"/>
      <c r="F76" s="73"/>
      <c r="G76" s="71"/>
      <c r="H76" s="71"/>
      <c r="I76" s="71"/>
      <c r="J76" s="71"/>
      <c r="K76" s="71"/>
      <c r="L76" s="71"/>
      <c r="M76" s="71"/>
      <c r="N76" s="71"/>
      <c r="O76" s="71"/>
      <c r="P76" s="71">
        <v>1</v>
      </c>
      <c r="Q76" s="80"/>
      <c r="R76" s="48"/>
    </row>
    <row r="77" spans="2:18" x14ac:dyDescent="0.3">
      <c r="B77" s="71" t="s">
        <v>234</v>
      </c>
      <c r="C77" s="71"/>
      <c r="D77" s="71"/>
      <c r="E77" s="72"/>
      <c r="F77" s="73"/>
      <c r="G77" s="71"/>
      <c r="H77" s="71"/>
      <c r="I77" s="71"/>
      <c r="J77" s="71"/>
      <c r="K77" s="71"/>
      <c r="L77" s="71"/>
      <c r="M77" s="71"/>
      <c r="N77" s="71"/>
      <c r="O77" s="71"/>
      <c r="P77" s="71">
        <v>1</v>
      </c>
      <c r="Q77" s="80"/>
      <c r="R77" s="48"/>
    </row>
    <row r="78" spans="2:18" x14ac:dyDescent="0.3">
      <c r="B78" s="71" t="s">
        <v>241</v>
      </c>
      <c r="C78" s="71"/>
      <c r="D78" s="71"/>
      <c r="E78" s="72"/>
      <c r="F78" s="73"/>
      <c r="G78" s="71"/>
      <c r="H78" s="71"/>
      <c r="I78" s="71"/>
      <c r="J78" s="71"/>
      <c r="K78" s="71"/>
      <c r="L78" s="71"/>
      <c r="M78" s="71"/>
      <c r="N78" s="71"/>
      <c r="O78" s="71"/>
      <c r="P78" s="71">
        <v>1</v>
      </c>
      <c r="Q78" s="80"/>
      <c r="R78" s="48"/>
    </row>
    <row r="79" spans="2:18" x14ac:dyDescent="0.3">
      <c r="B79" s="80" t="s">
        <v>279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1"/>
      <c r="Q79" s="80">
        <v>1</v>
      </c>
      <c r="R79" s="48"/>
    </row>
    <row r="80" spans="2:18" x14ac:dyDescent="0.3">
      <c r="B80" s="80" t="s">
        <v>169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1"/>
      <c r="Q80" s="80">
        <v>1</v>
      </c>
      <c r="R80" s="48"/>
    </row>
    <row r="81" spans="2:18" x14ac:dyDescent="0.3">
      <c r="B81" s="48" t="s">
        <v>1138</v>
      </c>
      <c r="C81" s="48"/>
      <c r="D81" s="65"/>
      <c r="E81" s="66"/>
      <c r="F81" s="67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>
        <v>1</v>
      </c>
    </row>
    <row r="82" spans="2:18" x14ac:dyDescent="0.3">
      <c r="B82" s="48" t="s">
        <v>1136</v>
      </c>
      <c r="C82" s="48"/>
      <c r="D82" s="65"/>
      <c r="E82" s="66"/>
      <c r="F82" s="67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>
        <v>1</v>
      </c>
    </row>
    <row r="93" spans="2:18" x14ac:dyDescent="0.3">
      <c r="B93" s="5"/>
      <c r="C93" s="5"/>
      <c r="D93" s="5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B2:V204"/>
  <sheetViews>
    <sheetView workbookViewId="0">
      <selection activeCell="C13" sqref="C13"/>
    </sheetView>
  </sheetViews>
  <sheetFormatPr baseColWidth="10" defaultColWidth="8.88671875" defaultRowHeight="14.4" x14ac:dyDescent="0.3"/>
  <cols>
    <col min="3" max="3" width="14.6640625" bestFit="1" customWidth="1"/>
    <col min="6" max="6" width="12.109375" customWidth="1"/>
    <col min="9" max="9" width="15" customWidth="1"/>
    <col min="13" max="13" width="12.6640625" customWidth="1"/>
    <col min="14" max="14" width="11.33203125" customWidth="1"/>
    <col min="17" max="17" width="11.77734375" customWidth="1"/>
    <col min="21" max="21" width="17.109375" customWidth="1"/>
    <col min="22" max="22" width="13.5546875" customWidth="1"/>
  </cols>
  <sheetData>
    <row r="2" spans="2:22" x14ac:dyDescent="0.3">
      <c r="D2" s="84" t="s">
        <v>344</v>
      </c>
      <c r="E2" s="58" t="s">
        <v>343</v>
      </c>
      <c r="F2" s="84" t="s">
        <v>1258</v>
      </c>
      <c r="G2" s="87" t="s">
        <v>729</v>
      </c>
      <c r="H2" s="89" t="s">
        <v>345</v>
      </c>
      <c r="I2" s="90" t="s">
        <v>1257</v>
      </c>
      <c r="J2" s="91" t="s">
        <v>289</v>
      </c>
      <c r="K2" s="93" t="s">
        <v>734</v>
      </c>
      <c r="L2" s="92" t="s">
        <v>735</v>
      </c>
      <c r="M2" s="62" t="s">
        <v>736</v>
      </c>
      <c r="N2" s="83" t="s">
        <v>737</v>
      </c>
      <c r="O2" s="48" t="s">
        <v>1065</v>
      </c>
      <c r="P2" s="92" t="s">
        <v>738</v>
      </c>
      <c r="Q2" s="95" t="s">
        <v>739</v>
      </c>
      <c r="R2" s="97" t="s">
        <v>347</v>
      </c>
      <c r="S2" s="5" t="s">
        <v>346</v>
      </c>
      <c r="T2" s="71" t="s">
        <v>731</v>
      </c>
      <c r="U2" s="104" t="s">
        <v>1326</v>
      </c>
      <c r="V2" s="47" t="s">
        <v>1327</v>
      </c>
    </row>
    <row r="3" spans="2:22" x14ac:dyDescent="0.3">
      <c r="C3" s="3" t="s">
        <v>1183</v>
      </c>
      <c r="D3" s="84">
        <v>0.5</v>
      </c>
      <c r="E3" s="58">
        <v>0.5</v>
      </c>
      <c r="F3" s="84">
        <v>0.25</v>
      </c>
      <c r="G3" s="87">
        <v>0.2</v>
      </c>
      <c r="H3" s="89">
        <v>0.7</v>
      </c>
      <c r="I3" s="90">
        <v>0.25</v>
      </c>
      <c r="J3" s="91">
        <v>0.5</v>
      </c>
      <c r="K3" s="93" t="s">
        <v>110</v>
      </c>
      <c r="L3" s="92" t="s">
        <v>110</v>
      </c>
      <c r="M3" s="62">
        <v>0.7</v>
      </c>
      <c r="N3" s="83">
        <v>0.5</v>
      </c>
      <c r="O3" s="48">
        <v>7.5</v>
      </c>
      <c r="P3" s="92">
        <v>2</v>
      </c>
      <c r="Q3" s="95">
        <v>2</v>
      </c>
      <c r="R3" s="98" t="s">
        <v>110</v>
      </c>
      <c r="S3" s="5" t="s">
        <v>110</v>
      </c>
      <c r="T3" s="71">
        <v>0.5</v>
      </c>
      <c r="U3" s="104">
        <v>0.25</v>
      </c>
      <c r="V3" s="47">
        <v>0.5</v>
      </c>
    </row>
    <row r="4" spans="2:22" x14ac:dyDescent="0.3">
      <c r="C4" s="3" t="s">
        <v>915</v>
      </c>
      <c r="D4" s="84"/>
      <c r="E4" s="58"/>
      <c r="F4" s="84"/>
      <c r="G4" s="87"/>
      <c r="H4" s="89"/>
      <c r="I4" s="90"/>
      <c r="J4" s="91">
        <v>1</v>
      </c>
      <c r="K4" s="93"/>
      <c r="L4" s="92"/>
      <c r="M4" s="62">
        <v>1</v>
      </c>
      <c r="N4" s="83">
        <v>1</v>
      </c>
      <c r="O4" s="48"/>
      <c r="P4" s="92"/>
      <c r="Q4" s="95"/>
      <c r="R4" s="98"/>
      <c r="S4" s="5"/>
      <c r="T4" s="71"/>
      <c r="U4" s="104"/>
      <c r="V4" s="47"/>
    </row>
    <row r="5" spans="2:22" x14ac:dyDescent="0.3">
      <c r="D5" s="84"/>
      <c r="E5" s="58"/>
      <c r="F5" s="84"/>
      <c r="G5" s="87"/>
      <c r="H5" s="89"/>
      <c r="I5" s="90"/>
      <c r="J5" s="91"/>
      <c r="K5" s="93"/>
      <c r="L5" s="92"/>
      <c r="M5" s="62"/>
      <c r="N5" s="83"/>
      <c r="O5" s="48"/>
      <c r="P5" s="92"/>
      <c r="Q5" s="95"/>
      <c r="R5" s="98"/>
      <c r="S5" s="5"/>
      <c r="T5" s="71"/>
      <c r="U5" s="104"/>
      <c r="V5" s="47"/>
    </row>
    <row r="6" spans="2:22" x14ac:dyDescent="0.3">
      <c r="D6" s="84" t="s">
        <v>344</v>
      </c>
      <c r="E6" s="58" t="s">
        <v>343</v>
      </c>
      <c r="F6" s="84" t="s">
        <v>1258</v>
      </c>
      <c r="G6" s="87" t="s">
        <v>729</v>
      </c>
      <c r="H6" s="89" t="s">
        <v>345</v>
      </c>
      <c r="I6" s="90" t="s">
        <v>1257</v>
      </c>
      <c r="J6" s="91" t="s">
        <v>289</v>
      </c>
      <c r="K6" s="93" t="s">
        <v>734</v>
      </c>
      <c r="L6" s="92" t="s">
        <v>735</v>
      </c>
      <c r="M6" s="62" t="s">
        <v>736</v>
      </c>
      <c r="N6" s="83" t="s">
        <v>737</v>
      </c>
      <c r="O6" s="48" t="s">
        <v>1065</v>
      </c>
      <c r="P6" s="92" t="s">
        <v>738</v>
      </c>
      <c r="Q6" s="95" t="s">
        <v>739</v>
      </c>
      <c r="R6" s="97" t="s">
        <v>347</v>
      </c>
      <c r="S6" s="5" t="s">
        <v>346</v>
      </c>
      <c r="T6" s="71" t="s">
        <v>731</v>
      </c>
      <c r="U6" s="104" t="s">
        <v>1326</v>
      </c>
      <c r="V6" s="47" t="s">
        <v>1327</v>
      </c>
    </row>
    <row r="7" spans="2:22" x14ac:dyDescent="0.3">
      <c r="B7" t="s">
        <v>1256</v>
      </c>
      <c r="C7" s="85" t="s">
        <v>717</v>
      </c>
      <c r="D7" s="84">
        <v>1</v>
      </c>
      <c r="E7" s="58"/>
      <c r="F7" s="84"/>
      <c r="G7" s="87"/>
      <c r="H7" s="89"/>
      <c r="I7" s="90"/>
      <c r="J7" s="91"/>
      <c r="K7" s="93"/>
      <c r="L7" s="92"/>
      <c r="M7" s="62"/>
      <c r="N7" s="83"/>
      <c r="O7" s="48"/>
      <c r="P7" s="92"/>
      <c r="Q7" s="95"/>
      <c r="R7" s="98"/>
      <c r="S7" s="5"/>
      <c r="T7" s="71"/>
      <c r="U7" s="104"/>
      <c r="V7" s="47"/>
    </row>
    <row r="8" spans="2:22" x14ac:dyDescent="0.3">
      <c r="B8" t="s">
        <v>1256</v>
      </c>
      <c r="C8" s="85" t="s">
        <v>714</v>
      </c>
      <c r="D8" s="84">
        <v>1</v>
      </c>
      <c r="E8" s="58"/>
      <c r="F8" s="84"/>
      <c r="G8" s="87"/>
      <c r="H8" s="89"/>
      <c r="I8" s="90"/>
      <c r="J8" s="91"/>
      <c r="K8" s="93"/>
      <c r="L8" s="92"/>
      <c r="M8" s="62"/>
      <c r="N8" s="83"/>
      <c r="O8" s="48"/>
      <c r="P8" s="92"/>
      <c r="Q8" s="95"/>
      <c r="R8" s="98"/>
      <c r="S8" s="5"/>
      <c r="T8" s="71"/>
      <c r="U8" s="104"/>
      <c r="V8" s="47"/>
    </row>
    <row r="9" spans="2:22" x14ac:dyDescent="0.3">
      <c r="B9" t="s">
        <v>1256</v>
      </c>
      <c r="C9" s="85" t="s">
        <v>1337</v>
      </c>
      <c r="D9" s="84">
        <v>1</v>
      </c>
      <c r="E9" s="58"/>
      <c r="F9" s="84"/>
      <c r="G9" s="87"/>
      <c r="H9" s="89"/>
      <c r="I9" s="90"/>
      <c r="J9" s="91"/>
      <c r="K9" s="93"/>
      <c r="L9" s="92"/>
      <c r="M9" s="62"/>
      <c r="N9" s="83"/>
      <c r="O9" s="48"/>
      <c r="P9" s="92"/>
      <c r="Q9" s="95"/>
      <c r="R9" s="98"/>
      <c r="S9" s="5"/>
      <c r="T9" s="71"/>
      <c r="U9" s="104"/>
      <c r="V9" s="47"/>
    </row>
    <row r="10" spans="2:22" x14ac:dyDescent="0.3">
      <c r="B10" t="s">
        <v>1256</v>
      </c>
      <c r="C10" s="85" t="s">
        <v>1335</v>
      </c>
      <c r="D10" s="84">
        <v>1</v>
      </c>
      <c r="E10" s="58"/>
      <c r="F10" s="84"/>
      <c r="G10" s="87"/>
      <c r="H10" s="89"/>
      <c r="I10" s="90"/>
      <c r="J10" s="91"/>
      <c r="K10" s="93"/>
      <c r="L10" s="92"/>
      <c r="M10" s="62"/>
      <c r="N10" s="83"/>
      <c r="O10" s="48"/>
      <c r="P10" s="92"/>
      <c r="Q10" s="95"/>
      <c r="R10" s="98"/>
      <c r="S10" s="5"/>
      <c r="T10" s="71"/>
      <c r="U10" s="104"/>
      <c r="V10" s="47"/>
    </row>
    <row r="11" spans="2:22" x14ac:dyDescent="0.3">
      <c r="B11" t="s">
        <v>1256</v>
      </c>
      <c r="C11" s="85" t="s">
        <v>1346</v>
      </c>
      <c r="D11" s="84">
        <v>1</v>
      </c>
      <c r="E11" s="58"/>
      <c r="F11" s="84"/>
      <c r="G11" s="87"/>
      <c r="H11" s="89"/>
      <c r="I11" s="90"/>
      <c r="J11" s="91"/>
      <c r="K11" s="93"/>
      <c r="L11" s="92"/>
      <c r="M11" s="62"/>
      <c r="N11" s="83"/>
      <c r="O11" s="48"/>
      <c r="P11" s="92"/>
      <c r="Q11" s="95"/>
      <c r="R11" s="98"/>
      <c r="S11" s="5"/>
      <c r="T11" s="71"/>
      <c r="U11" s="104"/>
      <c r="V11" s="47"/>
    </row>
    <row r="12" spans="2:22" x14ac:dyDescent="0.3">
      <c r="B12" t="s">
        <v>1256</v>
      </c>
      <c r="C12" s="85" t="s">
        <v>1344</v>
      </c>
      <c r="D12" s="84">
        <v>1</v>
      </c>
      <c r="E12" s="58"/>
      <c r="F12" s="84"/>
      <c r="G12" s="87"/>
      <c r="H12" s="89"/>
      <c r="I12" s="90"/>
      <c r="J12" s="91"/>
      <c r="K12" s="93"/>
      <c r="L12" s="92"/>
      <c r="M12" s="62"/>
      <c r="N12" s="83"/>
      <c r="O12" s="48"/>
      <c r="P12" s="92"/>
      <c r="Q12" s="95"/>
      <c r="R12" s="98"/>
      <c r="S12" s="5"/>
      <c r="T12" s="71"/>
      <c r="U12" s="104"/>
      <c r="V12" s="47"/>
    </row>
    <row r="13" spans="2:22" x14ac:dyDescent="0.3">
      <c r="B13" t="s">
        <v>1256</v>
      </c>
      <c r="C13" s="85" t="s">
        <v>1160</v>
      </c>
      <c r="D13" s="84">
        <v>1</v>
      </c>
      <c r="E13" s="58"/>
      <c r="F13" s="84"/>
      <c r="G13" s="87"/>
      <c r="H13" s="89"/>
      <c r="I13" s="90"/>
      <c r="J13" s="91"/>
      <c r="K13" s="93"/>
      <c r="L13" s="92"/>
      <c r="M13" s="62"/>
      <c r="N13" s="83"/>
      <c r="O13" s="48"/>
      <c r="P13" s="92"/>
      <c r="Q13" s="95"/>
      <c r="R13" s="98"/>
      <c r="S13" s="5"/>
      <c r="T13" s="71"/>
      <c r="U13" s="104"/>
      <c r="V13" s="47"/>
    </row>
    <row r="14" spans="2:22" x14ac:dyDescent="0.3">
      <c r="B14" t="s">
        <v>1256</v>
      </c>
      <c r="C14" s="85" t="s">
        <v>1161</v>
      </c>
      <c r="D14" s="84">
        <v>1</v>
      </c>
      <c r="E14" s="58"/>
      <c r="F14" s="84"/>
      <c r="G14" s="87"/>
      <c r="H14" s="89"/>
      <c r="I14" s="90"/>
      <c r="J14" s="91"/>
      <c r="K14" s="93"/>
      <c r="L14" s="92"/>
      <c r="M14" s="62"/>
      <c r="N14" s="83"/>
      <c r="O14" s="48"/>
      <c r="P14" s="92"/>
      <c r="Q14" s="95"/>
      <c r="R14" s="98"/>
      <c r="S14" s="5"/>
      <c r="T14" s="71"/>
      <c r="U14" s="104"/>
      <c r="V14" s="47"/>
    </row>
    <row r="15" spans="2:22" x14ac:dyDescent="0.3">
      <c r="B15" t="s">
        <v>1256</v>
      </c>
      <c r="C15" s="86" t="s">
        <v>715</v>
      </c>
      <c r="D15" s="58"/>
      <c r="E15" s="58">
        <v>1</v>
      </c>
      <c r="F15" s="84"/>
      <c r="G15" s="87"/>
      <c r="H15" s="89"/>
      <c r="I15" s="90"/>
      <c r="J15" s="91"/>
      <c r="K15" s="93"/>
      <c r="L15" s="92"/>
      <c r="M15" s="62"/>
      <c r="N15" s="83"/>
      <c r="O15" s="48"/>
      <c r="P15" s="92"/>
      <c r="Q15" s="95"/>
      <c r="R15" s="98"/>
      <c r="S15" s="5"/>
      <c r="T15" s="71"/>
      <c r="U15" s="104"/>
      <c r="V15" s="47"/>
    </row>
    <row r="16" spans="2:22" x14ac:dyDescent="0.3">
      <c r="B16" t="s">
        <v>1256</v>
      </c>
      <c r="C16" s="58" t="s">
        <v>716</v>
      </c>
      <c r="D16" s="58"/>
      <c r="E16" s="58">
        <v>1</v>
      </c>
      <c r="F16" s="84"/>
      <c r="G16" s="87"/>
      <c r="H16" s="89"/>
      <c r="I16" s="90"/>
      <c r="J16" s="91"/>
      <c r="K16" s="93"/>
      <c r="L16" s="92"/>
      <c r="M16" s="62"/>
      <c r="N16" s="83"/>
      <c r="O16" s="48"/>
      <c r="P16" s="92"/>
      <c r="Q16" s="95"/>
      <c r="R16" s="98"/>
      <c r="S16" s="5"/>
      <c r="T16" s="71"/>
      <c r="U16" s="104"/>
      <c r="V16" s="47"/>
    </row>
    <row r="17" spans="2:22" x14ac:dyDescent="0.3">
      <c r="B17" t="s">
        <v>1256</v>
      </c>
      <c r="C17" s="86" t="s">
        <v>718</v>
      </c>
      <c r="D17" s="58"/>
      <c r="E17" s="58">
        <v>1</v>
      </c>
      <c r="F17" s="84"/>
      <c r="G17" s="87"/>
      <c r="H17" s="89"/>
      <c r="I17" s="90"/>
      <c r="J17" s="91"/>
      <c r="K17" s="93"/>
      <c r="L17" s="92"/>
      <c r="M17" s="62"/>
      <c r="N17" s="83"/>
      <c r="O17" s="48"/>
      <c r="P17" s="92"/>
      <c r="Q17" s="95"/>
      <c r="R17" s="98"/>
      <c r="S17" s="5"/>
      <c r="T17" s="71"/>
      <c r="U17" s="104"/>
      <c r="V17" s="47"/>
    </row>
    <row r="18" spans="2:22" x14ac:dyDescent="0.3">
      <c r="B18" t="s">
        <v>1256</v>
      </c>
      <c r="C18" s="86" t="s">
        <v>1353</v>
      </c>
      <c r="D18" s="58"/>
      <c r="E18" s="58">
        <v>1</v>
      </c>
      <c r="F18" s="84"/>
      <c r="G18" s="87"/>
      <c r="H18" s="89"/>
      <c r="I18" s="90"/>
      <c r="J18" s="91"/>
      <c r="K18" s="93"/>
      <c r="L18" s="92"/>
      <c r="M18" s="62"/>
      <c r="N18" s="83"/>
      <c r="O18" s="48"/>
      <c r="P18" s="92"/>
      <c r="Q18" s="95"/>
      <c r="R18" s="98"/>
      <c r="S18" s="5"/>
      <c r="T18" s="71"/>
      <c r="U18" s="104"/>
      <c r="V18" s="47"/>
    </row>
    <row r="19" spans="2:22" x14ac:dyDescent="0.3">
      <c r="B19" t="s">
        <v>1256</v>
      </c>
      <c r="C19" s="58" t="s">
        <v>1336</v>
      </c>
      <c r="D19" s="58"/>
      <c r="E19" s="58">
        <v>1</v>
      </c>
      <c r="F19" s="84"/>
      <c r="G19" s="87"/>
      <c r="H19" s="89"/>
      <c r="I19" s="90"/>
      <c r="J19" s="91"/>
      <c r="K19" s="93"/>
      <c r="L19" s="92"/>
      <c r="M19" s="62"/>
      <c r="N19" s="83"/>
      <c r="O19" s="48"/>
      <c r="P19" s="92"/>
      <c r="Q19" s="95"/>
      <c r="R19" s="98"/>
      <c r="S19" s="5"/>
      <c r="T19" s="71"/>
      <c r="U19" s="104"/>
      <c r="V19" s="47"/>
    </row>
    <row r="20" spans="2:22" x14ac:dyDescent="0.3">
      <c r="B20" t="s">
        <v>1256</v>
      </c>
      <c r="C20" s="86" t="s">
        <v>1338</v>
      </c>
      <c r="D20" s="58"/>
      <c r="E20" s="58">
        <v>1</v>
      </c>
      <c r="F20" s="84"/>
      <c r="G20" s="87"/>
      <c r="H20" s="89"/>
      <c r="I20" s="90"/>
      <c r="J20" s="91"/>
      <c r="K20" s="93"/>
      <c r="L20" s="92"/>
      <c r="M20" s="62"/>
      <c r="N20" s="83"/>
      <c r="O20" s="48"/>
      <c r="P20" s="92"/>
      <c r="Q20" s="95"/>
      <c r="R20" s="98"/>
      <c r="S20" s="5"/>
      <c r="T20" s="71"/>
      <c r="U20" s="104"/>
      <c r="V20" s="47"/>
    </row>
    <row r="21" spans="2:22" x14ac:dyDescent="0.3">
      <c r="B21" t="s">
        <v>1256</v>
      </c>
      <c r="C21" s="86" t="s">
        <v>1388</v>
      </c>
      <c r="D21" s="58"/>
      <c r="E21" s="58">
        <v>1</v>
      </c>
      <c r="F21" s="84"/>
      <c r="G21" s="87"/>
      <c r="H21" s="89"/>
      <c r="I21" s="90"/>
      <c r="J21" s="91"/>
      <c r="K21" s="93"/>
      <c r="L21" s="92"/>
      <c r="M21" s="62"/>
      <c r="N21" s="83"/>
      <c r="O21" s="48"/>
      <c r="P21" s="92"/>
      <c r="Q21" s="95"/>
      <c r="R21" s="98"/>
      <c r="S21" s="5"/>
      <c r="T21" s="71"/>
      <c r="U21" s="104"/>
      <c r="V21" s="47"/>
    </row>
    <row r="22" spans="2:22" x14ac:dyDescent="0.3">
      <c r="B22" t="s">
        <v>1256</v>
      </c>
      <c r="C22" s="58" t="s">
        <v>1345</v>
      </c>
      <c r="D22" s="58"/>
      <c r="E22" s="58">
        <v>1</v>
      </c>
      <c r="F22" s="84"/>
      <c r="G22" s="87"/>
      <c r="H22" s="89"/>
      <c r="I22" s="90"/>
      <c r="J22" s="91"/>
      <c r="K22" s="93"/>
      <c r="L22" s="92"/>
      <c r="M22" s="62"/>
      <c r="N22" s="83"/>
      <c r="O22" s="48"/>
      <c r="P22" s="92"/>
      <c r="Q22" s="95"/>
      <c r="R22" s="98"/>
      <c r="S22" s="5"/>
      <c r="T22" s="71"/>
      <c r="U22" s="104"/>
      <c r="V22" s="47"/>
    </row>
    <row r="23" spans="2:22" x14ac:dyDescent="0.3">
      <c r="B23" t="s">
        <v>1256</v>
      </c>
      <c r="C23" s="86" t="s">
        <v>1347</v>
      </c>
      <c r="D23" s="58"/>
      <c r="E23" s="58">
        <v>1</v>
      </c>
      <c r="F23" s="84"/>
      <c r="G23" s="87"/>
      <c r="H23" s="89"/>
      <c r="I23" s="90"/>
      <c r="J23" s="91"/>
      <c r="K23" s="93"/>
      <c r="L23" s="92"/>
      <c r="M23" s="62"/>
      <c r="N23" s="83"/>
      <c r="O23" s="48"/>
      <c r="P23" s="92"/>
      <c r="Q23" s="95"/>
      <c r="R23" s="98"/>
      <c r="S23" s="5"/>
      <c r="T23" s="71"/>
      <c r="U23" s="104"/>
      <c r="V23" s="47"/>
    </row>
    <row r="24" spans="2:22" x14ac:dyDescent="0.3">
      <c r="B24" t="s">
        <v>1256</v>
      </c>
      <c r="C24" s="86" t="s">
        <v>1162</v>
      </c>
      <c r="D24" s="58"/>
      <c r="E24" s="58">
        <v>1</v>
      </c>
      <c r="F24" s="84"/>
      <c r="G24" s="87"/>
      <c r="H24" s="89"/>
      <c r="I24" s="90"/>
      <c r="J24" s="91"/>
      <c r="K24" s="93"/>
      <c r="L24" s="92"/>
      <c r="M24" s="62"/>
      <c r="N24" s="83"/>
      <c r="O24" s="48"/>
      <c r="P24" s="92"/>
      <c r="Q24" s="95"/>
      <c r="R24" s="98"/>
      <c r="S24" s="5"/>
      <c r="T24" s="71"/>
      <c r="U24" s="104"/>
      <c r="V24" s="47"/>
    </row>
    <row r="25" spans="2:22" x14ac:dyDescent="0.3">
      <c r="B25" t="s">
        <v>1256</v>
      </c>
      <c r="C25" s="86" t="s">
        <v>1163</v>
      </c>
      <c r="D25" s="58"/>
      <c r="E25" s="58">
        <v>1</v>
      </c>
      <c r="F25" s="84"/>
      <c r="G25" s="87"/>
      <c r="H25" s="89"/>
      <c r="I25" s="90"/>
      <c r="J25" s="91"/>
      <c r="K25" s="93"/>
      <c r="L25" s="92"/>
      <c r="M25" s="62"/>
      <c r="N25" s="83"/>
      <c r="O25" s="48"/>
      <c r="P25" s="92"/>
      <c r="Q25" s="95"/>
      <c r="R25" s="98"/>
      <c r="S25" s="5"/>
      <c r="T25" s="71"/>
      <c r="U25" s="104"/>
      <c r="V25" s="47"/>
    </row>
    <row r="26" spans="2:22" x14ac:dyDescent="0.3">
      <c r="B26" t="s">
        <v>1256</v>
      </c>
      <c r="C26" s="85" t="s">
        <v>343</v>
      </c>
      <c r="D26" s="84"/>
      <c r="E26" s="84"/>
      <c r="F26" s="84">
        <v>1</v>
      </c>
      <c r="G26" s="87"/>
      <c r="H26" s="89"/>
      <c r="I26" s="90"/>
      <c r="J26" s="91"/>
      <c r="K26" s="93"/>
      <c r="L26" s="92"/>
      <c r="M26" s="62"/>
      <c r="N26" s="83"/>
      <c r="O26" s="48"/>
      <c r="P26" s="92"/>
      <c r="Q26" s="95"/>
      <c r="R26" s="98"/>
      <c r="S26" s="5"/>
      <c r="T26" s="71"/>
      <c r="U26" s="104"/>
      <c r="V26" s="47"/>
    </row>
    <row r="27" spans="2:22" x14ac:dyDescent="0.3">
      <c r="B27" t="s">
        <v>1256</v>
      </c>
      <c r="C27" s="84" t="s">
        <v>344</v>
      </c>
      <c r="D27" s="84"/>
      <c r="E27" s="84"/>
      <c r="F27" s="84">
        <v>0.5</v>
      </c>
      <c r="G27" s="87">
        <v>0.5</v>
      </c>
      <c r="H27" s="89"/>
      <c r="I27" s="90"/>
      <c r="J27" s="91"/>
      <c r="K27" s="93"/>
      <c r="L27" s="92"/>
      <c r="M27" s="62"/>
      <c r="N27" s="83"/>
      <c r="O27" s="48"/>
      <c r="P27" s="92"/>
      <c r="Q27" s="95"/>
      <c r="R27" s="98"/>
      <c r="S27" s="5"/>
      <c r="T27" s="71"/>
      <c r="U27" s="104"/>
      <c r="V27" s="47"/>
    </row>
    <row r="28" spans="2:22" x14ac:dyDescent="0.3">
      <c r="B28" t="s">
        <v>1256</v>
      </c>
      <c r="C28" s="87" t="s">
        <v>164</v>
      </c>
      <c r="D28" s="87"/>
      <c r="E28" s="87"/>
      <c r="F28" s="87"/>
      <c r="G28" s="87">
        <v>1</v>
      </c>
      <c r="H28" s="89"/>
      <c r="I28" s="90"/>
      <c r="J28" s="91"/>
      <c r="K28" s="93"/>
      <c r="L28" s="92"/>
      <c r="M28" s="62"/>
      <c r="N28" s="83"/>
      <c r="O28" s="48"/>
      <c r="P28" s="92"/>
      <c r="Q28" s="95"/>
      <c r="R28" s="98"/>
      <c r="S28" s="5"/>
      <c r="T28" s="71"/>
      <c r="U28" s="104"/>
      <c r="V28" s="47"/>
    </row>
    <row r="29" spans="2:22" x14ac:dyDescent="0.3">
      <c r="B29" t="s">
        <v>1256</v>
      </c>
      <c r="C29" s="88" t="s">
        <v>359</v>
      </c>
      <c r="D29" s="89"/>
      <c r="E29" s="89"/>
      <c r="F29" s="89"/>
      <c r="G29" s="89"/>
      <c r="H29" s="89">
        <v>1</v>
      </c>
      <c r="I29" s="90"/>
      <c r="J29" s="91"/>
      <c r="K29" s="93"/>
      <c r="L29" s="92"/>
      <c r="M29" s="62"/>
      <c r="N29" s="83"/>
      <c r="O29" s="48"/>
      <c r="P29" s="92"/>
      <c r="Q29" s="95"/>
      <c r="R29" s="98"/>
      <c r="S29" s="5"/>
      <c r="T29" s="71"/>
      <c r="U29" s="104"/>
      <c r="V29" s="47"/>
    </row>
    <row r="30" spans="2:22" x14ac:dyDescent="0.3">
      <c r="B30" t="s">
        <v>1256</v>
      </c>
      <c r="C30" s="89" t="s">
        <v>1258</v>
      </c>
      <c r="D30" s="89"/>
      <c r="E30" s="89"/>
      <c r="F30" s="89"/>
      <c r="G30" s="89"/>
      <c r="H30" s="89">
        <v>1</v>
      </c>
      <c r="I30" s="90"/>
      <c r="J30" s="91"/>
      <c r="K30" s="93"/>
      <c r="L30" s="92"/>
      <c r="M30" s="62"/>
      <c r="N30" s="83"/>
      <c r="O30" s="48"/>
      <c r="P30" s="92"/>
      <c r="Q30" s="95"/>
      <c r="R30" s="98"/>
      <c r="S30" s="5"/>
      <c r="T30" s="71"/>
      <c r="U30" s="104"/>
      <c r="V30" s="47"/>
    </row>
    <row r="31" spans="2:22" x14ac:dyDescent="0.3">
      <c r="B31" t="s">
        <v>1256</v>
      </c>
      <c r="C31" s="89" t="s">
        <v>1257</v>
      </c>
      <c r="D31" s="89"/>
      <c r="E31" s="89"/>
      <c r="F31" s="89"/>
      <c r="G31" s="89"/>
      <c r="H31" s="89">
        <v>1</v>
      </c>
      <c r="I31" s="90"/>
      <c r="J31" s="91"/>
      <c r="K31" s="93"/>
      <c r="L31" s="92"/>
      <c r="M31" s="62"/>
      <c r="N31" s="83"/>
      <c r="O31" s="48"/>
      <c r="P31" s="92"/>
      <c r="Q31" s="95"/>
      <c r="R31" s="98"/>
      <c r="S31" s="5"/>
      <c r="T31" s="71"/>
      <c r="U31" s="104"/>
      <c r="V31" s="47"/>
    </row>
    <row r="32" spans="2:22" x14ac:dyDescent="0.3">
      <c r="B32" t="s">
        <v>1256</v>
      </c>
      <c r="C32" s="89" t="s">
        <v>923</v>
      </c>
      <c r="D32" s="89"/>
      <c r="E32" s="89"/>
      <c r="F32" s="89"/>
      <c r="G32" s="89"/>
      <c r="H32" s="89">
        <v>1</v>
      </c>
      <c r="I32" s="90"/>
      <c r="J32" s="91"/>
      <c r="K32" s="93"/>
      <c r="L32" s="92"/>
      <c r="M32" s="62"/>
      <c r="N32" s="83"/>
      <c r="O32" s="48"/>
      <c r="P32" s="92"/>
      <c r="Q32" s="95"/>
      <c r="R32" s="98"/>
      <c r="S32" s="5"/>
      <c r="T32" s="71"/>
      <c r="U32" s="104"/>
      <c r="V32" s="47"/>
    </row>
    <row r="33" spans="2:22" x14ac:dyDescent="0.3">
      <c r="B33" t="s">
        <v>1256</v>
      </c>
      <c r="C33" s="89" t="s">
        <v>1207</v>
      </c>
      <c r="D33" s="89"/>
      <c r="E33" s="89"/>
      <c r="F33" s="89"/>
      <c r="G33" s="89"/>
      <c r="H33" s="89">
        <v>1</v>
      </c>
      <c r="I33" s="90"/>
      <c r="J33" s="91"/>
      <c r="K33" s="93"/>
      <c r="L33" s="92"/>
      <c r="M33" s="62"/>
      <c r="N33" s="83"/>
      <c r="O33" s="48"/>
      <c r="P33" s="92"/>
      <c r="Q33" s="95"/>
      <c r="R33" s="98"/>
      <c r="S33" s="5"/>
      <c r="T33" s="71" t="s">
        <v>110</v>
      </c>
      <c r="U33" s="104" t="s">
        <v>110</v>
      </c>
      <c r="V33" s="47" t="s">
        <v>110</v>
      </c>
    </row>
    <row r="34" spans="2:22" x14ac:dyDescent="0.3">
      <c r="B34" t="s">
        <v>1256</v>
      </c>
      <c r="C34" s="89" t="s">
        <v>1065</v>
      </c>
      <c r="D34" s="89"/>
      <c r="E34" s="89"/>
      <c r="F34" s="89"/>
      <c r="G34" s="89"/>
      <c r="H34" s="89">
        <v>1</v>
      </c>
      <c r="I34" s="90"/>
      <c r="J34" s="91"/>
      <c r="K34" s="93"/>
      <c r="L34" s="92"/>
      <c r="M34" s="62"/>
      <c r="N34" s="83"/>
      <c r="O34" s="48"/>
      <c r="P34" s="92"/>
      <c r="Q34" s="95"/>
      <c r="R34" s="98"/>
      <c r="S34" s="5"/>
      <c r="T34" s="71"/>
      <c r="U34" s="104"/>
      <c r="V34" s="47"/>
    </row>
    <row r="35" spans="2:22" x14ac:dyDescent="0.3">
      <c r="B35" s="89" t="s">
        <v>636</v>
      </c>
      <c r="C35" s="89" t="s">
        <v>1326</v>
      </c>
      <c r="D35" s="89"/>
      <c r="E35" s="89"/>
      <c r="F35" s="89"/>
      <c r="G35" s="89"/>
      <c r="H35" s="89">
        <v>1</v>
      </c>
      <c r="I35" s="90"/>
      <c r="J35" s="91"/>
      <c r="K35" s="93"/>
      <c r="L35" s="92"/>
      <c r="M35" s="62"/>
      <c r="N35" s="83"/>
      <c r="O35" s="48"/>
      <c r="P35" s="92"/>
      <c r="Q35" s="95"/>
      <c r="R35" s="98"/>
      <c r="S35" s="5"/>
      <c r="T35" s="71"/>
      <c r="U35" s="104"/>
      <c r="V35" s="47"/>
    </row>
    <row r="36" spans="2:22" x14ac:dyDescent="0.3">
      <c r="B36" s="89" t="s">
        <v>637</v>
      </c>
      <c r="C36" s="89" t="s">
        <v>1326</v>
      </c>
      <c r="D36" s="89"/>
      <c r="E36" s="89"/>
      <c r="F36" s="89"/>
      <c r="G36" s="89"/>
      <c r="H36" s="89">
        <v>1</v>
      </c>
      <c r="I36" s="90"/>
      <c r="J36" s="91"/>
      <c r="K36" s="93"/>
      <c r="L36" s="92"/>
      <c r="M36" s="62"/>
      <c r="N36" s="83"/>
      <c r="O36" s="48"/>
      <c r="P36" s="92"/>
      <c r="Q36" s="95"/>
      <c r="R36" s="98"/>
      <c r="S36" s="5"/>
      <c r="T36" s="71"/>
      <c r="U36" s="104"/>
      <c r="V36" s="47"/>
    </row>
    <row r="37" spans="2:22" x14ac:dyDescent="0.3">
      <c r="B37" s="89" t="s">
        <v>638</v>
      </c>
      <c r="C37" s="89" t="s">
        <v>1326</v>
      </c>
      <c r="D37" s="89"/>
      <c r="E37" s="89"/>
      <c r="F37" s="89"/>
      <c r="G37" s="89"/>
      <c r="H37" s="89">
        <v>1</v>
      </c>
      <c r="I37" s="90"/>
      <c r="J37" s="91"/>
      <c r="K37" s="93"/>
      <c r="L37" s="92"/>
      <c r="M37" s="62"/>
      <c r="N37" s="83"/>
      <c r="O37" s="48"/>
      <c r="P37" s="92"/>
      <c r="Q37" s="95"/>
      <c r="R37" s="98"/>
      <c r="S37" s="5"/>
      <c r="T37" s="71"/>
      <c r="U37" s="104"/>
      <c r="V37" s="47"/>
    </row>
    <row r="38" spans="2:22" x14ac:dyDescent="0.3">
      <c r="B38" s="89" t="s">
        <v>639</v>
      </c>
      <c r="C38" s="89" t="s">
        <v>1326</v>
      </c>
      <c r="D38" s="89"/>
      <c r="E38" s="89"/>
      <c r="F38" s="89"/>
      <c r="G38" s="89"/>
      <c r="H38" s="89">
        <v>1</v>
      </c>
      <c r="I38" s="90"/>
      <c r="J38" s="91"/>
      <c r="K38" s="93"/>
      <c r="L38" s="92"/>
      <c r="M38" s="62"/>
      <c r="N38" s="83"/>
      <c r="O38" s="48"/>
      <c r="P38" s="92"/>
      <c r="Q38" s="95"/>
      <c r="R38" s="98"/>
      <c r="S38" s="5"/>
      <c r="T38" s="71"/>
      <c r="U38" s="104"/>
      <c r="V38" s="47"/>
    </row>
    <row r="39" spans="2:22" x14ac:dyDescent="0.3">
      <c r="B39" s="89" t="s">
        <v>640</v>
      </c>
      <c r="C39" s="89" t="s">
        <v>1326</v>
      </c>
      <c r="D39" s="89"/>
      <c r="E39" s="89"/>
      <c r="F39" s="89"/>
      <c r="G39" s="89"/>
      <c r="H39" s="89">
        <v>1</v>
      </c>
      <c r="I39" s="90"/>
      <c r="J39" s="91"/>
      <c r="K39" s="93"/>
      <c r="L39" s="92"/>
      <c r="M39" s="62"/>
      <c r="N39" s="83"/>
      <c r="O39" s="48"/>
      <c r="P39" s="92"/>
      <c r="Q39" s="95"/>
      <c r="R39" s="98"/>
      <c r="S39" s="5"/>
      <c r="T39" s="71"/>
      <c r="U39" s="104"/>
      <c r="V39" s="47"/>
    </row>
    <row r="40" spans="2:22" x14ac:dyDescent="0.3">
      <c r="B40" s="89" t="s">
        <v>641</v>
      </c>
      <c r="C40" s="89" t="s">
        <v>1326</v>
      </c>
      <c r="D40" s="89"/>
      <c r="E40" s="89"/>
      <c r="F40" s="89"/>
      <c r="G40" s="89"/>
      <c r="H40" s="89">
        <v>1</v>
      </c>
      <c r="I40" s="90"/>
      <c r="J40" s="91"/>
      <c r="K40" s="93"/>
      <c r="L40" s="92"/>
      <c r="M40" s="62"/>
      <c r="N40" s="83"/>
      <c r="O40" s="48"/>
      <c r="P40" s="92"/>
      <c r="Q40" s="95"/>
      <c r="R40" s="98"/>
      <c r="S40" s="5"/>
      <c r="T40" s="71"/>
      <c r="U40" s="104"/>
      <c r="V40" s="47"/>
    </row>
    <row r="41" spans="2:22" x14ac:dyDescent="0.3">
      <c r="B41" s="89" t="s">
        <v>642</v>
      </c>
      <c r="C41" s="89" t="s">
        <v>1326</v>
      </c>
      <c r="D41" s="89"/>
      <c r="E41" s="89"/>
      <c r="F41" s="89"/>
      <c r="G41" s="89"/>
      <c r="H41" s="89">
        <v>1</v>
      </c>
      <c r="I41" s="90"/>
      <c r="J41" s="91"/>
      <c r="K41" s="93"/>
      <c r="L41" s="92"/>
      <c r="M41" s="62"/>
      <c r="N41" s="83"/>
      <c r="O41" s="48"/>
      <c r="P41" s="92"/>
      <c r="Q41" s="95"/>
      <c r="R41" s="98"/>
      <c r="S41" s="5"/>
      <c r="T41" s="71"/>
      <c r="U41" s="104"/>
      <c r="V41" s="47"/>
    </row>
    <row r="42" spans="2:22" x14ac:dyDescent="0.3">
      <c r="B42" s="89" t="s">
        <v>643</v>
      </c>
      <c r="C42" s="89" t="s">
        <v>1326</v>
      </c>
      <c r="D42" s="89"/>
      <c r="E42" s="89"/>
      <c r="F42" s="89"/>
      <c r="G42" s="89"/>
      <c r="H42" s="89">
        <v>1</v>
      </c>
      <c r="I42" s="90"/>
      <c r="J42" s="91"/>
      <c r="K42" s="93"/>
      <c r="L42" s="92"/>
      <c r="M42" s="62"/>
      <c r="N42" s="83"/>
      <c r="O42" s="48"/>
      <c r="P42" s="92"/>
      <c r="Q42" s="95"/>
      <c r="R42" s="98"/>
      <c r="S42" s="5"/>
      <c r="T42" s="71"/>
      <c r="U42" s="104"/>
      <c r="V42" s="47"/>
    </row>
    <row r="43" spans="2:22" x14ac:dyDescent="0.3">
      <c r="B43" s="89" t="s">
        <v>644</v>
      </c>
      <c r="C43" s="89" t="s">
        <v>1327</v>
      </c>
      <c r="D43" s="89"/>
      <c r="E43" s="89"/>
      <c r="F43" s="89"/>
      <c r="G43" s="89"/>
      <c r="H43" s="89">
        <v>1</v>
      </c>
      <c r="I43" s="90"/>
      <c r="J43" s="91"/>
      <c r="K43" s="93"/>
      <c r="L43" s="92"/>
      <c r="M43" s="62"/>
      <c r="N43" s="83"/>
      <c r="O43" s="48"/>
      <c r="P43" s="92"/>
      <c r="Q43" s="95"/>
      <c r="R43" s="98"/>
      <c r="S43" s="5"/>
      <c r="T43" s="71"/>
      <c r="U43" s="104"/>
      <c r="V43" s="47"/>
    </row>
    <row r="44" spans="2:22" x14ac:dyDescent="0.3">
      <c r="B44" s="89" t="s">
        <v>645</v>
      </c>
      <c r="C44" s="89" t="s">
        <v>1327</v>
      </c>
      <c r="D44" s="89"/>
      <c r="E44" s="89"/>
      <c r="F44" s="89"/>
      <c r="G44" s="89"/>
      <c r="H44" s="89">
        <v>1</v>
      </c>
      <c r="I44" s="90"/>
      <c r="J44" s="91"/>
      <c r="K44" s="93"/>
      <c r="L44" s="92"/>
      <c r="M44" s="62"/>
      <c r="N44" s="83"/>
      <c r="O44" s="48"/>
      <c r="P44" s="92"/>
      <c r="Q44" s="95"/>
      <c r="R44" s="98"/>
      <c r="S44" s="5"/>
      <c r="T44" s="71"/>
      <c r="U44" s="104"/>
      <c r="V44" s="47"/>
    </row>
    <row r="45" spans="2:22" x14ac:dyDescent="0.3">
      <c r="B45" s="89" t="s">
        <v>646</v>
      </c>
      <c r="C45" s="89" t="s">
        <v>1327</v>
      </c>
      <c r="D45" s="89"/>
      <c r="E45" s="89"/>
      <c r="F45" s="89"/>
      <c r="G45" s="89"/>
      <c r="H45" s="89">
        <v>1</v>
      </c>
      <c r="I45" s="90"/>
      <c r="J45" s="91"/>
      <c r="K45" s="93"/>
      <c r="L45" s="92"/>
      <c r="M45" s="62"/>
      <c r="N45" s="83"/>
      <c r="O45" s="48"/>
      <c r="P45" s="92"/>
      <c r="Q45" s="95"/>
      <c r="R45" s="98"/>
      <c r="S45" s="5"/>
      <c r="T45" s="71"/>
      <c r="U45" s="104"/>
      <c r="V45" s="47"/>
    </row>
    <row r="46" spans="2:22" x14ac:dyDescent="0.3">
      <c r="B46" s="89" t="s">
        <v>1176</v>
      </c>
      <c r="C46" s="89" t="s">
        <v>1327</v>
      </c>
      <c r="D46" s="89"/>
      <c r="E46" s="89"/>
      <c r="F46" s="89"/>
      <c r="G46" s="89"/>
      <c r="H46" s="89">
        <v>1</v>
      </c>
      <c r="I46" s="90"/>
      <c r="J46" s="91"/>
      <c r="K46" s="93"/>
      <c r="L46" s="92"/>
      <c r="M46" s="62"/>
      <c r="N46" s="83"/>
      <c r="O46" s="48"/>
      <c r="P46" s="92"/>
      <c r="Q46" s="95"/>
      <c r="R46" s="98"/>
      <c r="S46" s="5"/>
      <c r="T46" s="71"/>
      <c r="U46" s="104"/>
      <c r="V46" s="47"/>
    </row>
    <row r="47" spans="2:22" x14ac:dyDescent="0.3">
      <c r="B47" s="89" t="s">
        <v>647</v>
      </c>
      <c r="C47" s="89" t="s">
        <v>1327</v>
      </c>
      <c r="D47" s="89"/>
      <c r="E47" s="89"/>
      <c r="F47" s="89"/>
      <c r="G47" s="89"/>
      <c r="H47" s="89">
        <v>1</v>
      </c>
      <c r="I47" s="90"/>
      <c r="J47" s="91"/>
      <c r="K47" s="93"/>
      <c r="L47" s="92"/>
      <c r="M47" s="62"/>
      <c r="N47" s="83"/>
      <c r="O47" s="48"/>
      <c r="P47" s="92"/>
      <c r="Q47" s="95"/>
      <c r="R47" s="98"/>
      <c r="S47" s="5"/>
      <c r="T47" s="71"/>
      <c r="U47" s="104"/>
      <c r="V47" s="47"/>
    </row>
    <row r="48" spans="2:22" x14ac:dyDescent="0.3">
      <c r="B48" t="s">
        <v>1256</v>
      </c>
      <c r="C48" s="90" t="s">
        <v>729</v>
      </c>
      <c r="D48" s="90"/>
      <c r="E48" s="90"/>
      <c r="F48" s="90"/>
      <c r="G48" s="90"/>
      <c r="H48" s="90"/>
      <c r="I48" s="90">
        <v>1</v>
      </c>
      <c r="J48" s="91"/>
      <c r="K48" s="93"/>
      <c r="L48" s="92"/>
      <c r="M48" s="62"/>
      <c r="N48" s="83"/>
      <c r="O48" s="48"/>
      <c r="P48" s="92"/>
      <c r="Q48" s="95"/>
      <c r="R48" s="98"/>
      <c r="S48" s="5"/>
      <c r="T48" s="71"/>
      <c r="U48" s="104"/>
      <c r="V48" s="47"/>
    </row>
    <row r="49" spans="2:22" x14ac:dyDescent="0.3">
      <c r="B49" t="s">
        <v>1256</v>
      </c>
      <c r="C49" s="90" t="s">
        <v>289</v>
      </c>
      <c r="D49" s="90"/>
      <c r="E49" s="90"/>
      <c r="F49" s="90"/>
      <c r="G49" s="90"/>
      <c r="H49" s="90"/>
      <c r="I49" s="90">
        <v>1</v>
      </c>
      <c r="J49" s="91"/>
      <c r="K49" s="93"/>
      <c r="L49" s="92"/>
      <c r="M49" s="62"/>
      <c r="N49" s="83"/>
      <c r="O49" s="48"/>
      <c r="P49" s="92"/>
      <c r="Q49" s="95"/>
      <c r="R49" s="98"/>
      <c r="S49" s="5"/>
      <c r="T49" s="71"/>
      <c r="U49" s="104"/>
      <c r="V49" s="47"/>
    </row>
    <row r="50" spans="2:22" x14ac:dyDescent="0.3">
      <c r="B50" t="s">
        <v>1256</v>
      </c>
      <c r="C50" s="91" t="s">
        <v>737</v>
      </c>
      <c r="D50" s="91"/>
      <c r="E50" s="91"/>
      <c r="F50" s="91"/>
      <c r="G50" s="91"/>
      <c r="H50" s="91"/>
      <c r="I50" s="91"/>
      <c r="J50" s="91">
        <v>1</v>
      </c>
      <c r="K50" s="93"/>
      <c r="L50" s="92"/>
      <c r="M50" s="62"/>
      <c r="N50" s="83"/>
      <c r="O50" s="48"/>
      <c r="P50" s="92"/>
      <c r="Q50" s="95"/>
      <c r="R50" s="98"/>
      <c r="S50" s="5"/>
      <c r="T50" s="71"/>
      <c r="U50" s="104"/>
      <c r="V50" s="47"/>
    </row>
    <row r="51" spans="2:22" ht="13.8" customHeight="1" x14ac:dyDescent="0.3">
      <c r="B51" t="s">
        <v>1256</v>
      </c>
      <c r="C51" s="91" t="s">
        <v>734</v>
      </c>
      <c r="D51" s="91"/>
      <c r="E51" s="91"/>
      <c r="F51" s="91"/>
      <c r="G51" s="91"/>
      <c r="H51" s="91"/>
      <c r="I51" s="91"/>
      <c r="J51" s="91">
        <v>1</v>
      </c>
      <c r="K51" s="93"/>
      <c r="L51" s="92"/>
      <c r="M51" s="62"/>
      <c r="N51" s="83"/>
      <c r="O51" s="48"/>
      <c r="P51" s="92"/>
      <c r="Q51" s="95"/>
      <c r="R51" s="98"/>
      <c r="S51" s="5"/>
      <c r="T51" s="71"/>
      <c r="U51" s="104"/>
      <c r="V51" s="47"/>
    </row>
    <row r="52" spans="2:22" x14ac:dyDescent="0.3">
      <c r="B52" t="s">
        <v>1256</v>
      </c>
      <c r="C52" s="91" t="s">
        <v>144</v>
      </c>
      <c r="D52" s="91"/>
      <c r="E52" s="91"/>
      <c r="F52" s="91"/>
      <c r="G52" s="91"/>
      <c r="H52" s="91"/>
      <c r="I52" s="91"/>
      <c r="J52" s="91">
        <v>1</v>
      </c>
      <c r="K52" s="93"/>
      <c r="L52" s="92"/>
      <c r="M52" s="62"/>
      <c r="N52" s="83"/>
      <c r="O52" s="48"/>
      <c r="P52" s="92"/>
      <c r="Q52" s="94"/>
      <c r="R52" s="98"/>
      <c r="S52" s="5"/>
      <c r="T52" s="71"/>
      <c r="U52" s="104"/>
      <c r="V52" s="47"/>
    </row>
    <row r="53" spans="2:22" x14ac:dyDescent="0.3">
      <c r="B53" t="s">
        <v>1256</v>
      </c>
      <c r="C53" s="93" t="s">
        <v>279</v>
      </c>
      <c r="D53" s="93"/>
      <c r="E53" s="93"/>
      <c r="F53" s="93"/>
      <c r="G53" s="93"/>
      <c r="H53" s="93"/>
      <c r="I53" s="93"/>
      <c r="J53" s="93"/>
      <c r="K53" s="93">
        <v>1</v>
      </c>
      <c r="L53" s="92"/>
      <c r="M53" s="62"/>
      <c r="N53" s="83"/>
      <c r="O53" s="48"/>
      <c r="P53" s="92"/>
      <c r="Q53" s="95"/>
      <c r="R53" s="98"/>
      <c r="S53" s="5"/>
      <c r="T53" s="71"/>
      <c r="U53" s="104"/>
      <c r="V53" s="47"/>
    </row>
    <row r="54" spans="2:22" x14ac:dyDescent="0.3">
      <c r="B54" t="s">
        <v>1256</v>
      </c>
      <c r="C54" s="93" t="s">
        <v>169</v>
      </c>
      <c r="D54" s="93"/>
      <c r="E54" s="93"/>
      <c r="F54" s="93"/>
      <c r="G54" s="93"/>
      <c r="H54" s="93"/>
      <c r="I54" s="93"/>
      <c r="J54" s="93"/>
      <c r="K54" s="93">
        <v>1</v>
      </c>
      <c r="L54" s="92"/>
      <c r="M54" s="62"/>
      <c r="N54" s="83"/>
      <c r="O54" s="48"/>
      <c r="P54" s="92"/>
      <c r="Q54" s="95"/>
      <c r="R54" s="98"/>
      <c r="S54" s="5"/>
      <c r="T54" s="71"/>
      <c r="U54" s="104"/>
      <c r="V54" s="47"/>
    </row>
    <row r="55" spans="2:22" x14ac:dyDescent="0.3">
      <c r="B55" t="s">
        <v>1256</v>
      </c>
      <c r="C55" s="92" t="s">
        <v>148</v>
      </c>
      <c r="D55" s="92"/>
      <c r="E55" s="92"/>
      <c r="F55" s="92"/>
      <c r="G55" s="92"/>
      <c r="H55" s="92"/>
      <c r="I55" s="92"/>
      <c r="J55" s="92"/>
      <c r="K55" s="92"/>
      <c r="L55" s="92">
        <v>1</v>
      </c>
      <c r="M55" s="62"/>
      <c r="N55" s="83"/>
      <c r="O55" s="48"/>
      <c r="P55" s="92"/>
      <c r="Q55" s="95"/>
      <c r="R55" s="98"/>
      <c r="S55" s="5"/>
      <c r="T55" s="71"/>
      <c r="U55" s="104"/>
      <c r="V55" s="47"/>
    </row>
    <row r="56" spans="2:22" x14ac:dyDescent="0.3">
      <c r="B56" t="s">
        <v>1256</v>
      </c>
      <c r="C56" s="92" t="s">
        <v>140</v>
      </c>
      <c r="D56" s="92"/>
      <c r="E56" s="92"/>
      <c r="F56" s="92"/>
      <c r="G56" s="92"/>
      <c r="H56" s="92"/>
      <c r="I56" s="92"/>
      <c r="J56" s="92"/>
      <c r="K56" s="92"/>
      <c r="L56" s="92">
        <v>1</v>
      </c>
      <c r="M56" s="62"/>
      <c r="N56" s="83"/>
      <c r="O56" s="48"/>
      <c r="P56" s="92"/>
      <c r="Q56" s="95"/>
      <c r="R56" s="98"/>
      <c r="S56" s="5"/>
      <c r="T56" s="71"/>
      <c r="U56" s="104"/>
      <c r="V56" s="47"/>
    </row>
    <row r="57" spans="2:22" x14ac:dyDescent="0.3">
      <c r="B57" t="s">
        <v>1256</v>
      </c>
      <c r="C57" s="62" t="s">
        <v>241</v>
      </c>
      <c r="D57" s="62"/>
      <c r="E57" s="62"/>
      <c r="F57" s="62"/>
      <c r="G57" s="62"/>
      <c r="H57" s="62"/>
      <c r="I57" s="62"/>
      <c r="J57" s="62"/>
      <c r="K57" s="62"/>
      <c r="L57" s="62"/>
      <c r="M57" s="62">
        <v>1</v>
      </c>
      <c r="N57" s="83"/>
      <c r="O57" s="48"/>
      <c r="P57" s="92"/>
      <c r="Q57" s="95"/>
      <c r="R57" s="98"/>
      <c r="S57" s="5"/>
      <c r="T57" s="71"/>
      <c r="U57" s="104"/>
      <c r="V57" s="47"/>
    </row>
    <row r="58" spans="2:22" x14ac:dyDescent="0.3">
      <c r="B58" t="s">
        <v>1256</v>
      </c>
      <c r="C58" s="62" t="s">
        <v>735</v>
      </c>
      <c r="D58" s="62"/>
      <c r="E58" s="62"/>
      <c r="F58" s="62"/>
      <c r="G58" s="62"/>
      <c r="H58" s="62"/>
      <c r="I58" s="62"/>
      <c r="J58" s="62"/>
      <c r="K58" s="62"/>
      <c r="L58" s="62"/>
      <c r="M58" s="62">
        <v>1</v>
      </c>
      <c r="N58" s="83"/>
      <c r="O58" s="48"/>
      <c r="P58" s="92"/>
      <c r="Q58" s="95"/>
      <c r="R58" s="98"/>
      <c r="S58" s="5"/>
      <c r="T58" s="71"/>
      <c r="U58" s="104"/>
      <c r="V58" s="47"/>
    </row>
    <row r="59" spans="2:22" x14ac:dyDescent="0.3">
      <c r="B59" t="s">
        <v>1256</v>
      </c>
      <c r="C59" s="83" t="s">
        <v>736</v>
      </c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>
        <v>1</v>
      </c>
      <c r="O59" s="48"/>
      <c r="P59" s="92"/>
      <c r="Q59" s="95"/>
      <c r="R59" s="98"/>
      <c r="S59" s="5"/>
      <c r="T59" s="71"/>
      <c r="U59" s="104"/>
      <c r="V59" s="47"/>
    </row>
    <row r="60" spans="2:22" ht="15.6" customHeight="1" x14ac:dyDescent="0.3">
      <c r="B60" t="s">
        <v>1256</v>
      </c>
      <c r="C60" s="83" t="s">
        <v>234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>
        <v>1</v>
      </c>
      <c r="O60" s="48"/>
      <c r="P60" s="92"/>
      <c r="Q60" s="95"/>
      <c r="R60" s="98"/>
      <c r="S60" s="5"/>
      <c r="T60" s="71"/>
      <c r="U60" s="104"/>
      <c r="V60" s="47"/>
    </row>
    <row r="61" spans="2:22" x14ac:dyDescent="0.3">
      <c r="B61" t="s">
        <v>1256</v>
      </c>
      <c r="C61" s="96" t="s">
        <v>1012</v>
      </c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>
        <v>1</v>
      </c>
      <c r="P61" s="92"/>
      <c r="Q61" s="95"/>
      <c r="R61" s="98"/>
      <c r="S61" s="5"/>
      <c r="T61" s="71"/>
      <c r="U61" s="104"/>
      <c r="V61" s="47"/>
    </row>
    <row r="62" spans="2:22" x14ac:dyDescent="0.3">
      <c r="B62" t="s">
        <v>1256</v>
      </c>
      <c r="C62" s="96" t="s">
        <v>1013</v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>
        <v>1</v>
      </c>
      <c r="P62" s="92"/>
      <c r="Q62" s="95"/>
      <c r="R62" s="98"/>
      <c r="S62" s="5"/>
      <c r="T62" s="71"/>
      <c r="U62" s="104"/>
      <c r="V62" s="47"/>
    </row>
    <row r="63" spans="2:22" x14ac:dyDescent="0.3">
      <c r="B63" t="s">
        <v>1256</v>
      </c>
      <c r="C63" s="96" t="s">
        <v>1014</v>
      </c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>
        <v>1</v>
      </c>
      <c r="P63" s="92"/>
      <c r="Q63" s="95"/>
      <c r="R63" s="98"/>
      <c r="S63" s="5"/>
      <c r="T63" s="71"/>
      <c r="U63" s="104"/>
      <c r="V63" s="47"/>
    </row>
    <row r="64" spans="2:22" x14ac:dyDescent="0.3">
      <c r="B64" t="s">
        <v>1256</v>
      </c>
      <c r="C64" s="96" t="s">
        <v>1015</v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>
        <v>1</v>
      </c>
      <c r="P64" s="92"/>
      <c r="Q64" s="95"/>
      <c r="R64" s="98"/>
      <c r="S64" s="5"/>
      <c r="T64" s="71"/>
      <c r="U64" s="104"/>
      <c r="V64" s="47"/>
    </row>
    <row r="65" spans="2:22" x14ac:dyDescent="0.3">
      <c r="B65" t="s">
        <v>1256</v>
      </c>
      <c r="C65" s="96" t="s">
        <v>1016</v>
      </c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>
        <v>1</v>
      </c>
      <c r="P65" s="92"/>
      <c r="Q65" s="95"/>
      <c r="R65" s="98"/>
      <c r="S65" s="5"/>
      <c r="T65" s="71"/>
      <c r="U65" s="104"/>
      <c r="V65" s="47"/>
    </row>
    <row r="66" spans="2:22" x14ac:dyDescent="0.3">
      <c r="B66" t="s">
        <v>1256</v>
      </c>
      <c r="C66" s="96" t="s">
        <v>1017</v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>
        <v>1</v>
      </c>
      <c r="P66" s="92"/>
      <c r="Q66" s="95"/>
      <c r="R66" s="98"/>
      <c r="S66" s="5"/>
      <c r="T66" s="71"/>
      <c r="U66" s="104"/>
      <c r="V66" s="47"/>
    </row>
    <row r="67" spans="2:22" x14ac:dyDescent="0.3">
      <c r="B67" t="s">
        <v>1256</v>
      </c>
      <c r="C67" s="96" t="s">
        <v>1018</v>
      </c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>
        <v>1</v>
      </c>
      <c r="P67" s="92"/>
      <c r="Q67" s="95"/>
      <c r="R67" s="98"/>
      <c r="S67" s="5"/>
      <c r="T67" s="71"/>
      <c r="U67" s="104"/>
      <c r="V67" s="47"/>
    </row>
    <row r="68" spans="2:22" x14ac:dyDescent="0.3">
      <c r="B68" t="s">
        <v>1256</v>
      </c>
      <c r="C68" s="96" t="s">
        <v>1019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>
        <v>1</v>
      </c>
      <c r="P68" s="92"/>
      <c r="Q68" s="95"/>
      <c r="R68" s="98"/>
      <c r="S68" s="5"/>
      <c r="T68" s="71"/>
      <c r="U68" s="104"/>
      <c r="V68" s="47"/>
    </row>
    <row r="69" spans="2:22" x14ac:dyDescent="0.3">
      <c r="B69" t="s">
        <v>1256</v>
      </c>
      <c r="C69" s="96" t="s">
        <v>1020</v>
      </c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>
        <v>1</v>
      </c>
      <c r="P69" s="92"/>
      <c r="Q69" s="95"/>
      <c r="R69" s="98"/>
      <c r="S69" s="5"/>
      <c r="T69" s="71"/>
      <c r="U69" s="104"/>
      <c r="V69" s="47"/>
    </row>
    <row r="70" spans="2:22" x14ac:dyDescent="0.3">
      <c r="B70" t="s">
        <v>1256</v>
      </c>
      <c r="C70" s="96" t="s">
        <v>1021</v>
      </c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>
        <v>1</v>
      </c>
      <c r="P70" s="92"/>
      <c r="Q70" s="95"/>
      <c r="R70" s="98"/>
      <c r="S70" s="5"/>
      <c r="T70" s="71"/>
      <c r="U70" s="104"/>
      <c r="V70" s="47"/>
    </row>
    <row r="71" spans="2:22" x14ac:dyDescent="0.3">
      <c r="B71" t="s">
        <v>1256</v>
      </c>
      <c r="C71" s="96" t="s">
        <v>1022</v>
      </c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>
        <v>1</v>
      </c>
      <c r="P71" s="92"/>
      <c r="Q71" s="95"/>
      <c r="R71" s="98"/>
      <c r="S71" s="5"/>
      <c r="T71" s="71"/>
      <c r="U71" s="104"/>
      <c r="V71" s="47"/>
    </row>
    <row r="72" spans="2:22" x14ac:dyDescent="0.3">
      <c r="B72" t="s">
        <v>1256</v>
      </c>
      <c r="C72" s="96" t="s">
        <v>1023</v>
      </c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>
        <v>1</v>
      </c>
      <c r="P72" s="92"/>
      <c r="Q72" s="95"/>
      <c r="R72" s="98"/>
      <c r="S72" s="5"/>
      <c r="T72" s="71"/>
      <c r="U72" s="104"/>
      <c r="V72" s="47"/>
    </row>
    <row r="73" spans="2:22" x14ac:dyDescent="0.3">
      <c r="B73" t="s">
        <v>1256</v>
      </c>
      <c r="C73" s="96" t="s">
        <v>1024</v>
      </c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>
        <v>1</v>
      </c>
      <c r="P73" s="92"/>
      <c r="Q73" s="95"/>
      <c r="R73" s="98"/>
      <c r="S73" s="5"/>
      <c r="T73" s="71"/>
      <c r="U73" s="104"/>
      <c r="V73" s="47"/>
    </row>
    <row r="74" spans="2:22" x14ac:dyDescent="0.3">
      <c r="B74" t="s">
        <v>1256</v>
      </c>
      <c r="C74" s="96" t="s">
        <v>1025</v>
      </c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>
        <v>1</v>
      </c>
      <c r="P74" s="92"/>
      <c r="Q74" s="95"/>
      <c r="R74" s="98"/>
      <c r="S74" s="5"/>
      <c r="T74" s="71"/>
      <c r="U74" s="104"/>
      <c r="V74" s="47"/>
    </row>
    <row r="75" spans="2:22" x14ac:dyDescent="0.3">
      <c r="B75" t="s">
        <v>1256</v>
      </c>
      <c r="C75" s="96" t="s">
        <v>1026</v>
      </c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>
        <v>1</v>
      </c>
      <c r="P75" s="92"/>
      <c r="Q75" s="95"/>
      <c r="R75" s="98"/>
      <c r="S75" s="5"/>
      <c r="T75" s="71"/>
      <c r="U75" s="104"/>
      <c r="V75" s="47"/>
    </row>
    <row r="76" spans="2:22" x14ac:dyDescent="0.3">
      <c r="B76" t="s">
        <v>1256</v>
      </c>
      <c r="C76" s="96" t="s">
        <v>1027</v>
      </c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>
        <v>1</v>
      </c>
      <c r="P76" s="92"/>
      <c r="Q76" s="95"/>
      <c r="R76" s="98"/>
      <c r="S76" s="5"/>
      <c r="T76" s="71"/>
      <c r="U76" s="104"/>
      <c r="V76" s="47"/>
    </row>
    <row r="77" spans="2:22" x14ac:dyDescent="0.3">
      <c r="B77" t="s">
        <v>1256</v>
      </c>
      <c r="C77" s="96" t="s">
        <v>1028</v>
      </c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>
        <v>1</v>
      </c>
      <c r="P77" s="92"/>
      <c r="Q77" s="95"/>
      <c r="R77" s="98"/>
      <c r="S77" s="5"/>
      <c r="T77" s="71"/>
      <c r="U77" s="104"/>
      <c r="V77" s="47"/>
    </row>
    <row r="78" spans="2:22" x14ac:dyDescent="0.3">
      <c r="B78" t="s">
        <v>1256</v>
      </c>
      <c r="C78" s="96" t="s">
        <v>1029</v>
      </c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>
        <v>1</v>
      </c>
      <c r="P78" s="92"/>
      <c r="Q78" s="95"/>
      <c r="R78" s="98"/>
      <c r="S78" s="5"/>
      <c r="T78" s="71"/>
      <c r="U78" s="104"/>
      <c r="V78" s="47"/>
    </row>
    <row r="79" spans="2:22" x14ac:dyDescent="0.3">
      <c r="B79" t="s">
        <v>1256</v>
      </c>
      <c r="C79" s="92" t="s">
        <v>678</v>
      </c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>
        <v>1</v>
      </c>
      <c r="Q79" s="95"/>
      <c r="R79" s="98"/>
      <c r="S79" s="5"/>
      <c r="T79" s="71"/>
      <c r="U79" s="104"/>
      <c r="V79" s="47"/>
    </row>
    <row r="80" spans="2:22" x14ac:dyDescent="0.3">
      <c r="B80" t="s">
        <v>1256</v>
      </c>
      <c r="C80" s="92" t="s">
        <v>679</v>
      </c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>
        <v>1</v>
      </c>
      <c r="Q80" s="95"/>
      <c r="R80" s="98"/>
      <c r="S80" s="5"/>
      <c r="T80" s="71"/>
      <c r="U80" s="104"/>
      <c r="V80" s="47"/>
    </row>
    <row r="81" spans="2:22" x14ac:dyDescent="0.3">
      <c r="B81" t="s">
        <v>1256</v>
      </c>
      <c r="C81" s="92" t="s">
        <v>680</v>
      </c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>
        <v>1</v>
      </c>
      <c r="Q81" s="95"/>
      <c r="R81" s="98"/>
      <c r="S81" s="5"/>
      <c r="T81" s="71"/>
      <c r="U81" s="104"/>
      <c r="V81" s="47"/>
    </row>
    <row r="82" spans="2:22" x14ac:dyDescent="0.3">
      <c r="B82" t="s">
        <v>1256</v>
      </c>
      <c r="C82" s="92" t="s">
        <v>681</v>
      </c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>
        <v>1</v>
      </c>
      <c r="Q82" s="95"/>
      <c r="R82" s="98"/>
      <c r="S82" s="5"/>
      <c r="T82" s="71"/>
      <c r="U82" s="104"/>
      <c r="V82" s="47"/>
    </row>
    <row r="83" spans="2:22" x14ac:dyDescent="0.3">
      <c r="B83" t="s">
        <v>1256</v>
      </c>
      <c r="C83" s="92" t="s">
        <v>682</v>
      </c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>
        <v>1</v>
      </c>
      <c r="Q83" s="95"/>
      <c r="R83" s="98"/>
      <c r="S83" s="5"/>
      <c r="T83" s="71"/>
      <c r="U83" s="104"/>
      <c r="V83" s="47"/>
    </row>
    <row r="84" spans="2:22" x14ac:dyDescent="0.3">
      <c r="B84" t="s">
        <v>1256</v>
      </c>
      <c r="C84" s="92" t="s">
        <v>683</v>
      </c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>
        <v>1</v>
      </c>
      <c r="Q84" s="95"/>
      <c r="R84" s="98"/>
      <c r="S84" s="5"/>
      <c r="T84" s="71"/>
      <c r="U84" s="104"/>
      <c r="V84" s="47"/>
    </row>
    <row r="85" spans="2:22" x14ac:dyDescent="0.3">
      <c r="B85" t="s">
        <v>1256</v>
      </c>
      <c r="C85" s="92" t="s">
        <v>684</v>
      </c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>
        <v>1</v>
      </c>
      <c r="Q85" s="95"/>
      <c r="R85" s="98"/>
      <c r="S85" s="5"/>
      <c r="T85" s="71"/>
      <c r="U85" s="104"/>
      <c r="V85" s="47"/>
    </row>
    <row r="86" spans="2:22" x14ac:dyDescent="0.3">
      <c r="B86" t="s">
        <v>1256</v>
      </c>
      <c r="C86" s="92" t="s">
        <v>685</v>
      </c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>
        <v>1</v>
      </c>
      <c r="Q86" s="95"/>
      <c r="R86" s="98"/>
      <c r="S86" s="5"/>
      <c r="T86" s="71"/>
      <c r="U86" s="104"/>
      <c r="V86" s="47"/>
    </row>
    <row r="87" spans="2:22" x14ac:dyDescent="0.3">
      <c r="B87" t="s">
        <v>1256</v>
      </c>
      <c r="C87" s="92" t="s">
        <v>695</v>
      </c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>
        <v>1</v>
      </c>
      <c r="Q87" s="95"/>
      <c r="R87" s="98"/>
      <c r="S87" s="5"/>
      <c r="T87" s="71"/>
      <c r="U87" s="104"/>
      <c r="V87" s="47"/>
    </row>
    <row r="88" spans="2:22" x14ac:dyDescent="0.3">
      <c r="B88" t="s">
        <v>1256</v>
      </c>
      <c r="C88" s="95" t="s">
        <v>686</v>
      </c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>
        <v>1</v>
      </c>
      <c r="R88" s="98"/>
      <c r="S88" s="5"/>
      <c r="T88" s="71"/>
      <c r="U88" s="104"/>
      <c r="V88" s="47"/>
    </row>
    <row r="89" spans="2:22" x14ac:dyDescent="0.3">
      <c r="B89" t="s">
        <v>1256</v>
      </c>
      <c r="C89" s="95" t="s">
        <v>1179</v>
      </c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>
        <v>1</v>
      </c>
      <c r="R89" s="98"/>
      <c r="S89" s="5"/>
      <c r="T89" s="71"/>
      <c r="U89" s="104"/>
      <c r="V89" s="47"/>
    </row>
    <row r="90" spans="2:22" x14ac:dyDescent="0.3">
      <c r="B90" t="s">
        <v>1256</v>
      </c>
      <c r="C90" s="95" t="s">
        <v>687</v>
      </c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>
        <v>1</v>
      </c>
      <c r="R90" s="98"/>
      <c r="S90" s="5"/>
      <c r="T90" s="71"/>
      <c r="U90" s="104"/>
      <c r="V90" s="47"/>
    </row>
    <row r="91" spans="2:22" x14ac:dyDescent="0.3">
      <c r="B91" t="s">
        <v>1256</v>
      </c>
      <c r="C91" s="95" t="s">
        <v>688</v>
      </c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>
        <v>1</v>
      </c>
      <c r="R91" s="98"/>
      <c r="S91" s="5"/>
      <c r="T91" s="71"/>
      <c r="U91" s="104"/>
      <c r="V91" s="47"/>
    </row>
    <row r="92" spans="2:22" x14ac:dyDescent="0.3">
      <c r="B92" t="s">
        <v>1256</v>
      </c>
      <c r="C92" s="95" t="s">
        <v>689</v>
      </c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>
        <v>1</v>
      </c>
      <c r="R92" s="98"/>
      <c r="S92" s="5"/>
      <c r="T92" s="71"/>
      <c r="U92" s="104"/>
      <c r="V92" s="47"/>
    </row>
    <row r="93" spans="2:22" x14ac:dyDescent="0.3">
      <c r="B93" t="s">
        <v>1256</v>
      </c>
      <c r="C93" s="95" t="s">
        <v>691</v>
      </c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>
        <v>1</v>
      </c>
      <c r="R93" s="98"/>
      <c r="S93" s="5"/>
      <c r="T93" s="71"/>
      <c r="U93" s="104"/>
      <c r="V93" s="47"/>
    </row>
    <row r="94" spans="2:22" x14ac:dyDescent="0.3">
      <c r="B94" t="s">
        <v>1256</v>
      </c>
      <c r="C94" s="95" t="s">
        <v>692</v>
      </c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>
        <v>1</v>
      </c>
      <c r="R94" s="98"/>
      <c r="S94" s="5"/>
      <c r="T94" s="71"/>
      <c r="U94" s="104"/>
      <c r="V94" s="47"/>
    </row>
    <row r="95" spans="2:22" x14ac:dyDescent="0.3">
      <c r="B95" t="s">
        <v>1256</v>
      </c>
      <c r="C95" s="98" t="s">
        <v>345</v>
      </c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>
        <v>1</v>
      </c>
      <c r="S95" s="5"/>
      <c r="T95" s="71"/>
      <c r="U95" s="104"/>
      <c r="V95" s="47"/>
    </row>
    <row r="96" spans="2:22" x14ac:dyDescent="0.3">
      <c r="B96" t="s">
        <v>1256</v>
      </c>
      <c r="C96" s="98" t="s">
        <v>346</v>
      </c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>
        <v>1</v>
      </c>
      <c r="S96" s="5"/>
      <c r="T96" s="71"/>
      <c r="U96" s="104"/>
      <c r="V96" s="47"/>
    </row>
    <row r="97" spans="2:22" x14ac:dyDescent="0.3">
      <c r="B97" s="98" t="s">
        <v>636</v>
      </c>
      <c r="C97" s="98" t="s">
        <v>346</v>
      </c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>
        <v>0.5</v>
      </c>
      <c r="S97" s="5"/>
      <c r="T97" s="71"/>
      <c r="U97" s="104">
        <v>0.5</v>
      </c>
      <c r="V97" s="47"/>
    </row>
    <row r="98" spans="2:22" x14ac:dyDescent="0.3">
      <c r="B98" s="98" t="s">
        <v>637</v>
      </c>
      <c r="C98" s="98" t="s">
        <v>346</v>
      </c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>
        <v>0.5</v>
      </c>
      <c r="S98" s="5"/>
      <c r="T98" s="71"/>
      <c r="U98" s="104">
        <v>0.5</v>
      </c>
      <c r="V98" s="47"/>
    </row>
    <row r="99" spans="2:22" x14ac:dyDescent="0.3">
      <c r="B99" s="98" t="s">
        <v>638</v>
      </c>
      <c r="C99" s="98" t="s">
        <v>346</v>
      </c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>
        <v>0.5</v>
      </c>
      <c r="S99" s="5"/>
      <c r="T99" s="71"/>
      <c r="U99" s="104">
        <v>0.5</v>
      </c>
      <c r="V99" s="47"/>
    </row>
    <row r="100" spans="2:22" x14ac:dyDescent="0.3">
      <c r="B100" s="98" t="s">
        <v>639</v>
      </c>
      <c r="C100" s="98" t="s">
        <v>346</v>
      </c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>
        <v>0.5</v>
      </c>
      <c r="S100" s="5"/>
      <c r="T100" s="71"/>
      <c r="U100" s="104">
        <v>0.5</v>
      </c>
      <c r="V100" s="47"/>
    </row>
    <row r="101" spans="2:22" x14ac:dyDescent="0.3">
      <c r="B101" s="98" t="s">
        <v>640</v>
      </c>
      <c r="C101" s="98" t="s">
        <v>346</v>
      </c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>
        <v>0.5</v>
      </c>
      <c r="S101" s="5"/>
      <c r="T101" s="71"/>
      <c r="U101" s="104">
        <v>0.5</v>
      </c>
      <c r="V101" s="47"/>
    </row>
    <row r="102" spans="2:22" x14ac:dyDescent="0.3">
      <c r="B102" s="98" t="s">
        <v>641</v>
      </c>
      <c r="C102" s="98" t="s">
        <v>346</v>
      </c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>
        <v>0.5</v>
      </c>
      <c r="S102" s="5"/>
      <c r="T102" s="71"/>
      <c r="U102" s="104">
        <v>0.5</v>
      </c>
      <c r="V102" s="47"/>
    </row>
    <row r="103" spans="2:22" x14ac:dyDescent="0.3">
      <c r="B103" s="98" t="s">
        <v>642</v>
      </c>
      <c r="C103" s="98" t="s">
        <v>346</v>
      </c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>
        <v>0.5</v>
      </c>
      <c r="S103" s="5"/>
      <c r="T103" s="71"/>
      <c r="U103" s="104">
        <v>0.5</v>
      </c>
      <c r="V103" s="47"/>
    </row>
    <row r="104" spans="2:22" x14ac:dyDescent="0.3">
      <c r="B104" s="98" t="s">
        <v>643</v>
      </c>
      <c r="C104" s="98" t="s">
        <v>346</v>
      </c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>
        <v>0.5</v>
      </c>
      <c r="S104" s="5"/>
      <c r="T104" s="71"/>
      <c r="U104" s="104">
        <v>0.5</v>
      </c>
      <c r="V104" s="47"/>
    </row>
    <row r="105" spans="2:22" x14ac:dyDescent="0.3">
      <c r="B105" t="s">
        <v>1256</v>
      </c>
      <c r="C105" s="5" t="s">
        <v>738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1</v>
      </c>
      <c r="T105" s="71"/>
      <c r="U105" s="104"/>
      <c r="V105" s="47"/>
    </row>
    <row r="106" spans="2:22" x14ac:dyDescent="0.3">
      <c r="B106" t="s">
        <v>1256</v>
      </c>
      <c r="C106" s="5" t="s">
        <v>739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>
        <v>1</v>
      </c>
      <c r="T106" s="71"/>
      <c r="U106" s="104"/>
      <c r="V106" s="47"/>
    </row>
    <row r="107" spans="2:22" x14ac:dyDescent="0.3">
      <c r="B107" t="s">
        <v>1256</v>
      </c>
      <c r="C107" s="5" t="s">
        <v>139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>
        <v>1</v>
      </c>
      <c r="T107" s="71"/>
      <c r="U107" s="104"/>
      <c r="V107" s="47"/>
    </row>
    <row r="108" spans="2:22" x14ac:dyDescent="0.3">
      <c r="B108" t="s">
        <v>1256</v>
      </c>
      <c r="C108" s="5" t="s">
        <v>690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>
        <v>1</v>
      </c>
      <c r="T108" s="71"/>
      <c r="U108" s="104"/>
      <c r="V108" s="47"/>
    </row>
    <row r="109" spans="2:22" x14ac:dyDescent="0.3">
      <c r="B109" t="s">
        <v>1256</v>
      </c>
      <c r="C109" s="5" t="s">
        <v>141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>
        <v>1</v>
      </c>
      <c r="T109" s="71"/>
      <c r="U109" s="104"/>
      <c r="V109" s="47"/>
    </row>
    <row r="110" spans="2:22" x14ac:dyDescent="0.3">
      <c r="B110" t="s">
        <v>1256</v>
      </c>
      <c r="C110" s="5" t="s">
        <v>693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>
        <v>1</v>
      </c>
      <c r="T110" s="71"/>
      <c r="U110" s="104"/>
      <c r="V110" s="47"/>
    </row>
    <row r="111" spans="2:22" x14ac:dyDescent="0.3">
      <c r="B111" t="s">
        <v>1256</v>
      </c>
      <c r="C111" s="5" t="s">
        <v>694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>
        <v>1</v>
      </c>
      <c r="T111" s="71"/>
      <c r="U111" s="104"/>
      <c r="V111" s="47"/>
    </row>
    <row r="112" spans="2:22" x14ac:dyDescent="0.3">
      <c r="B112" t="s">
        <v>1256</v>
      </c>
      <c r="C112" s="5" t="s">
        <v>696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>
        <v>1</v>
      </c>
      <c r="T112" s="71"/>
      <c r="U112" s="104"/>
      <c r="V112" s="47"/>
    </row>
    <row r="113" spans="2:22" x14ac:dyDescent="0.3">
      <c r="B113" t="s">
        <v>1256</v>
      </c>
      <c r="C113" s="5" t="s">
        <v>697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>
        <v>1</v>
      </c>
      <c r="T113" s="71"/>
      <c r="U113" s="104"/>
      <c r="V113" s="47"/>
    </row>
    <row r="114" spans="2:22" x14ac:dyDescent="0.3">
      <c r="B114" t="s">
        <v>1256</v>
      </c>
      <c r="C114" s="5" t="s">
        <v>142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>
        <v>1</v>
      </c>
      <c r="T114" s="71"/>
      <c r="U114" s="104"/>
      <c r="V114" s="47"/>
    </row>
    <row r="115" spans="2:22" x14ac:dyDescent="0.3">
      <c r="B115" t="s">
        <v>1256</v>
      </c>
      <c r="C115" s="5" t="s">
        <v>143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>
        <v>1</v>
      </c>
      <c r="T115" s="71"/>
      <c r="U115" s="104"/>
      <c r="V115" s="47"/>
    </row>
    <row r="116" spans="2:22" x14ac:dyDescent="0.3">
      <c r="B116" t="s">
        <v>1256</v>
      </c>
      <c r="C116" s="5" t="s">
        <v>698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>
        <v>1</v>
      </c>
      <c r="T116" s="71"/>
      <c r="U116" s="104"/>
      <c r="V116" s="47"/>
    </row>
    <row r="117" spans="2:22" x14ac:dyDescent="0.3">
      <c r="B117" t="s">
        <v>1256</v>
      </c>
      <c r="C117" s="5" t="s">
        <v>699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>
        <v>1</v>
      </c>
      <c r="T117" s="71"/>
      <c r="U117" s="104"/>
      <c r="V117" s="47"/>
    </row>
    <row r="118" spans="2:22" x14ac:dyDescent="0.3">
      <c r="B118" t="s">
        <v>1256</v>
      </c>
      <c r="C118" s="5" t="s">
        <v>700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>
        <v>1</v>
      </c>
      <c r="T118" s="71"/>
      <c r="U118" s="104"/>
      <c r="V118" s="47"/>
    </row>
    <row r="119" spans="2:22" x14ac:dyDescent="0.3">
      <c r="B119" t="s">
        <v>1256</v>
      </c>
      <c r="C119" s="5" t="s">
        <v>701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>
        <v>1</v>
      </c>
      <c r="T119" s="71"/>
      <c r="U119" s="104"/>
      <c r="V119" s="47"/>
    </row>
    <row r="120" spans="2:22" x14ac:dyDescent="0.3">
      <c r="B120" t="s">
        <v>1256</v>
      </c>
      <c r="C120" s="5" t="s">
        <v>145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>
        <v>1</v>
      </c>
      <c r="T120" s="71"/>
      <c r="U120" s="104"/>
      <c r="V120" s="47"/>
    </row>
    <row r="121" spans="2:22" x14ac:dyDescent="0.3">
      <c r="B121" t="s">
        <v>1256</v>
      </c>
      <c r="C121" s="5" t="s">
        <v>146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>
        <v>1</v>
      </c>
      <c r="T121" s="71"/>
      <c r="U121" s="104"/>
      <c r="V121" s="47"/>
    </row>
    <row r="122" spans="2:22" x14ac:dyDescent="0.3">
      <c r="B122" t="s">
        <v>1256</v>
      </c>
      <c r="C122" s="5" t="s">
        <v>702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>
        <v>1</v>
      </c>
      <c r="T122" s="71"/>
      <c r="U122" s="104"/>
      <c r="V122" s="47"/>
    </row>
    <row r="123" spans="2:22" x14ac:dyDescent="0.3">
      <c r="B123" t="s">
        <v>1256</v>
      </c>
      <c r="C123" s="5" t="s">
        <v>364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>
        <v>1</v>
      </c>
      <c r="T123" s="71"/>
      <c r="U123" s="104"/>
      <c r="V123" s="47"/>
    </row>
    <row r="124" spans="2:22" x14ac:dyDescent="0.3">
      <c r="B124" t="s">
        <v>1256</v>
      </c>
      <c r="C124" s="5" t="s">
        <v>268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>
        <v>1</v>
      </c>
      <c r="T124" s="71"/>
      <c r="U124" s="104"/>
      <c r="V124" s="47"/>
    </row>
    <row r="125" spans="2:22" x14ac:dyDescent="0.3">
      <c r="B125" t="s">
        <v>1256</v>
      </c>
      <c r="C125" s="5" t="s">
        <v>270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>
        <v>1</v>
      </c>
      <c r="T125" s="71"/>
      <c r="U125" s="104"/>
      <c r="V125" s="47"/>
    </row>
    <row r="126" spans="2:22" x14ac:dyDescent="0.3">
      <c r="B126" t="s">
        <v>1256</v>
      </c>
      <c r="C126" s="5" t="s">
        <v>272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>
        <v>1</v>
      </c>
      <c r="T126" s="71"/>
      <c r="U126" s="104"/>
      <c r="V126" s="47"/>
    </row>
    <row r="127" spans="2:22" x14ac:dyDescent="0.3">
      <c r="B127" t="s">
        <v>1256</v>
      </c>
      <c r="C127" s="5" t="s">
        <v>274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>
        <v>1</v>
      </c>
      <c r="T127" s="71"/>
      <c r="U127" s="104"/>
      <c r="V127" s="47"/>
    </row>
    <row r="128" spans="2:22" x14ac:dyDescent="0.3">
      <c r="B128" t="s">
        <v>1256</v>
      </c>
      <c r="C128" s="5" t="s">
        <v>703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>
        <v>1</v>
      </c>
      <c r="T128" s="71"/>
      <c r="U128" s="104"/>
      <c r="V128" s="47"/>
    </row>
    <row r="129" spans="2:22" x14ac:dyDescent="0.3">
      <c r="B129" t="s">
        <v>1256</v>
      </c>
      <c r="C129" s="5" t="s">
        <v>704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>
        <v>1</v>
      </c>
      <c r="T129" s="71"/>
      <c r="U129" s="104"/>
      <c r="V129" s="47"/>
    </row>
    <row r="130" spans="2:22" x14ac:dyDescent="0.3">
      <c r="B130" t="s">
        <v>1256</v>
      </c>
      <c r="C130" s="5" t="s">
        <v>276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>
        <v>1</v>
      </c>
      <c r="T130" s="71"/>
      <c r="U130" s="104"/>
      <c r="V130" s="47"/>
    </row>
    <row r="131" spans="2:22" x14ac:dyDescent="0.3">
      <c r="B131" t="s">
        <v>1256</v>
      </c>
      <c r="C131" s="5" t="s">
        <v>705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>
        <v>1</v>
      </c>
      <c r="T131" s="71"/>
      <c r="U131" s="104"/>
      <c r="V131" s="47"/>
    </row>
    <row r="132" spans="2:22" x14ac:dyDescent="0.3">
      <c r="B132" t="s">
        <v>1256</v>
      </c>
      <c r="C132" s="5" t="s">
        <v>147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>
        <v>1</v>
      </c>
      <c r="T132" s="71"/>
      <c r="U132" s="104"/>
      <c r="V132" s="47"/>
    </row>
    <row r="133" spans="2:22" x14ac:dyDescent="0.3">
      <c r="B133" t="s">
        <v>1256</v>
      </c>
      <c r="C133" s="5" t="s">
        <v>150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>
        <v>1</v>
      </c>
      <c r="T133" s="71"/>
      <c r="U133" s="104"/>
      <c r="V133" s="47"/>
    </row>
    <row r="134" spans="2:22" x14ac:dyDescent="0.3">
      <c r="B134" t="s">
        <v>1256</v>
      </c>
      <c r="C134" s="5" t="s">
        <v>151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>
        <v>1</v>
      </c>
      <c r="T134" s="71"/>
      <c r="U134" s="104"/>
      <c r="V134" s="47"/>
    </row>
    <row r="135" spans="2:22" x14ac:dyDescent="0.3">
      <c r="B135" t="s">
        <v>1256</v>
      </c>
      <c r="C135" s="5" t="s">
        <v>152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>
        <v>1</v>
      </c>
      <c r="T135" s="71"/>
      <c r="U135" s="104"/>
      <c r="V135" s="47"/>
    </row>
    <row r="136" spans="2:22" x14ac:dyDescent="0.3">
      <c r="B136" t="s">
        <v>1256</v>
      </c>
      <c r="C136" s="5" t="s">
        <v>153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>
        <v>1</v>
      </c>
      <c r="T136" s="71"/>
      <c r="U136" s="104"/>
      <c r="V136" s="47"/>
    </row>
    <row r="137" spans="2:22" x14ac:dyDescent="0.3">
      <c r="B137" t="s">
        <v>1256</v>
      </c>
      <c r="C137" s="5" t="s">
        <v>154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>
        <v>1</v>
      </c>
      <c r="T137" s="71"/>
      <c r="U137" s="104"/>
      <c r="V137" s="47"/>
    </row>
    <row r="138" spans="2:22" x14ac:dyDescent="0.3">
      <c r="B138" t="s">
        <v>1256</v>
      </c>
      <c r="C138" s="5" t="s">
        <v>155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>
        <v>1</v>
      </c>
      <c r="T138" s="71"/>
      <c r="U138" s="104"/>
      <c r="V138" s="47"/>
    </row>
    <row r="139" spans="2:22" x14ac:dyDescent="0.3">
      <c r="B139" t="s">
        <v>1256</v>
      </c>
      <c r="C139" s="5" t="s">
        <v>706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>
        <v>1</v>
      </c>
      <c r="T139" s="71"/>
      <c r="U139" s="104"/>
      <c r="V139" s="47"/>
    </row>
    <row r="140" spans="2:22" x14ac:dyDescent="0.3">
      <c r="B140" t="s">
        <v>1256</v>
      </c>
      <c r="C140" s="5" t="s">
        <v>156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>
        <v>1</v>
      </c>
      <c r="T140" s="71"/>
      <c r="U140" s="104"/>
      <c r="V140" s="47"/>
    </row>
    <row r="141" spans="2:22" x14ac:dyDescent="0.3">
      <c r="B141" t="s">
        <v>1256</v>
      </c>
      <c r="C141" s="5" t="s">
        <v>157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>
        <v>1</v>
      </c>
      <c r="T141" s="71"/>
      <c r="U141" s="104"/>
      <c r="V141" s="47"/>
    </row>
    <row r="142" spans="2:22" x14ac:dyDescent="0.3">
      <c r="B142" t="s">
        <v>1256</v>
      </c>
      <c r="C142" s="5" t="s">
        <v>158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>
        <v>1</v>
      </c>
      <c r="T142" s="71"/>
      <c r="U142" s="104"/>
      <c r="V142" s="47"/>
    </row>
    <row r="143" spans="2:22" x14ac:dyDescent="0.3">
      <c r="B143" t="s">
        <v>1256</v>
      </c>
      <c r="C143" s="5" t="s">
        <v>707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>
        <v>1</v>
      </c>
      <c r="T143" s="71"/>
      <c r="U143" s="104"/>
      <c r="V143" s="47"/>
    </row>
    <row r="144" spans="2:22" x14ac:dyDescent="0.3">
      <c r="B144" t="s">
        <v>1256</v>
      </c>
      <c r="C144" s="5" t="s">
        <v>708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>
        <v>1</v>
      </c>
      <c r="T144" s="71"/>
      <c r="U144" s="104"/>
      <c r="V144" s="47"/>
    </row>
    <row r="145" spans="2:22" x14ac:dyDescent="0.3">
      <c r="B145" t="s">
        <v>1256</v>
      </c>
      <c r="C145" s="5" t="s">
        <v>709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>
        <v>1</v>
      </c>
      <c r="T145" s="71"/>
      <c r="U145" s="104"/>
      <c r="V145" s="47"/>
    </row>
    <row r="146" spans="2:22" x14ac:dyDescent="0.3">
      <c r="B146" t="s">
        <v>1256</v>
      </c>
      <c r="C146" s="5" t="s">
        <v>159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>
        <v>1</v>
      </c>
      <c r="T146" s="71"/>
      <c r="U146" s="104"/>
      <c r="V146" s="47"/>
    </row>
    <row r="147" spans="2:22" x14ac:dyDescent="0.3">
      <c r="B147" t="s">
        <v>1256</v>
      </c>
      <c r="C147" s="5" t="s">
        <v>160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>
        <v>1</v>
      </c>
      <c r="T147" s="71"/>
      <c r="U147" s="104"/>
      <c r="V147" s="47"/>
    </row>
    <row r="148" spans="2:22" x14ac:dyDescent="0.3">
      <c r="B148" t="s">
        <v>1256</v>
      </c>
      <c r="C148" s="5" t="s">
        <v>161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>
        <v>1</v>
      </c>
      <c r="T148" s="71"/>
      <c r="U148" s="104"/>
      <c r="V148" s="47"/>
    </row>
    <row r="149" spans="2:22" x14ac:dyDescent="0.3">
      <c r="B149" t="s">
        <v>1256</v>
      </c>
      <c r="C149" s="99" t="s">
        <v>710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>
        <v>1</v>
      </c>
      <c r="T149" s="71"/>
      <c r="U149" s="104"/>
      <c r="V149" s="47"/>
    </row>
    <row r="150" spans="2:22" x14ac:dyDescent="0.3">
      <c r="B150" t="s">
        <v>1256</v>
      </c>
      <c r="C150" s="5" t="s">
        <v>1131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>
        <v>1</v>
      </c>
      <c r="T150" s="71"/>
      <c r="U150" s="104"/>
      <c r="V150" s="47"/>
    </row>
    <row r="151" spans="2:22" x14ac:dyDescent="0.3">
      <c r="B151" t="s">
        <v>1256</v>
      </c>
      <c r="C151" s="5" t="s">
        <v>149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>
        <v>1</v>
      </c>
      <c r="T151" s="71"/>
      <c r="U151" s="104"/>
      <c r="V151" s="47"/>
    </row>
    <row r="152" spans="2:22" x14ac:dyDescent="0.3">
      <c r="B152" s="5" t="s">
        <v>644</v>
      </c>
      <c r="C152" s="5" t="s">
        <v>738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>
        <v>0.5</v>
      </c>
      <c r="T152" s="71"/>
      <c r="U152" s="104"/>
      <c r="V152" s="47">
        <v>0.5</v>
      </c>
    </row>
    <row r="153" spans="2:22" x14ac:dyDescent="0.3">
      <c r="B153" s="5" t="s">
        <v>645</v>
      </c>
      <c r="C153" s="5" t="s">
        <v>738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>
        <v>0.5</v>
      </c>
      <c r="T153" s="71"/>
      <c r="U153" s="104"/>
      <c r="V153" s="47">
        <v>0.5</v>
      </c>
    </row>
    <row r="154" spans="2:22" x14ac:dyDescent="0.3">
      <c r="B154" s="5" t="s">
        <v>646</v>
      </c>
      <c r="C154" s="5" t="s">
        <v>738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>
        <v>0.5</v>
      </c>
      <c r="T154" s="71"/>
      <c r="U154" s="104"/>
      <c r="V154" s="47">
        <v>0.5</v>
      </c>
    </row>
    <row r="155" spans="2:22" x14ac:dyDescent="0.3">
      <c r="B155" s="5" t="s">
        <v>1176</v>
      </c>
      <c r="C155" s="5" t="s">
        <v>738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>
        <v>0.5</v>
      </c>
      <c r="T155" s="71"/>
      <c r="U155" s="104"/>
      <c r="V155" s="47">
        <v>0.5</v>
      </c>
    </row>
    <row r="156" spans="2:22" x14ac:dyDescent="0.3">
      <c r="B156" s="5" t="s">
        <v>647</v>
      </c>
      <c r="C156" s="5" t="s">
        <v>738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>
        <v>0.5</v>
      </c>
      <c r="T156" s="71"/>
      <c r="U156" s="104"/>
      <c r="V156" s="47">
        <v>0.5</v>
      </c>
    </row>
    <row r="157" spans="2:22" x14ac:dyDescent="0.3">
      <c r="B157" s="5" t="s">
        <v>248</v>
      </c>
      <c r="C157" s="5" t="s">
        <v>241</v>
      </c>
      <c r="D157" s="5"/>
      <c r="E157" s="5"/>
      <c r="F157" s="5"/>
      <c r="G157" s="5"/>
      <c r="H157" s="5"/>
      <c r="I157" s="5"/>
      <c r="J157" s="5"/>
      <c r="K157" s="5"/>
      <c r="L157" s="5"/>
      <c r="M157" s="5">
        <v>0.05</v>
      </c>
      <c r="N157" s="5"/>
      <c r="O157" s="5"/>
      <c r="P157" s="5"/>
      <c r="Q157" s="5"/>
      <c r="R157" s="5"/>
      <c r="S157" s="5">
        <v>0.95</v>
      </c>
      <c r="T157" s="71"/>
      <c r="U157" s="104"/>
      <c r="V157" s="47"/>
    </row>
    <row r="158" spans="2:22" x14ac:dyDescent="0.3">
      <c r="B158" s="5" t="s">
        <v>248</v>
      </c>
      <c r="C158" s="5" t="s">
        <v>144</v>
      </c>
      <c r="D158" s="5"/>
      <c r="E158" s="5"/>
      <c r="F158" s="5"/>
      <c r="G158" s="5"/>
      <c r="H158" s="5"/>
      <c r="I158" s="5"/>
      <c r="J158" s="5">
        <v>0.05</v>
      </c>
      <c r="K158" s="5"/>
      <c r="L158" s="5"/>
      <c r="M158" s="5"/>
      <c r="N158" s="5"/>
      <c r="O158" s="5"/>
      <c r="P158" s="5"/>
      <c r="Q158" s="5"/>
      <c r="R158" s="5"/>
      <c r="S158" s="5">
        <v>0.95</v>
      </c>
      <c r="T158" s="71"/>
      <c r="U158" s="104"/>
      <c r="V158" s="47"/>
    </row>
    <row r="159" spans="2:22" x14ac:dyDescent="0.3">
      <c r="B159" s="5" t="s">
        <v>262</v>
      </c>
      <c r="C159" s="5" t="s">
        <v>241</v>
      </c>
      <c r="D159" s="5"/>
      <c r="E159" s="5"/>
      <c r="F159" s="5"/>
      <c r="G159" s="5"/>
      <c r="H159" s="5"/>
      <c r="I159" s="5"/>
      <c r="J159" s="5"/>
      <c r="K159" s="5"/>
      <c r="L159" s="5"/>
      <c r="M159" s="5">
        <v>0.2</v>
      </c>
      <c r="N159" s="5"/>
      <c r="O159" s="5"/>
      <c r="P159" s="5"/>
      <c r="Q159" s="5"/>
      <c r="R159" s="5"/>
      <c r="S159" s="5">
        <v>0.8</v>
      </c>
      <c r="T159" s="71"/>
      <c r="U159" s="104"/>
      <c r="V159" s="47"/>
    </row>
    <row r="160" spans="2:22" x14ac:dyDescent="0.3">
      <c r="B160" s="5" t="s">
        <v>262</v>
      </c>
      <c r="C160" s="5" t="s">
        <v>144</v>
      </c>
      <c r="D160" s="5"/>
      <c r="E160" s="5"/>
      <c r="F160" s="5"/>
      <c r="G160" s="5"/>
      <c r="H160" s="5"/>
      <c r="I160" s="5"/>
      <c r="J160" s="5">
        <v>0.2</v>
      </c>
      <c r="K160" s="5"/>
      <c r="L160" s="5"/>
      <c r="M160" s="5"/>
      <c r="N160" s="5"/>
      <c r="O160" s="5"/>
      <c r="P160" s="5"/>
      <c r="Q160" s="5"/>
      <c r="R160" s="5"/>
      <c r="S160" s="5">
        <v>0.8</v>
      </c>
      <c r="T160" s="71"/>
      <c r="U160" s="104"/>
      <c r="V160" s="47"/>
    </row>
    <row r="161" spans="2:22" x14ac:dyDescent="0.3">
      <c r="B161" s="5" t="s">
        <v>660</v>
      </c>
      <c r="C161" s="5" t="s">
        <v>241</v>
      </c>
      <c r="D161" s="5"/>
      <c r="E161" s="5"/>
      <c r="F161" s="5"/>
      <c r="G161" s="5"/>
      <c r="H161" s="5"/>
      <c r="I161" s="5"/>
      <c r="J161" s="5"/>
      <c r="K161" s="5"/>
      <c r="L161" s="5"/>
      <c r="M161" s="5">
        <v>0.2</v>
      </c>
      <c r="N161" s="5"/>
      <c r="O161" s="5"/>
      <c r="P161" s="5"/>
      <c r="Q161" s="5"/>
      <c r="R161" s="5"/>
      <c r="S161" s="5">
        <v>0.8</v>
      </c>
      <c r="T161" s="71"/>
      <c r="U161" s="104"/>
      <c r="V161" s="47"/>
    </row>
    <row r="162" spans="2:22" x14ac:dyDescent="0.3">
      <c r="B162" s="5" t="s">
        <v>660</v>
      </c>
      <c r="C162" s="5" t="s">
        <v>144</v>
      </c>
      <c r="D162" s="5"/>
      <c r="E162" s="5"/>
      <c r="F162" s="5"/>
      <c r="G162" s="5"/>
      <c r="H162" s="5"/>
      <c r="I162" s="5"/>
      <c r="J162" s="5">
        <v>0.2</v>
      </c>
      <c r="K162" s="5"/>
      <c r="L162" s="5"/>
      <c r="M162" s="5"/>
      <c r="N162" s="5"/>
      <c r="O162" s="5"/>
      <c r="P162" s="5"/>
      <c r="Q162" s="5"/>
      <c r="R162" s="5"/>
      <c r="S162" s="5">
        <v>0.8</v>
      </c>
      <c r="T162" s="71"/>
      <c r="U162" s="104"/>
      <c r="V162" s="47"/>
    </row>
    <row r="163" spans="2:22" x14ac:dyDescent="0.3">
      <c r="B163" s="71" t="s">
        <v>636</v>
      </c>
      <c r="C163" s="71" t="s">
        <v>923</v>
      </c>
      <c r="D163" s="71"/>
      <c r="E163" s="71"/>
      <c r="F163" s="71"/>
      <c r="G163" s="71"/>
      <c r="H163" s="71" t="s">
        <v>110</v>
      </c>
      <c r="I163" s="71"/>
      <c r="J163" s="71"/>
      <c r="K163" s="71"/>
      <c r="L163" s="71"/>
      <c r="M163" s="71"/>
      <c r="N163" s="71"/>
      <c r="O163" s="71"/>
      <c r="P163" s="71"/>
      <c r="Q163" s="71"/>
      <c r="R163" s="71" t="s">
        <v>465</v>
      </c>
      <c r="S163" s="71"/>
      <c r="T163" s="71">
        <v>1</v>
      </c>
      <c r="U163" s="104"/>
      <c r="V163" s="47"/>
    </row>
    <row r="164" spans="2:22" x14ac:dyDescent="0.3">
      <c r="B164" s="71" t="s">
        <v>637</v>
      </c>
      <c r="C164" s="71" t="s">
        <v>923</v>
      </c>
      <c r="D164" s="71"/>
      <c r="E164" s="71"/>
      <c r="F164" s="71"/>
      <c r="G164" s="71"/>
      <c r="H164" s="71" t="s">
        <v>110</v>
      </c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>
        <v>1</v>
      </c>
      <c r="U164" s="104"/>
      <c r="V164" s="47"/>
    </row>
    <row r="165" spans="2:22" x14ac:dyDescent="0.3">
      <c r="B165" s="71" t="s">
        <v>638</v>
      </c>
      <c r="C165" s="71" t="s">
        <v>923</v>
      </c>
      <c r="D165" s="71"/>
      <c r="E165" s="71"/>
      <c r="F165" s="71"/>
      <c r="G165" s="71"/>
      <c r="H165" s="71" t="s">
        <v>110</v>
      </c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>
        <v>1</v>
      </c>
      <c r="U165" s="104"/>
      <c r="V165" s="47"/>
    </row>
    <row r="166" spans="2:22" x14ac:dyDescent="0.3">
      <c r="B166" s="71" t="s">
        <v>639</v>
      </c>
      <c r="C166" s="71" t="s">
        <v>923</v>
      </c>
      <c r="D166" s="71"/>
      <c r="E166" s="71"/>
      <c r="F166" s="71"/>
      <c r="G166" s="71"/>
      <c r="H166" s="71" t="s">
        <v>110</v>
      </c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>
        <v>1</v>
      </c>
      <c r="U166" s="104"/>
      <c r="V166" s="47"/>
    </row>
    <row r="167" spans="2:22" x14ac:dyDescent="0.3">
      <c r="B167" s="71" t="s">
        <v>640</v>
      </c>
      <c r="C167" s="71" t="s">
        <v>923</v>
      </c>
      <c r="D167" s="71"/>
      <c r="E167" s="71"/>
      <c r="F167" s="71"/>
      <c r="G167" s="71"/>
      <c r="H167" s="71" t="s">
        <v>110</v>
      </c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>
        <v>1</v>
      </c>
      <c r="U167" s="104"/>
      <c r="V167" s="47"/>
    </row>
    <row r="168" spans="2:22" x14ac:dyDescent="0.3">
      <c r="B168" s="71" t="s">
        <v>641</v>
      </c>
      <c r="C168" s="71" t="s">
        <v>923</v>
      </c>
      <c r="D168" s="71"/>
      <c r="E168" s="71"/>
      <c r="F168" s="71"/>
      <c r="G168" s="71"/>
      <c r="H168" s="71" t="s">
        <v>110</v>
      </c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>
        <v>1</v>
      </c>
      <c r="U168" s="104"/>
      <c r="V168" s="47"/>
    </row>
    <row r="169" spans="2:22" x14ac:dyDescent="0.3">
      <c r="B169" s="71" t="s">
        <v>642</v>
      </c>
      <c r="C169" s="71" t="s">
        <v>923</v>
      </c>
      <c r="D169" s="71"/>
      <c r="E169" s="71"/>
      <c r="F169" s="71"/>
      <c r="G169" s="71"/>
      <c r="H169" s="71" t="s">
        <v>110</v>
      </c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>
        <v>1</v>
      </c>
      <c r="U169" s="104"/>
      <c r="V169" s="47"/>
    </row>
    <row r="170" spans="2:22" x14ac:dyDescent="0.3">
      <c r="B170" s="71" t="s">
        <v>643</v>
      </c>
      <c r="C170" s="71" t="s">
        <v>923</v>
      </c>
      <c r="D170" s="71"/>
      <c r="E170" s="71"/>
      <c r="F170" s="71"/>
      <c r="G170" s="71"/>
      <c r="H170" s="71" t="s">
        <v>110</v>
      </c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>
        <v>1</v>
      </c>
      <c r="U170" s="104"/>
      <c r="V170" s="47"/>
    </row>
    <row r="171" spans="2:22" x14ac:dyDescent="0.3">
      <c r="B171" s="71" t="s">
        <v>636</v>
      </c>
      <c r="C171" s="71" t="s">
        <v>1065</v>
      </c>
      <c r="D171" s="71"/>
      <c r="E171" s="71"/>
      <c r="F171" s="71"/>
      <c r="G171" s="71"/>
      <c r="H171" s="71" t="s">
        <v>110</v>
      </c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>
        <v>1</v>
      </c>
      <c r="U171" s="104"/>
      <c r="V171" s="47"/>
    </row>
    <row r="172" spans="2:22" x14ac:dyDescent="0.3">
      <c r="B172" s="71" t="s">
        <v>637</v>
      </c>
      <c r="C172" s="71" t="s">
        <v>1065</v>
      </c>
      <c r="D172" s="71"/>
      <c r="E172" s="71"/>
      <c r="F172" s="71"/>
      <c r="G172" s="71"/>
      <c r="H172" s="71" t="s">
        <v>110</v>
      </c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>
        <v>1</v>
      </c>
      <c r="U172" s="104"/>
      <c r="V172" s="47"/>
    </row>
    <row r="173" spans="2:22" x14ac:dyDescent="0.3">
      <c r="B173" s="71" t="s">
        <v>638</v>
      </c>
      <c r="C173" s="71" t="s">
        <v>1065</v>
      </c>
      <c r="D173" s="71"/>
      <c r="E173" s="71"/>
      <c r="F173" s="71"/>
      <c r="G173" s="71"/>
      <c r="H173" s="71" t="s">
        <v>110</v>
      </c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>
        <v>1</v>
      </c>
      <c r="U173" s="104"/>
      <c r="V173" s="47"/>
    </row>
    <row r="174" spans="2:22" x14ac:dyDescent="0.3">
      <c r="B174" s="71" t="s">
        <v>639</v>
      </c>
      <c r="C174" s="71" t="s">
        <v>1065</v>
      </c>
      <c r="D174" s="71"/>
      <c r="E174" s="71"/>
      <c r="F174" s="71"/>
      <c r="G174" s="71"/>
      <c r="H174" s="71" t="s">
        <v>110</v>
      </c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>
        <v>1</v>
      </c>
      <c r="U174" s="104"/>
      <c r="V174" s="47"/>
    </row>
    <row r="175" spans="2:22" x14ac:dyDescent="0.3">
      <c r="B175" s="71" t="s">
        <v>640</v>
      </c>
      <c r="C175" s="71" t="s">
        <v>1065</v>
      </c>
      <c r="D175" s="71"/>
      <c r="E175" s="71"/>
      <c r="F175" s="71"/>
      <c r="G175" s="71"/>
      <c r="H175" s="71" t="s">
        <v>110</v>
      </c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>
        <v>1</v>
      </c>
      <c r="U175" s="104"/>
      <c r="V175" s="47"/>
    </row>
    <row r="176" spans="2:22" x14ac:dyDescent="0.3">
      <c r="B176" s="71" t="s">
        <v>641</v>
      </c>
      <c r="C176" s="71" t="s">
        <v>1065</v>
      </c>
      <c r="D176" s="71"/>
      <c r="E176" s="71"/>
      <c r="F176" s="71"/>
      <c r="G176" s="71"/>
      <c r="H176" s="71" t="s">
        <v>110</v>
      </c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>
        <v>1</v>
      </c>
      <c r="U176" s="104"/>
      <c r="V176" s="47"/>
    </row>
    <row r="177" spans="2:22" x14ac:dyDescent="0.3">
      <c r="B177" s="71" t="s">
        <v>642</v>
      </c>
      <c r="C177" s="71" t="s">
        <v>1065</v>
      </c>
      <c r="D177" s="71"/>
      <c r="E177" s="71"/>
      <c r="F177" s="71"/>
      <c r="G177" s="71"/>
      <c r="H177" s="71" t="s">
        <v>110</v>
      </c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>
        <v>1</v>
      </c>
      <c r="U177" s="104"/>
      <c r="V177" s="47"/>
    </row>
    <row r="178" spans="2:22" x14ac:dyDescent="0.3">
      <c r="B178" s="71" t="s">
        <v>643</v>
      </c>
      <c r="C178" s="71" t="s">
        <v>1065</v>
      </c>
      <c r="D178" s="71"/>
      <c r="E178" s="71"/>
      <c r="F178" s="71"/>
      <c r="G178" s="71"/>
      <c r="H178" s="71" t="s">
        <v>110</v>
      </c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>
        <v>1</v>
      </c>
      <c r="U178" s="104"/>
      <c r="V178" s="47"/>
    </row>
    <row r="179" spans="2:22" x14ac:dyDescent="0.3">
      <c r="B179" s="71" t="s">
        <v>636</v>
      </c>
      <c r="C179" s="71" t="s">
        <v>1207</v>
      </c>
      <c r="D179" s="71"/>
      <c r="E179" s="71"/>
      <c r="F179" s="71"/>
      <c r="G179" s="71"/>
      <c r="H179" s="71" t="s">
        <v>110</v>
      </c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>
        <v>1</v>
      </c>
      <c r="U179" s="104"/>
      <c r="V179" s="47"/>
    </row>
    <row r="180" spans="2:22" x14ac:dyDescent="0.3">
      <c r="B180" s="71" t="s">
        <v>637</v>
      </c>
      <c r="C180" s="71" t="s">
        <v>1207</v>
      </c>
      <c r="D180" s="71"/>
      <c r="E180" s="71"/>
      <c r="F180" s="71"/>
      <c r="G180" s="71"/>
      <c r="H180" s="71" t="s">
        <v>110</v>
      </c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>
        <v>1</v>
      </c>
      <c r="U180" s="104"/>
      <c r="V180" s="47"/>
    </row>
    <row r="181" spans="2:22" x14ac:dyDescent="0.3">
      <c r="B181" s="71" t="s">
        <v>638</v>
      </c>
      <c r="C181" s="71" t="s">
        <v>1207</v>
      </c>
      <c r="D181" s="71"/>
      <c r="E181" s="71"/>
      <c r="F181" s="71"/>
      <c r="G181" s="71"/>
      <c r="H181" s="71" t="s">
        <v>110</v>
      </c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>
        <v>1</v>
      </c>
      <c r="U181" s="104"/>
      <c r="V181" s="47"/>
    </row>
    <row r="182" spans="2:22" x14ac:dyDescent="0.3">
      <c r="B182" s="71" t="s">
        <v>639</v>
      </c>
      <c r="C182" s="71" t="s">
        <v>1207</v>
      </c>
      <c r="D182" s="71"/>
      <c r="E182" s="71"/>
      <c r="F182" s="71"/>
      <c r="G182" s="71"/>
      <c r="H182" s="71" t="s">
        <v>110</v>
      </c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>
        <v>1</v>
      </c>
      <c r="U182" s="104"/>
      <c r="V182" s="47"/>
    </row>
    <row r="183" spans="2:22" x14ac:dyDescent="0.3">
      <c r="B183" s="71" t="s">
        <v>640</v>
      </c>
      <c r="C183" s="71" t="s">
        <v>1207</v>
      </c>
      <c r="D183" s="71"/>
      <c r="E183" s="71"/>
      <c r="F183" s="71"/>
      <c r="G183" s="71"/>
      <c r="H183" s="71" t="s">
        <v>110</v>
      </c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>
        <v>1</v>
      </c>
      <c r="U183" s="104"/>
      <c r="V183" s="47"/>
    </row>
    <row r="184" spans="2:22" x14ac:dyDescent="0.3">
      <c r="B184" s="71" t="s">
        <v>641</v>
      </c>
      <c r="C184" s="71" t="s">
        <v>1207</v>
      </c>
      <c r="D184" s="71"/>
      <c r="E184" s="71"/>
      <c r="F184" s="71"/>
      <c r="G184" s="71"/>
      <c r="H184" s="71" t="s">
        <v>110</v>
      </c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>
        <v>1</v>
      </c>
      <c r="U184" s="104"/>
      <c r="V184" s="47"/>
    </row>
    <row r="185" spans="2:22" x14ac:dyDescent="0.3">
      <c r="B185" s="71" t="s">
        <v>642</v>
      </c>
      <c r="C185" s="71" t="s">
        <v>1207</v>
      </c>
      <c r="D185" s="71"/>
      <c r="E185" s="71"/>
      <c r="F185" s="71"/>
      <c r="G185" s="71"/>
      <c r="H185" s="71" t="s">
        <v>110</v>
      </c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>
        <v>1</v>
      </c>
      <c r="U185" s="104"/>
      <c r="V185" s="47"/>
    </row>
    <row r="186" spans="2:22" x14ac:dyDescent="0.3">
      <c r="B186" s="71" t="s">
        <v>643</v>
      </c>
      <c r="C186" s="71" t="s">
        <v>1207</v>
      </c>
      <c r="D186" s="71"/>
      <c r="E186" s="71"/>
      <c r="F186" s="71"/>
      <c r="G186" s="71"/>
      <c r="H186" s="71" t="s">
        <v>110</v>
      </c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>
        <v>1</v>
      </c>
      <c r="U186" s="104"/>
      <c r="V186" s="47"/>
    </row>
    <row r="187" spans="2:22" x14ac:dyDescent="0.3">
      <c r="B187" s="104" t="s">
        <v>636</v>
      </c>
      <c r="C187" s="104" t="s">
        <v>731</v>
      </c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>
        <v>1</v>
      </c>
      <c r="V187" s="47"/>
    </row>
    <row r="188" spans="2:22" x14ac:dyDescent="0.3">
      <c r="B188" s="104" t="s">
        <v>637</v>
      </c>
      <c r="C188" s="104" t="s">
        <v>731</v>
      </c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>
        <v>1</v>
      </c>
      <c r="V188" s="47"/>
    </row>
    <row r="189" spans="2:22" x14ac:dyDescent="0.3">
      <c r="B189" s="104" t="s">
        <v>638</v>
      </c>
      <c r="C189" s="104" t="s">
        <v>731</v>
      </c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>
        <v>1</v>
      </c>
      <c r="V189" s="47"/>
    </row>
    <row r="190" spans="2:22" x14ac:dyDescent="0.3">
      <c r="B190" s="104" t="s">
        <v>639</v>
      </c>
      <c r="C190" s="104" t="s">
        <v>731</v>
      </c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>
        <v>1</v>
      </c>
      <c r="V190" s="47"/>
    </row>
    <row r="191" spans="2:22" x14ac:dyDescent="0.3">
      <c r="B191" s="104" t="s">
        <v>640</v>
      </c>
      <c r="C191" s="104" t="s">
        <v>731</v>
      </c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>
        <v>1</v>
      </c>
      <c r="V191" s="47"/>
    </row>
    <row r="192" spans="2:22" x14ac:dyDescent="0.3">
      <c r="B192" s="104" t="s">
        <v>641</v>
      </c>
      <c r="C192" s="104" t="s">
        <v>731</v>
      </c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>
        <v>1</v>
      </c>
      <c r="V192" s="47"/>
    </row>
    <row r="193" spans="2:22" x14ac:dyDescent="0.3">
      <c r="B193" s="104" t="s">
        <v>642</v>
      </c>
      <c r="C193" s="104" t="s">
        <v>731</v>
      </c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>
        <v>1</v>
      </c>
      <c r="V193" s="47"/>
    </row>
    <row r="194" spans="2:22" x14ac:dyDescent="0.3">
      <c r="B194" s="104" t="s">
        <v>643</v>
      </c>
      <c r="C194" s="104" t="s">
        <v>731</v>
      </c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>
        <v>1</v>
      </c>
      <c r="V194" s="47"/>
    </row>
    <row r="195" spans="2:22" x14ac:dyDescent="0.3">
      <c r="B195" s="47" t="s">
        <v>644</v>
      </c>
      <c r="C195" s="47" t="s">
        <v>923</v>
      </c>
      <c r="D195" s="47"/>
      <c r="E195" s="47"/>
      <c r="F195" s="47"/>
      <c r="G195" s="47"/>
      <c r="H195" s="47" t="s">
        <v>110</v>
      </c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>
        <v>1</v>
      </c>
    </row>
    <row r="196" spans="2:22" x14ac:dyDescent="0.3">
      <c r="B196" s="47" t="s">
        <v>645</v>
      </c>
      <c r="C196" s="47" t="s">
        <v>923</v>
      </c>
      <c r="D196" s="47"/>
      <c r="E196" s="47"/>
      <c r="F196" s="47"/>
      <c r="G196" s="47"/>
      <c r="H196" s="47" t="s">
        <v>110</v>
      </c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>
        <v>1</v>
      </c>
    </row>
    <row r="197" spans="2:22" x14ac:dyDescent="0.3">
      <c r="B197" s="47" t="s">
        <v>646</v>
      </c>
      <c r="C197" s="47" t="s">
        <v>923</v>
      </c>
      <c r="D197" s="47"/>
      <c r="E197" s="47"/>
      <c r="F197" s="47"/>
      <c r="G197" s="47"/>
      <c r="H197" s="47" t="s">
        <v>110</v>
      </c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>
        <v>1</v>
      </c>
    </row>
    <row r="198" spans="2:22" x14ac:dyDescent="0.3">
      <c r="B198" s="47" t="s">
        <v>1176</v>
      </c>
      <c r="C198" s="47" t="s">
        <v>923</v>
      </c>
      <c r="D198" s="47"/>
      <c r="E198" s="47"/>
      <c r="F198" s="47"/>
      <c r="G198" s="47"/>
      <c r="H198" s="47" t="s">
        <v>110</v>
      </c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>
        <v>1</v>
      </c>
    </row>
    <row r="199" spans="2:22" x14ac:dyDescent="0.3">
      <c r="B199" s="47" t="s">
        <v>647</v>
      </c>
      <c r="C199" s="47" t="s">
        <v>923</v>
      </c>
      <c r="D199" s="47"/>
      <c r="E199" s="47"/>
      <c r="F199" s="47"/>
      <c r="G199" s="47"/>
      <c r="H199" s="47" t="s">
        <v>110</v>
      </c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>
        <v>1</v>
      </c>
    </row>
    <row r="200" spans="2:22" x14ac:dyDescent="0.3">
      <c r="B200" s="47" t="s">
        <v>644</v>
      </c>
      <c r="C200" s="47" t="s">
        <v>1065</v>
      </c>
      <c r="D200" s="47"/>
      <c r="E200" s="47"/>
      <c r="F200" s="47"/>
      <c r="G200" s="47"/>
      <c r="H200" s="47" t="s">
        <v>110</v>
      </c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>
        <v>1</v>
      </c>
    </row>
    <row r="201" spans="2:22" x14ac:dyDescent="0.3">
      <c r="B201" s="47" t="s">
        <v>645</v>
      </c>
      <c r="C201" s="47" t="s">
        <v>1065</v>
      </c>
      <c r="D201" s="47"/>
      <c r="E201" s="47"/>
      <c r="F201" s="47"/>
      <c r="G201" s="47"/>
      <c r="H201" s="47" t="s">
        <v>110</v>
      </c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>
        <v>1</v>
      </c>
    </row>
    <row r="202" spans="2:22" x14ac:dyDescent="0.3">
      <c r="B202" s="47" t="s">
        <v>646</v>
      </c>
      <c r="C202" s="47" t="s">
        <v>1065</v>
      </c>
      <c r="D202" s="47"/>
      <c r="E202" s="47"/>
      <c r="F202" s="47"/>
      <c r="G202" s="47"/>
      <c r="H202" s="47" t="s">
        <v>110</v>
      </c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>
        <v>1</v>
      </c>
    </row>
    <row r="203" spans="2:22" x14ac:dyDescent="0.3">
      <c r="B203" s="47" t="s">
        <v>1176</v>
      </c>
      <c r="C203" s="47" t="s">
        <v>1065</v>
      </c>
      <c r="D203" s="47"/>
      <c r="E203" s="47"/>
      <c r="F203" s="47"/>
      <c r="G203" s="47"/>
      <c r="H203" s="47" t="s">
        <v>110</v>
      </c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>
        <v>1</v>
      </c>
    </row>
    <row r="204" spans="2:22" x14ac:dyDescent="0.3">
      <c r="B204" s="47" t="s">
        <v>647</v>
      </c>
      <c r="C204" s="47" t="s">
        <v>1065</v>
      </c>
      <c r="D204" s="47"/>
      <c r="E204" s="47"/>
      <c r="F204" s="47"/>
      <c r="G204" s="47"/>
      <c r="H204" s="47" t="s">
        <v>110</v>
      </c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C44"/>
  <sheetViews>
    <sheetView workbookViewId="0">
      <selection activeCell="C16" sqref="C16"/>
    </sheetView>
  </sheetViews>
  <sheetFormatPr baseColWidth="10" defaultColWidth="8.88671875" defaultRowHeight="14.4" x14ac:dyDescent="0.3"/>
  <cols>
    <col min="1" max="1" width="72.88671875" bestFit="1" customWidth="1"/>
    <col min="2" max="2" width="14.44140625" bestFit="1" customWidth="1"/>
    <col min="3" max="3" width="12.5546875" bestFit="1" customWidth="1"/>
  </cols>
  <sheetData>
    <row r="1" spans="1:3" x14ac:dyDescent="0.3">
      <c r="A1" s="3" t="s">
        <v>418</v>
      </c>
      <c r="B1" s="3" t="s">
        <v>419</v>
      </c>
      <c r="C1" s="3" t="s">
        <v>420</v>
      </c>
    </row>
    <row r="2" spans="1:3" ht="13.2" customHeight="1" x14ac:dyDescent="0.3">
      <c r="A2" s="25" t="s">
        <v>944</v>
      </c>
      <c r="B2" s="45" t="s">
        <v>118</v>
      </c>
      <c r="C2" s="26">
        <v>1.01</v>
      </c>
    </row>
    <row r="3" spans="1:3" x14ac:dyDescent="0.3">
      <c r="A3" s="25" t="s">
        <v>401</v>
      </c>
      <c r="B3" s="45" t="s">
        <v>396</v>
      </c>
      <c r="C3" s="25">
        <v>0.2</v>
      </c>
    </row>
    <row r="4" spans="1:3" x14ac:dyDescent="0.3">
      <c r="A4" s="25" t="s">
        <v>402</v>
      </c>
      <c r="B4" s="45" t="s">
        <v>397</v>
      </c>
      <c r="C4" s="25">
        <v>0.05</v>
      </c>
    </row>
    <row r="5" spans="1:3" x14ac:dyDescent="0.3">
      <c r="A5" s="25" t="s">
        <v>403</v>
      </c>
      <c r="B5" s="45" t="s">
        <v>398</v>
      </c>
      <c r="C5" s="25">
        <v>4</v>
      </c>
    </row>
    <row r="6" spans="1:3" x14ac:dyDescent="0.3">
      <c r="A6" s="25" t="s">
        <v>415</v>
      </c>
      <c r="B6" s="45" t="s">
        <v>384</v>
      </c>
      <c r="C6" s="25" t="s">
        <v>1312</v>
      </c>
    </row>
    <row r="7" spans="1:3" x14ac:dyDescent="0.3">
      <c r="A7" s="25" t="s">
        <v>416</v>
      </c>
      <c r="B7" s="45" t="s">
        <v>400</v>
      </c>
      <c r="C7" s="25">
        <v>0.9</v>
      </c>
    </row>
    <row r="8" spans="1:3" x14ac:dyDescent="0.3">
      <c r="A8" s="27" t="s">
        <v>417</v>
      </c>
      <c r="B8" s="117" t="s">
        <v>385</v>
      </c>
      <c r="C8" s="25">
        <v>0.75</v>
      </c>
    </row>
    <row r="9" spans="1:3" x14ac:dyDescent="0.3">
      <c r="A9" s="27" t="s">
        <v>404</v>
      </c>
      <c r="B9" s="117" t="s">
        <v>386</v>
      </c>
      <c r="C9" s="25">
        <v>0.04</v>
      </c>
    </row>
    <row r="10" spans="1:3" x14ac:dyDescent="0.3">
      <c r="A10" s="27" t="s">
        <v>405</v>
      </c>
      <c r="B10" s="117" t="s">
        <v>387</v>
      </c>
      <c r="C10" s="26">
        <v>2.6164447432069373</v>
      </c>
    </row>
    <row r="11" spans="1:3" x14ac:dyDescent="0.3">
      <c r="A11" s="27" t="s">
        <v>406</v>
      </c>
      <c r="B11" s="117" t="s">
        <v>388</v>
      </c>
      <c r="C11" s="25">
        <v>2.5000000000000001E-2</v>
      </c>
    </row>
    <row r="12" spans="1:3" x14ac:dyDescent="0.3">
      <c r="A12" s="30" t="s">
        <v>408</v>
      </c>
      <c r="B12" s="118" t="s">
        <v>11</v>
      </c>
      <c r="C12" s="29">
        <v>0.2</v>
      </c>
    </row>
    <row r="13" spans="1:3" x14ac:dyDescent="0.3">
      <c r="A13" s="30" t="s">
        <v>409</v>
      </c>
      <c r="B13" s="119" t="s">
        <v>12</v>
      </c>
      <c r="C13" s="31">
        <v>0.7</v>
      </c>
    </row>
    <row r="14" spans="1:3" x14ac:dyDescent="0.3">
      <c r="A14" s="32" t="s">
        <v>410</v>
      </c>
      <c r="B14" s="120" t="s">
        <v>14</v>
      </c>
      <c r="C14" s="33" t="s">
        <v>1454</v>
      </c>
    </row>
    <row r="15" spans="1:3" x14ac:dyDescent="0.3">
      <c r="A15" s="32" t="s">
        <v>411</v>
      </c>
      <c r="B15" s="120" t="s">
        <v>13</v>
      </c>
      <c r="C15" s="34">
        <v>5</v>
      </c>
    </row>
    <row r="16" spans="1:3" x14ac:dyDescent="0.3">
      <c r="A16" s="32" t="s">
        <v>407</v>
      </c>
      <c r="B16" s="120" t="s">
        <v>399</v>
      </c>
      <c r="C16" s="33">
        <v>3</v>
      </c>
    </row>
    <row r="17" spans="1:3" x14ac:dyDescent="0.3">
      <c r="A17" s="32" t="s">
        <v>412</v>
      </c>
      <c r="B17" s="120" t="s">
        <v>18</v>
      </c>
      <c r="C17" s="34">
        <v>0.01</v>
      </c>
    </row>
    <row r="18" spans="1:3" x14ac:dyDescent="0.3">
      <c r="A18" s="32" t="s">
        <v>413</v>
      </c>
      <c r="B18" s="120" t="s">
        <v>29</v>
      </c>
      <c r="C18" s="34" t="s">
        <v>1454</v>
      </c>
    </row>
    <row r="19" spans="1:3" x14ac:dyDescent="0.3">
      <c r="A19" s="32" t="s">
        <v>414</v>
      </c>
      <c r="B19" s="121" t="s">
        <v>30</v>
      </c>
      <c r="C19" s="35" t="s">
        <v>1454</v>
      </c>
    </row>
    <row r="20" spans="1:3" x14ac:dyDescent="0.3">
      <c r="A20" s="35" t="s">
        <v>945</v>
      </c>
      <c r="B20" s="121" t="s">
        <v>425</v>
      </c>
      <c r="C20" s="35">
        <v>0.5</v>
      </c>
    </row>
    <row r="21" spans="1:3" x14ac:dyDescent="0.3">
      <c r="A21" s="35" t="s">
        <v>946</v>
      </c>
      <c r="B21" s="121" t="s">
        <v>426</v>
      </c>
      <c r="C21" s="35">
        <v>10</v>
      </c>
    </row>
    <row r="22" spans="1:3" x14ac:dyDescent="0.3">
      <c r="A22" s="35" t="s">
        <v>432</v>
      </c>
      <c r="B22" s="121" t="s">
        <v>427</v>
      </c>
      <c r="C22" s="35">
        <v>1</v>
      </c>
    </row>
    <row r="23" spans="1:3" x14ac:dyDescent="0.3">
      <c r="A23" s="35" t="s">
        <v>433</v>
      </c>
      <c r="B23" s="121" t="s">
        <v>428</v>
      </c>
      <c r="C23" s="35">
        <v>0.05</v>
      </c>
    </row>
    <row r="24" spans="1:3" x14ac:dyDescent="0.3">
      <c r="A24" s="35" t="s">
        <v>434</v>
      </c>
      <c r="B24" s="121" t="s">
        <v>429</v>
      </c>
      <c r="C24" s="35">
        <v>0.02</v>
      </c>
    </row>
    <row r="25" spans="1:3" x14ac:dyDescent="0.3">
      <c r="A25" s="35" t="s">
        <v>430</v>
      </c>
      <c r="B25" s="121" t="s">
        <v>421</v>
      </c>
      <c r="C25" s="35">
        <v>7</v>
      </c>
    </row>
    <row r="26" spans="1:3" x14ac:dyDescent="0.3">
      <c r="A26" s="35" t="s">
        <v>431</v>
      </c>
      <c r="B26" s="121" t="s">
        <v>422</v>
      </c>
      <c r="C26" s="35">
        <v>7</v>
      </c>
    </row>
    <row r="27" spans="1:3" x14ac:dyDescent="0.3">
      <c r="A27" s="36" t="s">
        <v>430</v>
      </c>
      <c r="B27" s="121" t="s">
        <v>423</v>
      </c>
      <c r="C27" s="35">
        <v>7</v>
      </c>
    </row>
    <row r="28" spans="1:3" x14ac:dyDescent="0.3">
      <c r="A28" s="36" t="s">
        <v>431</v>
      </c>
      <c r="B28" s="122" t="s">
        <v>424</v>
      </c>
      <c r="C28" s="35">
        <v>7</v>
      </c>
    </row>
    <row r="29" spans="1:3" x14ac:dyDescent="0.3">
      <c r="A29" s="36" t="s">
        <v>435</v>
      </c>
      <c r="B29" s="122" t="s">
        <v>438</v>
      </c>
      <c r="C29" s="35">
        <v>1</v>
      </c>
    </row>
    <row r="30" spans="1:3" x14ac:dyDescent="0.3">
      <c r="A30" s="36" t="s">
        <v>436</v>
      </c>
      <c r="B30" s="123" t="s">
        <v>437</v>
      </c>
      <c r="C30" s="37">
        <v>0.10143831760902669</v>
      </c>
    </row>
    <row r="31" spans="1:3" x14ac:dyDescent="0.3">
      <c r="A31" s="37" t="s">
        <v>908</v>
      </c>
      <c r="B31" s="123" t="s">
        <v>16</v>
      </c>
      <c r="C31" s="37">
        <v>0.7350000000000001</v>
      </c>
    </row>
    <row r="32" spans="1:3" x14ac:dyDescent="0.3">
      <c r="A32" s="37" t="s">
        <v>909</v>
      </c>
      <c r="B32" s="124" t="s">
        <v>17</v>
      </c>
      <c r="C32" s="38">
        <v>-0.54</v>
      </c>
    </row>
    <row r="33" spans="1:3" x14ac:dyDescent="0.3">
      <c r="A33" s="38" t="s">
        <v>446</v>
      </c>
      <c r="B33" s="124" t="s">
        <v>7</v>
      </c>
      <c r="C33" s="39">
        <v>1</v>
      </c>
    </row>
    <row r="34" spans="1:3" x14ac:dyDescent="0.3">
      <c r="A34" s="38" t="s">
        <v>439</v>
      </c>
      <c r="B34" s="124" t="s">
        <v>136</v>
      </c>
      <c r="C34" s="39">
        <v>1713.3031294999998</v>
      </c>
    </row>
    <row r="35" spans="1:3" x14ac:dyDescent="0.3">
      <c r="A35" s="38" t="s">
        <v>440</v>
      </c>
      <c r="B35" s="124" t="s">
        <v>135</v>
      </c>
      <c r="C35" s="39">
        <v>15508.526493744217</v>
      </c>
    </row>
    <row r="36" spans="1:3" x14ac:dyDescent="0.3">
      <c r="A36" s="38" t="s">
        <v>441</v>
      </c>
      <c r="B36" s="124" t="s">
        <v>176</v>
      </c>
      <c r="C36" s="40">
        <v>1.5469604673946287</v>
      </c>
    </row>
    <row r="37" spans="1:3" x14ac:dyDescent="0.3">
      <c r="A37" s="38" t="s">
        <v>442</v>
      </c>
      <c r="B37" s="124" t="s">
        <v>175</v>
      </c>
      <c r="C37" s="41">
        <v>5</v>
      </c>
    </row>
    <row r="38" spans="1:3" x14ac:dyDescent="0.3">
      <c r="A38" s="38" t="s">
        <v>443</v>
      </c>
      <c r="B38" s="124" t="s">
        <v>124</v>
      </c>
      <c r="C38" s="41">
        <v>1E-3</v>
      </c>
    </row>
    <row r="39" spans="1:3" x14ac:dyDescent="0.3">
      <c r="A39" s="38" t="s">
        <v>444</v>
      </c>
      <c r="B39" s="124" t="s">
        <v>125</v>
      </c>
      <c r="C39" s="41">
        <v>1E-3</v>
      </c>
    </row>
    <row r="40" spans="1:3" x14ac:dyDescent="0.3">
      <c r="A40" s="38" t="s">
        <v>445</v>
      </c>
      <c r="B40" s="4" t="s">
        <v>126</v>
      </c>
      <c r="C40" s="7">
        <v>1</v>
      </c>
    </row>
    <row r="41" spans="1:3" x14ac:dyDescent="0.3">
      <c r="A41" s="28" t="s">
        <v>901</v>
      </c>
      <c r="B41" s="125" t="s">
        <v>902</v>
      </c>
      <c r="C41" s="28">
        <v>0.5</v>
      </c>
    </row>
    <row r="42" spans="1:3" x14ac:dyDescent="0.3">
      <c r="A42" s="28" t="s">
        <v>903</v>
      </c>
      <c r="B42" s="125" t="s">
        <v>904</v>
      </c>
      <c r="C42" s="28">
        <v>0.25</v>
      </c>
    </row>
    <row r="43" spans="1:3" x14ac:dyDescent="0.3">
      <c r="A43" s="28" t="s">
        <v>905</v>
      </c>
      <c r="B43" s="4" t="s">
        <v>906</v>
      </c>
      <c r="C43" t="s">
        <v>1312</v>
      </c>
    </row>
    <row r="44" spans="1:3" x14ac:dyDescent="0.3">
      <c r="B44" s="4" t="s">
        <v>32</v>
      </c>
      <c r="C44">
        <v>169776.37276696807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M163"/>
  <sheetViews>
    <sheetView tabSelected="1" zoomScaleNormal="100" workbookViewId="0">
      <pane xSplit="2" ySplit="8" topLeftCell="CP9" activePane="bottomRight" state="frozen"/>
      <selection pane="topRight" activeCell="C1" sqref="C1"/>
      <selection pane="bottomLeft" activeCell="A8" sqref="A8"/>
      <selection pane="bottomRight" activeCell="CV26" sqref="CV26"/>
    </sheetView>
  </sheetViews>
  <sheetFormatPr baseColWidth="10" defaultColWidth="10.88671875" defaultRowHeight="14.4" x14ac:dyDescent="0.3"/>
  <cols>
    <col min="2" max="2" width="21.77734375" customWidth="1"/>
    <col min="3" max="22" width="10.88671875" customWidth="1"/>
    <col min="23" max="23" width="14.109375" customWidth="1"/>
    <col min="24" max="24" width="14.5546875" bestFit="1" customWidth="1"/>
    <col min="25" max="25" width="15.109375" bestFit="1" customWidth="1"/>
    <col min="26" max="26" width="14.33203125" bestFit="1" customWidth="1"/>
    <col min="27" max="27" width="8.6640625" bestFit="1" customWidth="1"/>
    <col min="28" max="28" width="10.21875" customWidth="1"/>
    <col min="29" max="29" width="6.109375" bestFit="1" customWidth="1"/>
    <col min="30" max="30" width="7.5546875" customWidth="1"/>
    <col min="31" max="31" width="6.6640625" bestFit="1" customWidth="1"/>
    <col min="32" max="32" width="18.109375" bestFit="1" customWidth="1"/>
    <col min="33" max="33" width="18.77734375" bestFit="1" customWidth="1"/>
    <col min="34" max="34" width="19.33203125" bestFit="1" customWidth="1"/>
    <col min="35" max="35" width="18.5546875" bestFit="1" customWidth="1"/>
    <col min="36" max="36" width="12.77734375" bestFit="1" customWidth="1"/>
    <col min="37" max="37" width="10.21875" bestFit="1" customWidth="1"/>
    <col min="38" max="38" width="10.77734375" bestFit="1" customWidth="1"/>
    <col min="39" max="39" width="18.109375" bestFit="1" customWidth="1"/>
    <col min="40" max="40" width="18.77734375" bestFit="1" customWidth="1"/>
    <col min="41" max="41" width="19.33203125" bestFit="1" customWidth="1"/>
    <col min="42" max="42" width="18.5546875" bestFit="1" customWidth="1"/>
    <col min="43" max="43" width="12.77734375" bestFit="1" customWidth="1"/>
    <col min="44" max="44" width="10.21875" bestFit="1" customWidth="1"/>
    <col min="45" max="45" width="10.77734375" customWidth="1"/>
  </cols>
  <sheetData>
    <row r="1" spans="2:117" ht="142.80000000000001" hidden="1" customHeight="1" x14ac:dyDescent="0.3">
      <c r="C1" s="103" t="s">
        <v>1196</v>
      </c>
      <c r="D1" s="103" t="s">
        <v>1196</v>
      </c>
      <c r="E1" s="103" t="s">
        <v>1196</v>
      </c>
      <c r="F1" s="103" t="s">
        <v>1196</v>
      </c>
      <c r="H1" s="103" t="s">
        <v>1197</v>
      </c>
      <c r="J1" s="103" t="s">
        <v>1198</v>
      </c>
      <c r="K1" s="103" t="s">
        <v>1199</v>
      </c>
      <c r="L1" s="103" t="s">
        <v>1199</v>
      </c>
      <c r="M1" s="103" t="s">
        <v>1200</v>
      </c>
      <c r="R1" s="103" t="s">
        <v>1200</v>
      </c>
      <c r="W1" s="103" t="s">
        <v>1200</v>
      </c>
      <c r="AB1" s="103" t="s">
        <v>1201</v>
      </c>
      <c r="AW1" s="103" t="s">
        <v>1202</v>
      </c>
      <c r="BO1" s="103" t="s">
        <v>1203</v>
      </c>
      <c r="CG1" s="103" t="s">
        <v>1204</v>
      </c>
      <c r="CY1" s="103" t="s">
        <v>1205</v>
      </c>
    </row>
    <row r="2" spans="2:117" x14ac:dyDescent="0.3">
      <c r="C2" s="104" t="s">
        <v>910</v>
      </c>
      <c r="D2" s="105" t="s">
        <v>925</v>
      </c>
      <c r="E2" s="92" t="s">
        <v>911</v>
      </c>
      <c r="F2" s="106" t="s">
        <v>923</v>
      </c>
      <c r="G2" s="71" t="s">
        <v>912</v>
      </c>
      <c r="H2" s="107" t="s">
        <v>924</v>
      </c>
      <c r="I2" s="58" t="s">
        <v>913</v>
      </c>
      <c r="J2" s="89" t="s">
        <v>914</v>
      </c>
      <c r="K2" s="91" t="s">
        <v>922</v>
      </c>
      <c r="L2" s="91" t="s">
        <v>1207</v>
      </c>
      <c r="M2" s="90" t="s">
        <v>714</v>
      </c>
      <c r="N2" s="90" t="s">
        <v>716</v>
      </c>
      <c r="O2" s="90" t="s">
        <v>717</v>
      </c>
      <c r="P2" s="90" t="s">
        <v>718</v>
      </c>
      <c r="Q2" s="90" t="s">
        <v>715</v>
      </c>
      <c r="R2" s="90" t="s">
        <v>1335</v>
      </c>
      <c r="S2" s="90" t="s">
        <v>1336</v>
      </c>
      <c r="T2" s="90" t="s">
        <v>1337</v>
      </c>
      <c r="U2" s="90" t="s">
        <v>1338</v>
      </c>
      <c r="V2" s="90" t="s">
        <v>1353</v>
      </c>
      <c r="W2" s="90" t="s">
        <v>1344</v>
      </c>
      <c r="X2" s="90" t="s">
        <v>1345</v>
      </c>
      <c r="Y2" s="90" t="s">
        <v>1346</v>
      </c>
      <c r="Z2" s="90" t="s">
        <v>1347</v>
      </c>
      <c r="AA2" s="90" t="s">
        <v>1388</v>
      </c>
      <c r="AB2" s="90" t="s">
        <v>1160</v>
      </c>
      <c r="AC2" s="90" t="s">
        <v>1161</v>
      </c>
      <c r="AD2" s="90" t="s">
        <v>1162</v>
      </c>
      <c r="AE2" s="90" t="s">
        <v>1163</v>
      </c>
      <c r="AF2" s="89" t="s">
        <v>1737</v>
      </c>
      <c r="AG2" s="89" t="s">
        <v>1731</v>
      </c>
      <c r="AH2" s="89" t="s">
        <v>1732</v>
      </c>
      <c r="AI2" s="89" t="s">
        <v>1733</v>
      </c>
      <c r="AJ2" s="89" t="s">
        <v>1734</v>
      </c>
      <c r="AK2" s="89" t="s">
        <v>1735</v>
      </c>
      <c r="AL2" s="89" t="s">
        <v>1736</v>
      </c>
      <c r="AM2" s="128" t="s">
        <v>1724</v>
      </c>
      <c r="AN2" s="128" t="s">
        <v>1725</v>
      </c>
      <c r="AO2" s="128" t="s">
        <v>1726</v>
      </c>
      <c r="AP2" s="128" t="s">
        <v>1727</v>
      </c>
      <c r="AQ2" s="128" t="s">
        <v>1728</v>
      </c>
      <c r="AR2" s="128" t="s">
        <v>1729</v>
      </c>
      <c r="AS2" s="128" t="s">
        <v>1730</v>
      </c>
      <c r="AT2" s="108" t="s">
        <v>1066</v>
      </c>
      <c r="AU2" s="108" t="s">
        <v>1067</v>
      </c>
      <c r="AV2" s="108" t="s">
        <v>1068</v>
      </c>
      <c r="AW2" s="108" t="s">
        <v>1069</v>
      </c>
      <c r="AX2" s="108" t="s">
        <v>1070</v>
      </c>
      <c r="AY2" s="108" t="s">
        <v>1071</v>
      </c>
      <c r="AZ2" s="108" t="s">
        <v>1072</v>
      </c>
      <c r="BA2" s="108" t="s">
        <v>1073</v>
      </c>
      <c r="BB2" s="108" t="s">
        <v>1074</v>
      </c>
      <c r="BC2" s="108" t="s">
        <v>1075</v>
      </c>
      <c r="BD2" s="108" t="s">
        <v>1076</v>
      </c>
      <c r="BE2" s="108" t="s">
        <v>1077</v>
      </c>
      <c r="BF2" s="108" t="s">
        <v>1078</v>
      </c>
      <c r="BG2" s="108" t="s">
        <v>1079</v>
      </c>
      <c r="BH2" s="108" t="s">
        <v>1080</v>
      </c>
      <c r="BI2" s="108" t="s">
        <v>1081</v>
      </c>
      <c r="BJ2" s="108" t="s">
        <v>1082</v>
      </c>
      <c r="BK2" s="108" t="s">
        <v>1083</v>
      </c>
      <c r="BL2" s="105" t="s">
        <v>1102</v>
      </c>
      <c r="BM2" s="105" t="s">
        <v>1103</v>
      </c>
      <c r="BN2" s="105" t="s">
        <v>1104</v>
      </c>
      <c r="BO2" s="105" t="s">
        <v>1105</v>
      </c>
      <c r="BP2" s="105" t="s">
        <v>1106</v>
      </c>
      <c r="BQ2" s="105" t="s">
        <v>1107</v>
      </c>
      <c r="BR2" s="105" t="s">
        <v>1108</v>
      </c>
      <c r="BS2" s="105" t="s">
        <v>1109</v>
      </c>
      <c r="BT2" s="105" t="s">
        <v>1110</v>
      </c>
      <c r="BU2" s="105" t="s">
        <v>1111</v>
      </c>
      <c r="BV2" s="105" t="s">
        <v>1112</v>
      </c>
      <c r="BW2" s="105" t="s">
        <v>1113</v>
      </c>
      <c r="BX2" s="105" t="s">
        <v>1114</v>
      </c>
      <c r="BY2" s="105" t="s">
        <v>1115</v>
      </c>
      <c r="BZ2" s="105" t="s">
        <v>1116</v>
      </c>
      <c r="CA2" s="105" t="s">
        <v>1117</v>
      </c>
      <c r="CB2" s="105" t="s">
        <v>1118</v>
      </c>
      <c r="CC2" s="105" t="s">
        <v>1119</v>
      </c>
      <c r="CD2" s="92" t="s">
        <v>1084</v>
      </c>
      <c r="CE2" s="92" t="s">
        <v>1085</v>
      </c>
      <c r="CF2" s="92" t="s">
        <v>1086</v>
      </c>
      <c r="CG2" s="92" t="s">
        <v>1087</v>
      </c>
      <c r="CH2" s="92" t="s">
        <v>1088</v>
      </c>
      <c r="CI2" s="92" t="s">
        <v>1089</v>
      </c>
      <c r="CJ2" s="92" t="s">
        <v>1090</v>
      </c>
      <c r="CK2" s="92" t="s">
        <v>1091</v>
      </c>
      <c r="CL2" s="92" t="s">
        <v>1092</v>
      </c>
      <c r="CM2" s="92" t="s">
        <v>1093</v>
      </c>
      <c r="CN2" s="92" t="s">
        <v>1094</v>
      </c>
      <c r="CO2" s="92" t="s">
        <v>1095</v>
      </c>
      <c r="CP2" s="92" t="s">
        <v>1096</v>
      </c>
      <c r="CQ2" s="92" t="s">
        <v>1097</v>
      </c>
      <c r="CR2" s="92" t="s">
        <v>1098</v>
      </c>
      <c r="CS2" s="92" t="s">
        <v>1099</v>
      </c>
      <c r="CT2" s="92" t="s">
        <v>1100</v>
      </c>
      <c r="CU2" s="92" t="s">
        <v>1101</v>
      </c>
      <c r="CV2" s="109" t="s">
        <v>1012</v>
      </c>
      <c r="CW2" s="109" t="s">
        <v>1013</v>
      </c>
      <c r="CX2" s="109" t="s">
        <v>1014</v>
      </c>
      <c r="CY2" s="109" t="s">
        <v>1015</v>
      </c>
      <c r="CZ2" s="109" t="s">
        <v>1016</v>
      </c>
      <c r="DA2" s="109" t="s">
        <v>1017</v>
      </c>
      <c r="DB2" s="109" t="s">
        <v>1018</v>
      </c>
      <c r="DC2" s="109" t="s">
        <v>1019</v>
      </c>
      <c r="DD2" s="109" t="s">
        <v>1020</v>
      </c>
      <c r="DE2" s="109" t="s">
        <v>1021</v>
      </c>
      <c r="DF2" s="109" t="s">
        <v>1022</v>
      </c>
      <c r="DG2" s="109" t="s">
        <v>1023</v>
      </c>
      <c r="DH2" s="109" t="s">
        <v>1024</v>
      </c>
      <c r="DI2" s="109" t="s">
        <v>1025</v>
      </c>
      <c r="DJ2" s="109" t="s">
        <v>1026</v>
      </c>
      <c r="DK2" s="109" t="s">
        <v>1027</v>
      </c>
      <c r="DL2" s="109" t="s">
        <v>1028</v>
      </c>
      <c r="DM2" s="109" t="s">
        <v>1029</v>
      </c>
    </row>
    <row r="3" spans="2:117" x14ac:dyDescent="0.3">
      <c r="B3" s="3" t="s">
        <v>915</v>
      </c>
      <c r="C3" s="104">
        <v>1</v>
      </c>
      <c r="D3" s="105">
        <v>1</v>
      </c>
      <c r="E3" s="92">
        <v>1</v>
      </c>
      <c r="F3" s="106">
        <v>1</v>
      </c>
      <c r="G3" s="71"/>
      <c r="H3" s="107"/>
      <c r="I3" s="58"/>
      <c r="J3" s="89"/>
      <c r="K3" s="91"/>
      <c r="L3" s="91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89"/>
      <c r="AG3" s="89"/>
      <c r="AH3" s="89"/>
      <c r="AI3" s="89"/>
      <c r="AJ3" s="89"/>
      <c r="AK3" s="89"/>
      <c r="AL3" s="89"/>
      <c r="AM3" s="128"/>
      <c r="AN3" s="128"/>
      <c r="AO3" s="128"/>
      <c r="AP3" s="128"/>
      <c r="AQ3" s="128"/>
      <c r="AR3" s="128"/>
      <c r="AS3" s="128"/>
      <c r="AT3" s="104">
        <v>1</v>
      </c>
      <c r="AU3" s="104">
        <v>1</v>
      </c>
      <c r="AV3" s="104">
        <v>1</v>
      </c>
      <c r="AW3" s="104">
        <v>1</v>
      </c>
      <c r="AX3" s="104">
        <v>1</v>
      </c>
      <c r="AY3" s="104">
        <v>1</v>
      </c>
      <c r="AZ3" s="104">
        <v>1</v>
      </c>
      <c r="BA3" s="104">
        <v>1</v>
      </c>
      <c r="BB3" s="104">
        <v>1</v>
      </c>
      <c r="BC3" s="104">
        <v>1</v>
      </c>
      <c r="BD3" s="104">
        <v>1</v>
      </c>
      <c r="BE3" s="104">
        <v>1</v>
      </c>
      <c r="BF3" s="104">
        <v>1</v>
      </c>
      <c r="BG3" s="104">
        <v>1</v>
      </c>
      <c r="BH3" s="104">
        <v>1</v>
      </c>
      <c r="BI3" s="104">
        <v>1</v>
      </c>
      <c r="BJ3" s="104">
        <v>1</v>
      </c>
      <c r="BK3" s="104">
        <v>1</v>
      </c>
      <c r="BL3" s="105">
        <v>1</v>
      </c>
      <c r="BM3" s="105">
        <v>1</v>
      </c>
      <c r="BN3" s="105">
        <v>1</v>
      </c>
      <c r="BO3" s="105">
        <v>1</v>
      </c>
      <c r="BP3" s="105">
        <v>1</v>
      </c>
      <c r="BQ3" s="105">
        <v>1</v>
      </c>
      <c r="BR3" s="105">
        <v>1</v>
      </c>
      <c r="BS3" s="105">
        <v>1</v>
      </c>
      <c r="BT3" s="105">
        <v>1</v>
      </c>
      <c r="BU3" s="105">
        <v>1</v>
      </c>
      <c r="BV3" s="105">
        <v>1</v>
      </c>
      <c r="BW3" s="105">
        <v>1</v>
      </c>
      <c r="BX3" s="105">
        <v>1</v>
      </c>
      <c r="BY3" s="105">
        <v>1</v>
      </c>
      <c r="BZ3" s="105">
        <v>1</v>
      </c>
      <c r="CA3" s="105">
        <v>1</v>
      </c>
      <c r="CB3" s="105">
        <v>1</v>
      </c>
      <c r="CC3" s="105">
        <v>1</v>
      </c>
      <c r="CD3" s="92">
        <v>1</v>
      </c>
      <c r="CE3" s="92">
        <v>1</v>
      </c>
      <c r="CF3" s="92">
        <v>1</v>
      </c>
      <c r="CG3" s="92">
        <v>1</v>
      </c>
      <c r="CH3" s="92">
        <v>1</v>
      </c>
      <c r="CI3" s="92">
        <v>1</v>
      </c>
      <c r="CJ3" s="92">
        <v>1</v>
      </c>
      <c r="CK3" s="92">
        <v>1</v>
      </c>
      <c r="CL3" s="92">
        <v>1</v>
      </c>
      <c r="CM3" s="92">
        <v>1</v>
      </c>
      <c r="CN3" s="92">
        <v>1</v>
      </c>
      <c r="CO3" s="92">
        <v>1</v>
      </c>
      <c r="CP3" s="92">
        <v>1</v>
      </c>
      <c r="CQ3" s="92">
        <v>1</v>
      </c>
      <c r="CR3" s="92">
        <v>1</v>
      </c>
      <c r="CS3" s="92">
        <v>1</v>
      </c>
      <c r="CT3" s="92">
        <v>1</v>
      </c>
      <c r="CU3" s="92">
        <v>1</v>
      </c>
      <c r="CV3" s="106">
        <v>1</v>
      </c>
      <c r="CW3" s="106">
        <v>1</v>
      </c>
      <c r="CX3" s="106">
        <v>1</v>
      </c>
      <c r="CY3" s="106">
        <v>1</v>
      </c>
      <c r="CZ3" s="106">
        <v>1</v>
      </c>
      <c r="DA3" s="106">
        <v>1</v>
      </c>
      <c r="DB3" s="106">
        <v>1</v>
      </c>
      <c r="DC3" s="106">
        <v>1</v>
      </c>
      <c r="DD3" s="106">
        <v>1</v>
      </c>
      <c r="DE3" s="106">
        <v>1</v>
      </c>
      <c r="DF3" s="106">
        <v>1</v>
      </c>
      <c r="DG3" s="106">
        <v>1</v>
      </c>
      <c r="DH3" s="106">
        <v>1</v>
      </c>
      <c r="DI3" s="106">
        <v>1</v>
      </c>
      <c r="DJ3" s="106">
        <v>1</v>
      </c>
      <c r="DK3" s="106">
        <v>1</v>
      </c>
      <c r="DL3" s="106">
        <v>1</v>
      </c>
      <c r="DM3" s="106">
        <v>1</v>
      </c>
    </row>
    <row r="4" spans="2:117" x14ac:dyDescent="0.3">
      <c r="B4" s="3" t="s">
        <v>916</v>
      </c>
      <c r="C4" s="104">
        <v>0.75</v>
      </c>
      <c r="D4" s="105">
        <v>0.75</v>
      </c>
      <c r="E4" s="92">
        <v>0.5</v>
      </c>
      <c r="F4" s="106">
        <v>0.25</v>
      </c>
      <c r="G4" s="71" t="s">
        <v>15</v>
      </c>
      <c r="H4" s="107" t="s">
        <v>110</v>
      </c>
      <c r="I4" s="58" t="s">
        <v>15</v>
      </c>
      <c r="J4" s="89" t="s">
        <v>15</v>
      </c>
      <c r="K4" s="91" t="s">
        <v>15</v>
      </c>
      <c r="L4" s="91">
        <v>0.75</v>
      </c>
      <c r="M4" s="90">
        <v>2</v>
      </c>
      <c r="N4" s="90">
        <v>2</v>
      </c>
      <c r="O4" s="90">
        <v>2</v>
      </c>
      <c r="P4" s="90">
        <v>2</v>
      </c>
      <c r="Q4" s="90">
        <v>2</v>
      </c>
      <c r="R4" s="90">
        <v>2</v>
      </c>
      <c r="S4" s="90">
        <v>2</v>
      </c>
      <c r="T4" s="90">
        <v>2</v>
      </c>
      <c r="U4" s="90">
        <v>2</v>
      </c>
      <c r="V4" s="90">
        <v>2</v>
      </c>
      <c r="W4" s="90">
        <v>0.5</v>
      </c>
      <c r="X4" s="90">
        <v>0.5</v>
      </c>
      <c r="Y4" s="90">
        <v>0.5</v>
      </c>
      <c r="Z4" s="90">
        <v>0.5</v>
      </c>
      <c r="AA4" s="90">
        <v>0.5</v>
      </c>
      <c r="AB4" s="90">
        <v>2</v>
      </c>
      <c r="AC4" s="90">
        <v>0.5</v>
      </c>
      <c r="AD4" s="90">
        <v>2</v>
      </c>
      <c r="AE4" s="90">
        <v>0.5</v>
      </c>
      <c r="AF4" s="89">
        <v>2</v>
      </c>
      <c r="AG4" s="89">
        <v>2</v>
      </c>
      <c r="AH4" s="89">
        <v>2</v>
      </c>
      <c r="AI4" s="89">
        <v>2</v>
      </c>
      <c r="AJ4" s="89">
        <v>2</v>
      </c>
      <c r="AK4" s="89">
        <v>2</v>
      </c>
      <c r="AL4" s="89">
        <v>2</v>
      </c>
      <c r="AM4" s="128" t="s">
        <v>110</v>
      </c>
      <c r="AN4" s="128" t="s">
        <v>110</v>
      </c>
      <c r="AO4" s="128" t="s">
        <v>110</v>
      </c>
      <c r="AP4" s="128" t="s">
        <v>110</v>
      </c>
      <c r="AQ4" s="128" t="s">
        <v>110</v>
      </c>
      <c r="AR4" s="128" t="s">
        <v>110</v>
      </c>
      <c r="AS4" s="128" t="s">
        <v>110</v>
      </c>
      <c r="AT4" s="104">
        <v>0.75</v>
      </c>
      <c r="AU4" s="104">
        <v>0.75</v>
      </c>
      <c r="AV4" s="104">
        <v>0.75</v>
      </c>
      <c r="AW4" s="104">
        <v>0.75</v>
      </c>
      <c r="AX4" s="104">
        <v>0.75</v>
      </c>
      <c r="AY4" s="104">
        <v>0.75</v>
      </c>
      <c r="AZ4" s="104">
        <v>0.75</v>
      </c>
      <c r="BA4" s="104">
        <v>0.75</v>
      </c>
      <c r="BB4" s="104">
        <v>0.75</v>
      </c>
      <c r="BC4" s="104">
        <v>0.75</v>
      </c>
      <c r="BD4" s="104">
        <v>0.75</v>
      </c>
      <c r="BE4" s="104">
        <v>0.75</v>
      </c>
      <c r="BF4" s="104">
        <v>0.75</v>
      </c>
      <c r="BG4" s="104">
        <v>0.75</v>
      </c>
      <c r="BH4" s="104">
        <v>0.75</v>
      </c>
      <c r="BI4" s="104">
        <v>0.75</v>
      </c>
      <c r="BJ4" s="104">
        <v>0.75</v>
      </c>
      <c r="BK4" s="104">
        <v>0.75</v>
      </c>
      <c r="BL4" s="105">
        <v>0.75</v>
      </c>
      <c r="BM4" s="105">
        <v>0.75</v>
      </c>
      <c r="BN4" s="105">
        <v>0.75</v>
      </c>
      <c r="BO4" s="105">
        <v>0.75</v>
      </c>
      <c r="BP4" s="105">
        <v>0.75</v>
      </c>
      <c r="BQ4" s="105">
        <v>0.75</v>
      </c>
      <c r="BR4" s="105">
        <v>0.75</v>
      </c>
      <c r="BS4" s="105">
        <v>0.75</v>
      </c>
      <c r="BT4" s="105">
        <v>0.75</v>
      </c>
      <c r="BU4" s="105">
        <v>0.75</v>
      </c>
      <c r="BV4" s="105">
        <v>0.75</v>
      </c>
      <c r="BW4" s="105">
        <v>0.75</v>
      </c>
      <c r="BX4" s="105">
        <v>0.75</v>
      </c>
      <c r="BY4" s="105">
        <v>0.75</v>
      </c>
      <c r="BZ4" s="105">
        <v>0.75</v>
      </c>
      <c r="CA4" s="105">
        <v>0.75</v>
      </c>
      <c r="CB4" s="105">
        <v>0.75</v>
      </c>
      <c r="CC4" s="105">
        <v>0.75</v>
      </c>
      <c r="CD4" s="92">
        <v>0.5</v>
      </c>
      <c r="CE4" s="92">
        <v>0.5</v>
      </c>
      <c r="CF4" s="92">
        <v>0.5</v>
      </c>
      <c r="CG4" s="92">
        <v>0.5</v>
      </c>
      <c r="CH4" s="92">
        <v>0.5</v>
      </c>
      <c r="CI4" s="92">
        <v>0.5</v>
      </c>
      <c r="CJ4" s="92">
        <v>0.5</v>
      </c>
      <c r="CK4" s="92">
        <v>0.5</v>
      </c>
      <c r="CL4" s="92">
        <v>0.5</v>
      </c>
      <c r="CM4" s="92">
        <v>0.5</v>
      </c>
      <c r="CN4" s="92">
        <v>0.5</v>
      </c>
      <c r="CO4" s="92">
        <v>0.5</v>
      </c>
      <c r="CP4" s="92">
        <v>0.5</v>
      </c>
      <c r="CQ4" s="92">
        <v>0.5</v>
      </c>
      <c r="CR4" s="92">
        <v>0.5</v>
      </c>
      <c r="CS4" s="92">
        <v>0.5</v>
      </c>
      <c r="CT4" s="92">
        <v>0.5</v>
      </c>
      <c r="CU4" s="92">
        <v>0.5</v>
      </c>
      <c r="CV4" s="106">
        <v>0.25</v>
      </c>
      <c r="CW4" s="106">
        <v>0.25</v>
      </c>
      <c r="CX4" s="106">
        <v>0.25</v>
      </c>
      <c r="CY4" s="106">
        <v>0.25</v>
      </c>
      <c r="CZ4" s="106">
        <v>0.25</v>
      </c>
      <c r="DA4" s="106">
        <v>0.25</v>
      </c>
      <c r="DB4" s="106">
        <v>0.25</v>
      </c>
      <c r="DC4" s="106">
        <v>0.25</v>
      </c>
      <c r="DD4" s="106">
        <v>0.25</v>
      </c>
      <c r="DE4" s="106">
        <v>0.25</v>
      </c>
      <c r="DF4" s="106">
        <v>0.25</v>
      </c>
      <c r="DG4" s="106">
        <v>0.25</v>
      </c>
      <c r="DH4" s="106">
        <v>0.25</v>
      </c>
      <c r="DI4" s="106">
        <v>0.25</v>
      </c>
      <c r="DJ4" s="106">
        <v>0.25</v>
      </c>
      <c r="DK4" s="106">
        <v>0.25</v>
      </c>
      <c r="DL4" s="106">
        <v>0.25</v>
      </c>
      <c r="DM4" s="106">
        <v>0.25</v>
      </c>
    </row>
    <row r="5" spans="2:117" x14ac:dyDescent="0.3">
      <c r="B5" s="3" t="s">
        <v>1432</v>
      </c>
      <c r="C5" s="104" t="s">
        <v>110</v>
      </c>
      <c r="D5" s="105" t="s">
        <v>110</v>
      </c>
      <c r="E5" s="92" t="s">
        <v>110</v>
      </c>
      <c r="F5" s="106" t="s">
        <v>110</v>
      </c>
      <c r="G5" s="71" t="s">
        <v>110</v>
      </c>
      <c r="H5" s="107" t="s">
        <v>110</v>
      </c>
      <c r="I5" s="58">
        <v>1.01</v>
      </c>
      <c r="J5" s="89">
        <v>1.01</v>
      </c>
      <c r="K5" s="91" t="s">
        <v>110</v>
      </c>
      <c r="L5" s="91">
        <v>0.25</v>
      </c>
      <c r="M5" s="90">
        <v>1.01</v>
      </c>
      <c r="N5" s="90">
        <v>1.01</v>
      </c>
      <c r="O5" s="90">
        <v>1.01</v>
      </c>
      <c r="P5" s="90">
        <v>1.01</v>
      </c>
      <c r="Q5" s="90">
        <v>1.01</v>
      </c>
      <c r="R5" s="90">
        <v>1.01</v>
      </c>
      <c r="S5" s="90">
        <v>1.01</v>
      </c>
      <c r="T5" s="90">
        <v>1.01</v>
      </c>
      <c r="U5" s="90">
        <v>1.01</v>
      </c>
      <c r="V5" s="90">
        <v>1.01</v>
      </c>
      <c r="W5" s="90">
        <v>0.05</v>
      </c>
      <c r="X5" s="90">
        <v>0.05</v>
      </c>
      <c r="Y5" s="90">
        <v>0.05</v>
      </c>
      <c r="Z5" s="90">
        <v>0.05</v>
      </c>
      <c r="AA5" s="90">
        <v>0.05</v>
      </c>
      <c r="AB5" s="90">
        <v>1.01</v>
      </c>
      <c r="AC5" s="90">
        <v>0.05</v>
      </c>
      <c r="AD5" s="90">
        <v>1.01</v>
      </c>
      <c r="AE5" s="90">
        <v>0.05</v>
      </c>
      <c r="AF5" s="89">
        <v>1.01</v>
      </c>
      <c r="AG5" s="89">
        <v>1.01</v>
      </c>
      <c r="AH5" s="89">
        <v>1.01</v>
      </c>
      <c r="AI5" s="89">
        <v>1.01</v>
      </c>
      <c r="AJ5" s="89">
        <v>1.01</v>
      </c>
      <c r="AK5" s="89">
        <v>1.01</v>
      </c>
      <c r="AL5" s="89">
        <v>1.01</v>
      </c>
      <c r="AM5" s="128" t="s">
        <v>110</v>
      </c>
      <c r="AN5" s="128" t="s">
        <v>110</v>
      </c>
      <c r="AO5" s="128" t="s">
        <v>110</v>
      </c>
      <c r="AP5" s="128" t="s">
        <v>110</v>
      </c>
      <c r="AQ5" s="128" t="s">
        <v>110</v>
      </c>
      <c r="AR5" s="128" t="s">
        <v>110</v>
      </c>
      <c r="AS5" s="128" t="s">
        <v>110</v>
      </c>
      <c r="AT5" s="104">
        <v>0.75</v>
      </c>
      <c r="AU5" s="104">
        <v>0.75</v>
      </c>
      <c r="AV5" s="104">
        <v>0.75</v>
      </c>
      <c r="AW5" s="104">
        <v>0.75</v>
      </c>
      <c r="AX5" s="104">
        <v>0.75</v>
      </c>
      <c r="AY5" s="104">
        <v>0.75</v>
      </c>
      <c r="AZ5" s="104">
        <v>0.75</v>
      </c>
      <c r="BA5" s="104">
        <v>0.75</v>
      </c>
      <c r="BB5" s="104">
        <v>0.75</v>
      </c>
      <c r="BC5" s="104">
        <v>0.75</v>
      </c>
      <c r="BD5" s="104">
        <v>0.75</v>
      </c>
      <c r="BE5" s="104">
        <v>0.75</v>
      </c>
      <c r="BF5" s="104">
        <v>0.75</v>
      </c>
      <c r="BG5" s="104">
        <v>0.75</v>
      </c>
      <c r="BH5" s="104">
        <v>0.75</v>
      </c>
      <c r="BI5" s="104">
        <v>0.75</v>
      </c>
      <c r="BJ5" s="104" t="s">
        <v>110</v>
      </c>
      <c r="BK5" s="104" t="s">
        <v>110</v>
      </c>
      <c r="BL5" s="105">
        <v>0.75</v>
      </c>
      <c r="BM5" s="105">
        <v>0.75</v>
      </c>
      <c r="BN5" s="105">
        <v>0.75</v>
      </c>
      <c r="BO5" s="105">
        <v>0.75</v>
      </c>
      <c r="BP5" s="105">
        <v>0.75</v>
      </c>
      <c r="BQ5" s="105">
        <v>0.75</v>
      </c>
      <c r="BR5" s="105">
        <v>0.75</v>
      </c>
      <c r="BS5" s="105">
        <v>0.75</v>
      </c>
      <c r="BT5" s="105">
        <v>0.75</v>
      </c>
      <c r="BU5" s="105">
        <v>0.75</v>
      </c>
      <c r="BV5" s="105">
        <v>0.75</v>
      </c>
      <c r="BW5" s="105">
        <v>0.75</v>
      </c>
      <c r="BX5" s="105">
        <v>0.75</v>
      </c>
      <c r="BY5" s="105">
        <v>0.75</v>
      </c>
      <c r="BZ5" s="105">
        <v>0.75</v>
      </c>
      <c r="CA5" s="105">
        <v>0.75</v>
      </c>
      <c r="CB5" s="105">
        <v>0.75</v>
      </c>
      <c r="CC5" s="105">
        <v>0.75</v>
      </c>
      <c r="CD5" s="92">
        <v>0.5</v>
      </c>
      <c r="CE5" s="92">
        <v>0.5</v>
      </c>
      <c r="CF5" s="92">
        <v>0.5</v>
      </c>
      <c r="CG5" s="92">
        <v>0.5</v>
      </c>
      <c r="CH5" s="92">
        <v>0.5</v>
      </c>
      <c r="CI5" s="92">
        <v>0.5</v>
      </c>
      <c r="CJ5" s="92">
        <v>0.5</v>
      </c>
      <c r="CK5" s="92">
        <v>0.5</v>
      </c>
      <c r="CL5" s="92">
        <v>0.5</v>
      </c>
      <c r="CM5" s="92">
        <v>0.5</v>
      </c>
      <c r="CN5" s="92">
        <v>0.5</v>
      </c>
      <c r="CO5" s="92">
        <v>0.5</v>
      </c>
      <c r="CP5" s="92">
        <v>0.5</v>
      </c>
      <c r="CQ5" s="92">
        <v>0.5</v>
      </c>
      <c r="CR5" s="92">
        <v>0.5</v>
      </c>
      <c r="CS5" s="92">
        <v>0.5</v>
      </c>
      <c r="CT5" s="92">
        <v>0.5</v>
      </c>
      <c r="CU5" s="92">
        <v>0.5</v>
      </c>
      <c r="CV5" s="106" t="s">
        <v>110</v>
      </c>
      <c r="CW5" s="106" t="s">
        <v>110</v>
      </c>
      <c r="CX5" s="106" t="s">
        <v>110</v>
      </c>
      <c r="CY5" s="106" t="s">
        <v>110</v>
      </c>
      <c r="CZ5" s="106" t="s">
        <v>110</v>
      </c>
      <c r="DA5" s="106" t="s">
        <v>110</v>
      </c>
      <c r="DB5" s="106" t="s">
        <v>110</v>
      </c>
      <c r="DC5" s="106" t="s">
        <v>110</v>
      </c>
      <c r="DD5" s="106" t="s">
        <v>110</v>
      </c>
      <c r="DE5" s="106" t="s">
        <v>110</v>
      </c>
      <c r="DF5" s="106" t="s">
        <v>110</v>
      </c>
      <c r="DG5" s="106" t="s">
        <v>110</v>
      </c>
      <c r="DH5" s="106" t="s">
        <v>110</v>
      </c>
      <c r="DI5" s="106" t="s">
        <v>110</v>
      </c>
      <c r="DJ5" s="106" t="s">
        <v>110</v>
      </c>
      <c r="DK5" s="106" t="s">
        <v>110</v>
      </c>
      <c r="DL5" s="106" t="s">
        <v>110</v>
      </c>
      <c r="DM5" s="106" t="s">
        <v>110</v>
      </c>
    </row>
    <row r="6" spans="2:117" x14ac:dyDescent="0.3">
      <c r="B6" s="3" t="s">
        <v>917</v>
      </c>
      <c r="C6" s="104"/>
      <c r="D6" s="105"/>
      <c r="E6" s="92"/>
      <c r="F6" s="106">
        <v>0.1</v>
      </c>
      <c r="G6" s="71"/>
      <c r="H6" s="107"/>
      <c r="I6" s="58"/>
      <c r="J6" s="89"/>
      <c r="K6" s="91"/>
      <c r="L6" s="91"/>
      <c r="M6" s="90">
        <v>0.2</v>
      </c>
      <c r="N6" s="90">
        <v>0.2</v>
      </c>
      <c r="O6" s="90">
        <v>0.2</v>
      </c>
      <c r="P6" s="90">
        <v>0.2</v>
      </c>
      <c r="Q6" s="90">
        <v>0.2</v>
      </c>
      <c r="R6" s="90">
        <v>0.2</v>
      </c>
      <c r="S6" s="90">
        <v>0.2</v>
      </c>
      <c r="T6" s="90">
        <v>0.2</v>
      </c>
      <c r="U6" s="90">
        <v>0.2</v>
      </c>
      <c r="V6" s="90">
        <v>0.2</v>
      </c>
      <c r="W6" s="90">
        <v>0.2</v>
      </c>
      <c r="X6" s="90">
        <v>0.2</v>
      </c>
      <c r="Y6" s="90">
        <v>0.2</v>
      </c>
      <c r="Z6" s="90">
        <v>0.2</v>
      </c>
      <c r="AA6" s="90">
        <v>0.2</v>
      </c>
      <c r="AB6" s="90">
        <v>0.2</v>
      </c>
      <c r="AC6" s="90">
        <v>0.2</v>
      </c>
      <c r="AD6" s="90">
        <v>0.2</v>
      </c>
      <c r="AE6" s="90">
        <v>0.2</v>
      </c>
      <c r="AF6" s="89"/>
      <c r="AG6" s="89" t="s">
        <v>465</v>
      </c>
      <c r="AH6" s="89" t="s">
        <v>465</v>
      </c>
      <c r="AI6" s="89" t="s">
        <v>465</v>
      </c>
      <c r="AJ6" s="89" t="s">
        <v>465</v>
      </c>
      <c r="AK6" s="89" t="s">
        <v>465</v>
      </c>
      <c r="AL6" s="89"/>
      <c r="AM6" s="128"/>
      <c r="AN6" s="128"/>
      <c r="AO6" s="128"/>
      <c r="AP6" s="128"/>
      <c r="AQ6" s="128"/>
      <c r="AR6" s="128"/>
      <c r="AS6" s="128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106">
        <v>0.1</v>
      </c>
      <c r="CW6" s="106">
        <v>0.1</v>
      </c>
      <c r="CX6" s="106">
        <v>0.1</v>
      </c>
      <c r="CY6" s="106">
        <v>0.1</v>
      </c>
      <c r="CZ6" s="106">
        <v>0.1</v>
      </c>
      <c r="DA6" s="106">
        <v>0.1</v>
      </c>
      <c r="DB6" s="106">
        <v>0.1</v>
      </c>
      <c r="DC6" s="106">
        <v>0.1</v>
      </c>
      <c r="DD6" s="106">
        <v>0.1</v>
      </c>
      <c r="DE6" s="106">
        <v>0.1</v>
      </c>
      <c r="DF6" s="106">
        <v>0.1</v>
      </c>
      <c r="DG6" s="106">
        <v>0.1</v>
      </c>
      <c r="DH6" s="106">
        <v>0.1</v>
      </c>
      <c r="DI6" s="106">
        <v>0.1</v>
      </c>
      <c r="DJ6" s="106">
        <v>0.1</v>
      </c>
      <c r="DK6" s="106">
        <v>0.1</v>
      </c>
      <c r="DL6" s="106">
        <v>0.1</v>
      </c>
      <c r="DM6" s="106">
        <v>0.1</v>
      </c>
    </row>
    <row r="7" spans="2:117" x14ac:dyDescent="0.3">
      <c r="B7" s="3" t="s">
        <v>1433</v>
      </c>
      <c r="C7" s="104"/>
      <c r="D7" s="105"/>
      <c r="E7" s="92"/>
      <c r="F7" s="106" t="s">
        <v>110</v>
      </c>
      <c r="G7" s="71"/>
      <c r="H7" s="107"/>
      <c r="I7" s="58"/>
      <c r="J7" s="89"/>
      <c r="K7" s="91"/>
      <c r="L7" s="91">
        <v>0.01</v>
      </c>
      <c r="M7" s="90" t="s">
        <v>110</v>
      </c>
      <c r="N7" s="90" t="s">
        <v>110</v>
      </c>
      <c r="O7" s="90" t="s">
        <v>110</v>
      </c>
      <c r="P7" s="90" t="s">
        <v>110</v>
      </c>
      <c r="Q7" s="90" t="s">
        <v>110</v>
      </c>
      <c r="R7" s="90" t="s">
        <v>110</v>
      </c>
      <c r="S7" s="90" t="s">
        <v>110</v>
      </c>
      <c r="T7" s="90" t="s">
        <v>110</v>
      </c>
      <c r="U7" s="90" t="s">
        <v>110</v>
      </c>
      <c r="V7" s="90" t="s">
        <v>110</v>
      </c>
      <c r="W7" s="90" t="s">
        <v>110</v>
      </c>
      <c r="X7" s="90" t="s">
        <v>110</v>
      </c>
      <c r="Y7" s="90" t="s">
        <v>110</v>
      </c>
      <c r="Z7" s="90" t="s">
        <v>110</v>
      </c>
      <c r="AA7" s="90" t="s">
        <v>110</v>
      </c>
      <c r="AB7" s="90" t="s">
        <v>110</v>
      </c>
      <c r="AC7" s="90" t="s">
        <v>110</v>
      </c>
      <c r="AD7" s="90" t="s">
        <v>110</v>
      </c>
      <c r="AE7" s="90" t="s">
        <v>110</v>
      </c>
      <c r="AF7" s="89"/>
      <c r="AG7" s="89"/>
      <c r="AH7" s="89"/>
      <c r="AI7" s="89"/>
      <c r="AJ7" s="89"/>
      <c r="AK7" s="89"/>
      <c r="AL7" s="89"/>
      <c r="AM7" s="128"/>
      <c r="AN7" s="128"/>
      <c r="AO7" s="128"/>
      <c r="AP7" s="128"/>
      <c r="AQ7" s="128"/>
      <c r="AR7" s="128"/>
      <c r="AS7" s="128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2"/>
      <c r="CP7" s="92"/>
      <c r="CQ7" s="92"/>
      <c r="CR7" s="92"/>
      <c r="CS7" s="92"/>
      <c r="CT7" s="92"/>
      <c r="CU7" s="92"/>
      <c r="CV7" s="106" t="s">
        <v>110</v>
      </c>
      <c r="CW7" s="106" t="s">
        <v>110</v>
      </c>
      <c r="CX7" s="106" t="s">
        <v>110</v>
      </c>
      <c r="CY7" s="106" t="s">
        <v>110</v>
      </c>
      <c r="CZ7" s="106" t="s">
        <v>110</v>
      </c>
      <c r="DA7" s="106" t="s">
        <v>110</v>
      </c>
      <c r="DB7" s="106" t="s">
        <v>110</v>
      </c>
      <c r="DC7" s="106" t="s">
        <v>110</v>
      </c>
      <c r="DD7" s="106" t="s">
        <v>110</v>
      </c>
      <c r="DE7" s="106" t="s">
        <v>110</v>
      </c>
      <c r="DF7" s="106" t="s">
        <v>110</v>
      </c>
      <c r="DG7" s="106" t="s">
        <v>110</v>
      </c>
      <c r="DH7" s="106" t="s">
        <v>110</v>
      </c>
      <c r="DI7" s="106" t="s">
        <v>110</v>
      </c>
      <c r="DJ7" s="106" t="s">
        <v>110</v>
      </c>
      <c r="DK7" s="106" t="s">
        <v>110</v>
      </c>
      <c r="DL7" s="106" t="s">
        <v>110</v>
      </c>
      <c r="DM7" s="106" t="s">
        <v>110</v>
      </c>
    </row>
    <row r="8" spans="2:117" x14ac:dyDescent="0.3">
      <c r="C8" s="104"/>
      <c r="D8" s="105"/>
      <c r="E8" s="92"/>
      <c r="F8" s="106"/>
      <c r="G8" s="71"/>
      <c r="H8" s="107"/>
      <c r="I8" s="58"/>
      <c r="J8" s="89"/>
      <c r="K8" s="91"/>
      <c r="L8" s="91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89"/>
      <c r="AG8" s="89"/>
      <c r="AH8" s="89"/>
      <c r="AI8" s="89"/>
      <c r="AJ8" s="89"/>
      <c r="AK8" s="89"/>
      <c r="AL8" s="89"/>
      <c r="AM8" s="128"/>
      <c r="AN8" s="128"/>
      <c r="AO8" s="128"/>
      <c r="AP8" s="128"/>
      <c r="AQ8" s="128"/>
      <c r="AR8" s="128"/>
      <c r="AS8" s="128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05"/>
      <c r="CB8" s="105"/>
      <c r="CC8" s="105"/>
      <c r="CD8" s="92"/>
      <c r="CE8" s="92"/>
      <c r="CF8" s="92"/>
      <c r="CG8" s="92"/>
      <c r="CH8" s="92"/>
      <c r="CI8" s="92"/>
      <c r="CJ8" s="92"/>
      <c r="CK8" s="92"/>
      <c r="CL8" s="92"/>
      <c r="CM8" s="92"/>
      <c r="CN8" s="92"/>
      <c r="CO8" s="92"/>
      <c r="CP8" s="92"/>
      <c r="CQ8" s="92"/>
      <c r="CR8" s="92"/>
      <c r="CS8" s="92"/>
      <c r="CT8" s="92"/>
      <c r="CU8" s="92"/>
      <c r="CV8" s="106"/>
      <c r="CW8" s="106"/>
      <c r="CX8" s="106"/>
      <c r="CY8" s="106"/>
      <c r="CZ8" s="106"/>
      <c r="DA8" s="106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</row>
    <row r="9" spans="2:117" x14ac:dyDescent="0.3">
      <c r="C9" s="104" t="s">
        <v>910</v>
      </c>
      <c r="D9" s="105" t="s">
        <v>925</v>
      </c>
      <c r="E9" s="92" t="s">
        <v>911</v>
      </c>
      <c r="F9" s="106" t="s">
        <v>923</v>
      </c>
      <c r="G9" s="71" t="s">
        <v>912</v>
      </c>
      <c r="H9" s="107" t="s">
        <v>924</v>
      </c>
      <c r="I9" s="58" t="s">
        <v>913</v>
      </c>
      <c r="J9" s="89" t="s">
        <v>914</v>
      </c>
      <c r="K9" s="91" t="s">
        <v>922</v>
      </c>
      <c r="L9" s="91" t="s">
        <v>1207</v>
      </c>
      <c r="M9" s="90" t="s">
        <v>714</v>
      </c>
      <c r="N9" s="90" t="s">
        <v>716</v>
      </c>
      <c r="O9" s="90" t="s">
        <v>717</v>
      </c>
      <c r="P9" s="90" t="s">
        <v>718</v>
      </c>
      <c r="Q9" s="90" t="s">
        <v>715</v>
      </c>
      <c r="R9" s="90" t="s">
        <v>1335</v>
      </c>
      <c r="S9" s="90" t="s">
        <v>1336</v>
      </c>
      <c r="T9" s="90" t="s">
        <v>1337</v>
      </c>
      <c r="U9" s="90" t="s">
        <v>1338</v>
      </c>
      <c r="V9" s="90" t="s">
        <v>1353</v>
      </c>
      <c r="W9" s="90" t="s">
        <v>1344</v>
      </c>
      <c r="X9" s="90" t="s">
        <v>1345</v>
      </c>
      <c r="Y9" s="90" t="s">
        <v>1346</v>
      </c>
      <c r="Z9" s="90" t="s">
        <v>1347</v>
      </c>
      <c r="AA9" s="90" t="s">
        <v>1388</v>
      </c>
      <c r="AB9" s="90" t="s">
        <v>1160</v>
      </c>
      <c r="AC9" s="90" t="s">
        <v>1161</v>
      </c>
      <c r="AD9" s="90" t="s">
        <v>1162</v>
      </c>
      <c r="AE9" s="90" t="s">
        <v>1163</v>
      </c>
      <c r="AF9" s="89" t="s">
        <v>1737</v>
      </c>
      <c r="AG9" s="89" t="s">
        <v>1731</v>
      </c>
      <c r="AH9" s="89" t="s">
        <v>1732</v>
      </c>
      <c r="AI9" s="89" t="s">
        <v>1733</v>
      </c>
      <c r="AJ9" s="89" t="s">
        <v>1734</v>
      </c>
      <c r="AK9" s="89" t="s">
        <v>1735</v>
      </c>
      <c r="AL9" s="89" t="s">
        <v>1736</v>
      </c>
      <c r="AM9" s="128" t="s">
        <v>1724</v>
      </c>
      <c r="AN9" s="128" t="s">
        <v>1725</v>
      </c>
      <c r="AO9" s="128" t="s">
        <v>1726</v>
      </c>
      <c r="AP9" s="128" t="s">
        <v>1727</v>
      </c>
      <c r="AQ9" s="128" t="s">
        <v>1728</v>
      </c>
      <c r="AR9" s="128" t="s">
        <v>1729</v>
      </c>
      <c r="AS9" s="128" t="s">
        <v>1730</v>
      </c>
      <c r="AT9" s="108" t="s">
        <v>1066</v>
      </c>
      <c r="AU9" s="108" t="s">
        <v>1067</v>
      </c>
      <c r="AV9" s="108" t="s">
        <v>1068</v>
      </c>
      <c r="AW9" s="108" t="s">
        <v>1069</v>
      </c>
      <c r="AX9" s="108" t="s">
        <v>1070</v>
      </c>
      <c r="AY9" s="108" t="s">
        <v>1071</v>
      </c>
      <c r="AZ9" s="108" t="s">
        <v>1072</v>
      </c>
      <c r="BA9" s="108" t="s">
        <v>1073</v>
      </c>
      <c r="BB9" s="108" t="s">
        <v>1074</v>
      </c>
      <c r="BC9" s="108" t="s">
        <v>1075</v>
      </c>
      <c r="BD9" s="108" t="s">
        <v>1076</v>
      </c>
      <c r="BE9" s="108" t="s">
        <v>1077</v>
      </c>
      <c r="BF9" s="108" t="s">
        <v>1078</v>
      </c>
      <c r="BG9" s="108" t="s">
        <v>1079</v>
      </c>
      <c r="BH9" s="108" t="s">
        <v>1080</v>
      </c>
      <c r="BI9" s="108" t="s">
        <v>1081</v>
      </c>
      <c r="BJ9" s="108" t="s">
        <v>1082</v>
      </c>
      <c r="BK9" s="108" t="s">
        <v>1083</v>
      </c>
      <c r="BL9" s="105" t="s">
        <v>1102</v>
      </c>
      <c r="BM9" s="105" t="s">
        <v>1103</v>
      </c>
      <c r="BN9" s="105" t="s">
        <v>1104</v>
      </c>
      <c r="BO9" s="105" t="s">
        <v>1105</v>
      </c>
      <c r="BP9" s="105" t="s">
        <v>1106</v>
      </c>
      <c r="BQ9" s="105" t="s">
        <v>1107</v>
      </c>
      <c r="BR9" s="105" t="s">
        <v>1108</v>
      </c>
      <c r="BS9" s="105" t="s">
        <v>1109</v>
      </c>
      <c r="BT9" s="105" t="s">
        <v>1110</v>
      </c>
      <c r="BU9" s="105" t="s">
        <v>1111</v>
      </c>
      <c r="BV9" s="105" t="s">
        <v>1112</v>
      </c>
      <c r="BW9" s="105" t="s">
        <v>1113</v>
      </c>
      <c r="BX9" s="105" t="s">
        <v>1114</v>
      </c>
      <c r="BY9" s="105" t="s">
        <v>1115</v>
      </c>
      <c r="BZ9" s="105" t="s">
        <v>1116</v>
      </c>
      <c r="CA9" s="105" t="s">
        <v>1117</v>
      </c>
      <c r="CB9" s="105" t="s">
        <v>1118</v>
      </c>
      <c r="CC9" s="105" t="s">
        <v>1119</v>
      </c>
      <c r="CD9" s="92" t="s">
        <v>1084</v>
      </c>
      <c r="CE9" s="92" t="s">
        <v>1085</v>
      </c>
      <c r="CF9" s="92" t="s">
        <v>1086</v>
      </c>
      <c r="CG9" s="92" t="s">
        <v>1087</v>
      </c>
      <c r="CH9" s="92" t="s">
        <v>1088</v>
      </c>
      <c r="CI9" s="92" t="s">
        <v>1089</v>
      </c>
      <c r="CJ9" s="92" t="s">
        <v>1090</v>
      </c>
      <c r="CK9" s="92" t="s">
        <v>1091</v>
      </c>
      <c r="CL9" s="92" t="s">
        <v>1092</v>
      </c>
      <c r="CM9" s="92" t="s">
        <v>1093</v>
      </c>
      <c r="CN9" s="92" t="s">
        <v>1094</v>
      </c>
      <c r="CO9" s="92" t="s">
        <v>1095</v>
      </c>
      <c r="CP9" s="92" t="s">
        <v>1096</v>
      </c>
      <c r="CQ9" s="92" t="s">
        <v>1097</v>
      </c>
      <c r="CR9" s="92" t="s">
        <v>1098</v>
      </c>
      <c r="CS9" s="92" t="s">
        <v>1099</v>
      </c>
      <c r="CT9" s="92" t="s">
        <v>1100</v>
      </c>
      <c r="CU9" s="92" t="s">
        <v>1101</v>
      </c>
      <c r="CV9" s="109" t="s">
        <v>1012</v>
      </c>
      <c r="CW9" s="109" t="s">
        <v>1013</v>
      </c>
      <c r="CX9" s="109" t="s">
        <v>1014</v>
      </c>
      <c r="CY9" s="109" t="s">
        <v>1015</v>
      </c>
      <c r="CZ9" s="109" t="s">
        <v>1016</v>
      </c>
      <c r="DA9" s="109" t="s">
        <v>1017</v>
      </c>
      <c r="DB9" s="109" t="s">
        <v>1018</v>
      </c>
      <c r="DC9" s="109" t="s">
        <v>1019</v>
      </c>
      <c r="DD9" s="109" t="s">
        <v>1020</v>
      </c>
      <c r="DE9" s="109" t="s">
        <v>1021</v>
      </c>
      <c r="DF9" s="109" t="s">
        <v>1022</v>
      </c>
      <c r="DG9" s="109" t="s">
        <v>1023</v>
      </c>
      <c r="DH9" s="109" t="s">
        <v>1024</v>
      </c>
      <c r="DI9" s="109" t="s">
        <v>1025</v>
      </c>
      <c r="DJ9" s="109" t="s">
        <v>1026</v>
      </c>
      <c r="DK9" s="109" t="s">
        <v>1027</v>
      </c>
      <c r="DL9" s="109" t="s">
        <v>1028</v>
      </c>
      <c r="DM9" s="109" t="s">
        <v>1029</v>
      </c>
    </row>
    <row r="10" spans="2:117" x14ac:dyDescent="0.3">
      <c r="B10" s="128" t="s">
        <v>1450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>
        <v>1</v>
      </c>
      <c r="AN10" s="128">
        <v>1</v>
      </c>
      <c r="AO10" s="128">
        <v>1</v>
      </c>
      <c r="AP10" s="128">
        <v>1</v>
      </c>
      <c r="AQ10" s="128">
        <v>1</v>
      </c>
      <c r="AR10" s="128">
        <v>1</v>
      </c>
      <c r="AS10" s="128">
        <v>1</v>
      </c>
      <c r="CD10" s="92"/>
      <c r="CE10" s="92"/>
      <c r="CF10" s="92"/>
      <c r="CG10" s="92"/>
      <c r="CH10" s="92"/>
      <c r="CI10" s="92"/>
      <c r="CJ10" s="92"/>
      <c r="CK10" s="92"/>
      <c r="CL10" s="92"/>
      <c r="CM10" s="92"/>
      <c r="CN10" s="92"/>
      <c r="CO10" s="92"/>
      <c r="CP10" s="92"/>
      <c r="CQ10" s="92"/>
      <c r="CR10" s="92"/>
      <c r="CS10" s="92"/>
      <c r="CT10" s="92"/>
      <c r="CU10" s="92"/>
      <c r="CV10" s="106"/>
      <c r="CW10" s="106"/>
      <c r="CX10" s="106"/>
      <c r="CY10" s="106"/>
      <c r="CZ10" s="106"/>
      <c r="DA10" s="106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</row>
    <row r="11" spans="2:117" x14ac:dyDescent="0.3">
      <c r="B11" s="104" t="s">
        <v>636</v>
      </c>
      <c r="C11" s="104">
        <v>1</v>
      </c>
      <c r="D11" s="105"/>
      <c r="E11" s="92"/>
      <c r="F11" s="106"/>
      <c r="G11" s="71">
        <v>1</v>
      </c>
      <c r="H11" s="107"/>
      <c r="I11" s="58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>
        <v>1</v>
      </c>
      <c r="AU11" s="104">
        <v>1</v>
      </c>
      <c r="AV11" s="104">
        <v>1</v>
      </c>
      <c r="AW11" s="104">
        <v>1</v>
      </c>
      <c r="AX11" s="104">
        <v>1</v>
      </c>
      <c r="AY11" s="104">
        <v>1</v>
      </c>
      <c r="AZ11" s="104">
        <v>1</v>
      </c>
      <c r="BA11" s="104">
        <v>1</v>
      </c>
      <c r="BB11" s="104">
        <v>1</v>
      </c>
      <c r="BC11" s="104">
        <v>1</v>
      </c>
      <c r="BD11" s="104">
        <v>1</v>
      </c>
      <c r="BE11" s="104">
        <v>1</v>
      </c>
      <c r="BF11" s="104">
        <v>1</v>
      </c>
      <c r="BG11" s="104">
        <v>1</v>
      </c>
      <c r="BH11" s="104">
        <v>1</v>
      </c>
      <c r="BI11" s="104">
        <v>1</v>
      </c>
      <c r="BJ11" s="104">
        <v>1</v>
      </c>
      <c r="BK11" s="104">
        <v>1</v>
      </c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05"/>
      <c r="BZ11" s="105"/>
      <c r="CA11" s="105"/>
      <c r="CB11" s="105"/>
      <c r="CC11" s="105"/>
      <c r="CD11" s="92"/>
      <c r="CE11" s="92"/>
      <c r="CF11" s="92"/>
      <c r="CG11" s="92"/>
      <c r="CH11" s="92"/>
      <c r="CI11" s="92"/>
      <c r="CJ11" s="92"/>
      <c r="CK11" s="92"/>
      <c r="CL11" s="92"/>
      <c r="CM11" s="92"/>
      <c r="CN11" s="92"/>
      <c r="CO11" s="92"/>
      <c r="CP11" s="92"/>
      <c r="CQ11" s="92"/>
      <c r="CR11" s="92"/>
      <c r="CS11" s="92"/>
      <c r="CT11" s="92"/>
      <c r="CU11" s="92"/>
      <c r="CV11" s="106"/>
      <c r="CW11" s="106"/>
      <c r="CX11" s="106"/>
      <c r="CY11" s="106"/>
      <c r="CZ11" s="106"/>
      <c r="DA11" s="106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</row>
    <row r="12" spans="2:117" x14ac:dyDescent="0.3">
      <c r="B12" s="104" t="s">
        <v>637</v>
      </c>
      <c r="C12" s="104">
        <v>1</v>
      </c>
      <c r="D12" s="105"/>
      <c r="E12" s="92"/>
      <c r="F12" s="106"/>
      <c r="G12" s="71">
        <v>1</v>
      </c>
      <c r="H12" s="107"/>
      <c r="I12" s="58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>
        <v>1</v>
      </c>
      <c r="AU12" s="104">
        <v>1</v>
      </c>
      <c r="AV12" s="104">
        <v>1</v>
      </c>
      <c r="AW12" s="104">
        <v>1</v>
      </c>
      <c r="AX12" s="104">
        <v>1</v>
      </c>
      <c r="AY12" s="104">
        <v>1</v>
      </c>
      <c r="AZ12" s="104">
        <v>1</v>
      </c>
      <c r="BA12" s="104">
        <v>1</v>
      </c>
      <c r="BB12" s="104">
        <v>1</v>
      </c>
      <c r="BC12" s="104">
        <v>1</v>
      </c>
      <c r="BD12" s="104">
        <v>1</v>
      </c>
      <c r="BE12" s="104">
        <v>1</v>
      </c>
      <c r="BF12" s="104">
        <v>1</v>
      </c>
      <c r="BG12" s="104">
        <v>1</v>
      </c>
      <c r="BH12" s="104">
        <v>1</v>
      </c>
      <c r="BI12" s="104">
        <v>1</v>
      </c>
      <c r="BJ12" s="104">
        <v>1</v>
      </c>
      <c r="BK12" s="104">
        <v>1</v>
      </c>
      <c r="BL12" s="105"/>
      <c r="BM12" s="105"/>
      <c r="BN12" s="105"/>
      <c r="BO12" s="105"/>
      <c r="BP12" s="105"/>
      <c r="BQ12" s="105"/>
      <c r="BR12" s="105"/>
      <c r="BS12" s="105"/>
      <c r="BT12" s="105"/>
      <c r="BU12" s="105"/>
      <c r="BV12" s="105"/>
      <c r="BW12" s="105"/>
      <c r="BX12" s="105"/>
      <c r="BY12" s="105"/>
      <c r="BZ12" s="105"/>
      <c r="CA12" s="105"/>
      <c r="CB12" s="105"/>
      <c r="CC12" s="105"/>
      <c r="CD12" s="92"/>
      <c r="CE12" s="92"/>
      <c r="CF12" s="92"/>
      <c r="CG12" s="92"/>
      <c r="CH12" s="92"/>
      <c r="CI12" s="92"/>
      <c r="CJ12" s="92"/>
      <c r="CK12" s="92"/>
      <c r="CL12" s="92"/>
      <c r="CM12" s="92"/>
      <c r="CN12" s="92"/>
      <c r="CO12" s="92"/>
      <c r="CP12" s="92"/>
      <c r="CQ12" s="92"/>
      <c r="CR12" s="92"/>
      <c r="CS12" s="92"/>
      <c r="CT12" s="92"/>
      <c r="CU12" s="92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</row>
    <row r="13" spans="2:117" x14ac:dyDescent="0.3">
      <c r="B13" s="104" t="s">
        <v>638</v>
      </c>
      <c r="C13" s="104">
        <v>1</v>
      </c>
      <c r="D13" s="105"/>
      <c r="E13" s="92"/>
      <c r="F13" s="106"/>
      <c r="G13" s="71">
        <v>1</v>
      </c>
      <c r="H13" s="107"/>
      <c r="I13" s="58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>
        <v>1</v>
      </c>
      <c r="AU13" s="104">
        <v>1</v>
      </c>
      <c r="AV13" s="104">
        <v>1</v>
      </c>
      <c r="AW13" s="104">
        <v>1</v>
      </c>
      <c r="AX13" s="104">
        <v>1</v>
      </c>
      <c r="AY13" s="104">
        <v>1</v>
      </c>
      <c r="AZ13" s="104">
        <v>1</v>
      </c>
      <c r="BA13" s="104">
        <v>1</v>
      </c>
      <c r="BB13" s="104">
        <v>1</v>
      </c>
      <c r="BC13" s="104">
        <v>1</v>
      </c>
      <c r="BD13" s="104">
        <v>1</v>
      </c>
      <c r="BE13" s="104">
        <v>1</v>
      </c>
      <c r="BF13" s="104">
        <v>1</v>
      </c>
      <c r="BG13" s="104">
        <v>1</v>
      </c>
      <c r="BH13" s="104">
        <v>1</v>
      </c>
      <c r="BI13" s="104">
        <v>1</v>
      </c>
      <c r="BJ13" s="104">
        <v>1</v>
      </c>
      <c r="BK13" s="104">
        <v>1</v>
      </c>
      <c r="BL13" s="105"/>
      <c r="BM13" s="105"/>
      <c r="BN13" s="105"/>
      <c r="BO13" s="105"/>
      <c r="BP13" s="105"/>
      <c r="BQ13" s="105"/>
      <c r="BR13" s="105"/>
      <c r="BS13" s="105"/>
      <c r="BT13" s="105"/>
      <c r="BU13" s="105"/>
      <c r="BV13" s="105"/>
      <c r="BW13" s="105"/>
      <c r="BX13" s="105"/>
      <c r="BY13" s="105"/>
      <c r="BZ13" s="105"/>
      <c r="CA13" s="105"/>
      <c r="CB13" s="105"/>
      <c r="CC13" s="105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106"/>
      <c r="CW13" s="106"/>
      <c r="CX13" s="106"/>
      <c r="CY13" s="106"/>
      <c r="CZ13" s="106"/>
      <c r="DA13" s="106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</row>
    <row r="14" spans="2:117" x14ac:dyDescent="0.3">
      <c r="B14" s="104" t="s">
        <v>639</v>
      </c>
      <c r="C14" s="104">
        <v>1</v>
      </c>
      <c r="D14" s="105"/>
      <c r="E14" s="92"/>
      <c r="F14" s="106"/>
      <c r="G14" s="71">
        <v>1</v>
      </c>
      <c r="H14" s="107"/>
      <c r="I14" s="58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>
        <v>1</v>
      </c>
      <c r="AU14" s="104">
        <v>1</v>
      </c>
      <c r="AV14" s="104">
        <v>1</v>
      </c>
      <c r="AW14" s="104">
        <v>1</v>
      </c>
      <c r="AX14" s="104">
        <v>1</v>
      </c>
      <c r="AY14" s="104">
        <v>1</v>
      </c>
      <c r="AZ14" s="104">
        <v>1</v>
      </c>
      <c r="BA14" s="104">
        <v>1</v>
      </c>
      <c r="BB14" s="104">
        <v>1</v>
      </c>
      <c r="BC14" s="104">
        <v>1</v>
      </c>
      <c r="BD14" s="104">
        <v>1</v>
      </c>
      <c r="BE14" s="104">
        <v>1</v>
      </c>
      <c r="BF14" s="104">
        <v>1</v>
      </c>
      <c r="BG14" s="104">
        <v>1</v>
      </c>
      <c r="BH14" s="104">
        <v>1</v>
      </c>
      <c r="BI14" s="104">
        <v>1</v>
      </c>
      <c r="BJ14" s="104">
        <v>1</v>
      </c>
      <c r="BK14" s="104">
        <v>1</v>
      </c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05"/>
      <c r="BY14" s="105"/>
      <c r="BZ14" s="105"/>
      <c r="CA14" s="105"/>
      <c r="CB14" s="105"/>
      <c r="CC14" s="105"/>
      <c r="CD14" s="92"/>
      <c r="CE14" s="92"/>
      <c r="CF14" s="92"/>
      <c r="CG14" s="92"/>
      <c r="CH14" s="92"/>
      <c r="CI14" s="92"/>
      <c r="CJ14" s="92"/>
      <c r="CK14" s="92"/>
      <c r="CL14" s="92"/>
      <c r="CM14" s="92"/>
      <c r="CN14" s="92"/>
      <c r="CO14" s="92"/>
      <c r="CP14" s="92"/>
      <c r="CQ14" s="92"/>
      <c r="CR14" s="92"/>
      <c r="CS14" s="92"/>
      <c r="CT14" s="92"/>
      <c r="CU14" s="92"/>
      <c r="CV14" s="106"/>
      <c r="CW14" s="106"/>
      <c r="CX14" s="106"/>
      <c r="CY14" s="106"/>
      <c r="CZ14" s="106"/>
      <c r="DA14" s="106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</row>
    <row r="15" spans="2:117" x14ac:dyDescent="0.3">
      <c r="B15" s="104" t="s">
        <v>640</v>
      </c>
      <c r="C15" s="104">
        <v>1</v>
      </c>
      <c r="D15" s="105"/>
      <c r="E15" s="92"/>
      <c r="F15" s="106"/>
      <c r="G15" s="71">
        <v>1</v>
      </c>
      <c r="H15" s="107"/>
      <c r="I15" s="58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>
        <v>1</v>
      </c>
      <c r="AU15" s="104">
        <v>1</v>
      </c>
      <c r="AV15" s="104">
        <v>1</v>
      </c>
      <c r="AW15" s="104">
        <v>1</v>
      </c>
      <c r="AX15" s="104">
        <v>1</v>
      </c>
      <c r="AY15" s="104">
        <v>1</v>
      </c>
      <c r="AZ15" s="104">
        <v>1</v>
      </c>
      <c r="BA15" s="104">
        <v>1</v>
      </c>
      <c r="BB15" s="104">
        <v>1</v>
      </c>
      <c r="BC15" s="104">
        <v>1</v>
      </c>
      <c r="BD15" s="104">
        <v>1</v>
      </c>
      <c r="BE15" s="104">
        <v>1</v>
      </c>
      <c r="BF15" s="104">
        <v>1</v>
      </c>
      <c r="BG15" s="104">
        <v>1</v>
      </c>
      <c r="BH15" s="104">
        <v>1</v>
      </c>
      <c r="BI15" s="104">
        <v>1</v>
      </c>
      <c r="BJ15" s="104">
        <v>1</v>
      </c>
      <c r="BK15" s="104">
        <v>1</v>
      </c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92"/>
      <c r="CE15" s="92"/>
      <c r="CF15" s="92"/>
      <c r="CG15" s="92"/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2"/>
      <c r="CU15" s="92"/>
      <c r="CV15" s="106"/>
      <c r="CW15" s="106"/>
      <c r="CX15" s="106"/>
      <c r="CY15" s="106"/>
      <c r="CZ15" s="106"/>
      <c r="DA15" s="106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</row>
    <row r="16" spans="2:117" x14ac:dyDescent="0.3">
      <c r="B16" s="104" t="s">
        <v>641</v>
      </c>
      <c r="C16" s="104">
        <v>1</v>
      </c>
      <c r="D16" s="105"/>
      <c r="E16" s="92"/>
      <c r="F16" s="106"/>
      <c r="G16" s="71">
        <v>1</v>
      </c>
      <c r="H16" s="107"/>
      <c r="I16" s="58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>
        <v>1</v>
      </c>
      <c r="AU16" s="104">
        <v>1</v>
      </c>
      <c r="AV16" s="104">
        <v>1</v>
      </c>
      <c r="AW16" s="104">
        <v>1</v>
      </c>
      <c r="AX16" s="104">
        <v>1</v>
      </c>
      <c r="AY16" s="104">
        <v>1</v>
      </c>
      <c r="AZ16" s="104">
        <v>1</v>
      </c>
      <c r="BA16" s="104">
        <v>1</v>
      </c>
      <c r="BB16" s="104">
        <v>1</v>
      </c>
      <c r="BC16" s="104">
        <v>1</v>
      </c>
      <c r="BD16" s="104">
        <v>1</v>
      </c>
      <c r="BE16" s="104">
        <v>1</v>
      </c>
      <c r="BF16" s="104">
        <v>1</v>
      </c>
      <c r="BG16" s="104">
        <v>1</v>
      </c>
      <c r="BH16" s="104">
        <v>1</v>
      </c>
      <c r="BI16" s="104">
        <v>1</v>
      </c>
      <c r="BJ16" s="104">
        <v>1</v>
      </c>
      <c r="BK16" s="104">
        <v>1</v>
      </c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92"/>
      <c r="CE16" s="92"/>
      <c r="CF16" s="92"/>
      <c r="CG16" s="92"/>
      <c r="CH16" s="92"/>
      <c r="CI16" s="92"/>
      <c r="CJ16" s="92"/>
      <c r="CK16" s="92"/>
      <c r="CL16" s="92"/>
      <c r="CM16" s="92"/>
      <c r="CN16" s="92"/>
      <c r="CO16" s="92"/>
      <c r="CP16" s="92"/>
      <c r="CQ16" s="92"/>
      <c r="CR16" s="92"/>
      <c r="CS16" s="92"/>
      <c r="CT16" s="92"/>
      <c r="CU16" s="92"/>
      <c r="CV16" s="106"/>
      <c r="CW16" s="106"/>
      <c r="CX16" s="106"/>
      <c r="CY16" s="106"/>
      <c r="CZ16" s="106"/>
      <c r="DA16" s="106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</row>
    <row r="17" spans="2:117" x14ac:dyDescent="0.3">
      <c r="B17" s="104" t="s">
        <v>642</v>
      </c>
      <c r="C17" s="104">
        <v>1</v>
      </c>
      <c r="D17" s="105"/>
      <c r="E17" s="92"/>
      <c r="F17" s="106"/>
      <c r="G17" s="71">
        <v>1</v>
      </c>
      <c r="H17" s="107"/>
      <c r="I17" s="58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>
        <v>1</v>
      </c>
      <c r="AU17" s="104">
        <v>1</v>
      </c>
      <c r="AV17" s="104">
        <v>1</v>
      </c>
      <c r="AW17" s="104">
        <v>1</v>
      </c>
      <c r="AX17" s="104">
        <v>1</v>
      </c>
      <c r="AY17" s="104">
        <v>1</v>
      </c>
      <c r="AZ17" s="104">
        <v>1</v>
      </c>
      <c r="BA17" s="104">
        <v>1</v>
      </c>
      <c r="BB17" s="104">
        <v>1</v>
      </c>
      <c r="BC17" s="104">
        <v>1</v>
      </c>
      <c r="BD17" s="104">
        <v>1</v>
      </c>
      <c r="BE17" s="104">
        <v>1</v>
      </c>
      <c r="BF17" s="104">
        <v>1</v>
      </c>
      <c r="BG17" s="104">
        <v>1</v>
      </c>
      <c r="BH17" s="104">
        <v>1</v>
      </c>
      <c r="BI17" s="104">
        <v>1</v>
      </c>
      <c r="BJ17" s="104">
        <v>1</v>
      </c>
      <c r="BK17" s="104">
        <v>1</v>
      </c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92"/>
      <c r="CE17" s="92"/>
      <c r="CF17" s="92"/>
      <c r="CG17" s="92"/>
      <c r="CH17" s="92"/>
      <c r="CI17" s="92"/>
      <c r="CJ17" s="92"/>
      <c r="CK17" s="92"/>
      <c r="CL17" s="92"/>
      <c r="CM17" s="92"/>
      <c r="CN17" s="92"/>
      <c r="CO17" s="92"/>
      <c r="CP17" s="92"/>
      <c r="CQ17" s="92"/>
      <c r="CR17" s="92"/>
      <c r="CS17" s="92"/>
      <c r="CT17" s="92"/>
      <c r="CU17" s="92"/>
      <c r="CV17" s="106"/>
      <c r="CW17" s="106"/>
      <c r="CX17" s="106"/>
      <c r="CY17" s="106"/>
      <c r="CZ17" s="106"/>
      <c r="DA17" s="106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</row>
    <row r="18" spans="2:117" x14ac:dyDescent="0.3">
      <c r="B18" s="104" t="s">
        <v>643</v>
      </c>
      <c r="C18" s="104">
        <v>1</v>
      </c>
      <c r="D18" s="105"/>
      <c r="E18" s="92"/>
      <c r="F18" s="106"/>
      <c r="G18" s="71">
        <v>1</v>
      </c>
      <c r="H18" s="107"/>
      <c r="I18" s="58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>
        <v>1</v>
      </c>
      <c r="AU18" s="104">
        <v>1</v>
      </c>
      <c r="AV18" s="104">
        <v>1</v>
      </c>
      <c r="AW18" s="104">
        <v>1</v>
      </c>
      <c r="AX18" s="104">
        <v>1</v>
      </c>
      <c r="AY18" s="104">
        <v>1</v>
      </c>
      <c r="AZ18" s="104">
        <v>1</v>
      </c>
      <c r="BA18" s="104">
        <v>1</v>
      </c>
      <c r="BB18" s="104">
        <v>1</v>
      </c>
      <c r="BC18" s="104">
        <v>1</v>
      </c>
      <c r="BD18" s="104">
        <v>1</v>
      </c>
      <c r="BE18" s="104">
        <v>1</v>
      </c>
      <c r="BF18" s="104">
        <v>1</v>
      </c>
      <c r="BG18" s="104">
        <v>1</v>
      </c>
      <c r="BH18" s="104">
        <v>1</v>
      </c>
      <c r="BI18" s="104">
        <v>1</v>
      </c>
      <c r="BJ18" s="104">
        <v>1</v>
      </c>
      <c r="BK18" s="104">
        <v>1</v>
      </c>
      <c r="BL18" s="105"/>
      <c r="BM18" s="105"/>
      <c r="BN18" s="105"/>
      <c r="BO18" s="105"/>
      <c r="BP18" s="105"/>
      <c r="BQ18" s="105"/>
      <c r="BR18" s="105"/>
      <c r="BS18" s="105"/>
      <c r="BT18" s="105"/>
      <c r="BU18" s="105"/>
      <c r="BV18" s="105"/>
      <c r="BW18" s="105"/>
      <c r="BX18" s="105"/>
      <c r="BY18" s="105"/>
      <c r="BZ18" s="105"/>
      <c r="CA18" s="105"/>
      <c r="CB18" s="105"/>
      <c r="CC18" s="105"/>
      <c r="CD18" s="92"/>
      <c r="CE18" s="92"/>
      <c r="CF18" s="92"/>
      <c r="CG18" s="92"/>
      <c r="CH18" s="92"/>
      <c r="CI18" s="92"/>
      <c r="CJ18" s="92"/>
      <c r="CK18" s="92"/>
      <c r="CL18" s="92"/>
      <c r="CM18" s="92"/>
      <c r="CN18" s="92"/>
      <c r="CO18" s="92"/>
      <c r="CP18" s="92"/>
      <c r="CQ18" s="92"/>
      <c r="CR18" s="92"/>
      <c r="CS18" s="92"/>
      <c r="CT18" s="92"/>
      <c r="CU18" s="92"/>
      <c r="CV18" s="106"/>
      <c r="CW18" s="106"/>
      <c r="CX18" s="106"/>
      <c r="CY18" s="106"/>
      <c r="CZ18" s="106"/>
      <c r="DA18" s="106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</row>
    <row r="19" spans="2:117" x14ac:dyDescent="0.3">
      <c r="B19" s="105" t="s">
        <v>644</v>
      </c>
      <c r="C19" s="105"/>
      <c r="D19" s="105">
        <v>1</v>
      </c>
      <c r="E19" s="92"/>
      <c r="F19" s="106"/>
      <c r="G19" s="71">
        <v>1</v>
      </c>
      <c r="H19" s="107"/>
      <c r="I19" s="58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>
        <v>1</v>
      </c>
      <c r="BM19" s="105">
        <v>1</v>
      </c>
      <c r="BN19" s="105">
        <v>1</v>
      </c>
      <c r="BO19" s="105">
        <v>1</v>
      </c>
      <c r="BP19" s="105">
        <v>1</v>
      </c>
      <c r="BQ19" s="105">
        <v>1</v>
      </c>
      <c r="BR19" s="105">
        <v>1</v>
      </c>
      <c r="BS19" s="105">
        <v>1</v>
      </c>
      <c r="BT19" s="105">
        <v>1</v>
      </c>
      <c r="BU19" s="105">
        <v>1</v>
      </c>
      <c r="BV19" s="105">
        <v>1</v>
      </c>
      <c r="BW19" s="105">
        <v>1</v>
      </c>
      <c r="BX19" s="105">
        <v>1</v>
      </c>
      <c r="BY19" s="105">
        <v>1</v>
      </c>
      <c r="BZ19" s="105">
        <v>1</v>
      </c>
      <c r="CA19" s="105">
        <v>1</v>
      </c>
      <c r="CB19" s="105">
        <v>1</v>
      </c>
      <c r="CC19" s="105">
        <v>1</v>
      </c>
      <c r="CD19" s="92"/>
      <c r="CE19" s="92"/>
      <c r="CF19" s="92"/>
      <c r="CG19" s="92"/>
      <c r="CH19" s="92"/>
      <c r="CI19" s="92"/>
      <c r="CJ19" s="92"/>
      <c r="CK19" s="92"/>
      <c r="CL19" s="92"/>
      <c r="CM19" s="92"/>
      <c r="CN19" s="92"/>
      <c r="CO19" s="92"/>
      <c r="CP19" s="92"/>
      <c r="CQ19" s="92"/>
      <c r="CR19" s="92"/>
      <c r="CS19" s="92"/>
      <c r="CT19" s="92"/>
      <c r="CU19" s="92"/>
      <c r="CV19" s="106"/>
      <c r="CW19" s="106"/>
      <c r="CX19" s="106"/>
      <c r="CY19" s="106"/>
      <c r="CZ19" s="106"/>
      <c r="DA19" s="106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</row>
    <row r="20" spans="2:117" x14ac:dyDescent="0.3">
      <c r="B20" s="105" t="s">
        <v>645</v>
      </c>
      <c r="C20" s="105"/>
      <c r="D20" s="105">
        <v>1</v>
      </c>
      <c r="E20" s="92"/>
      <c r="F20" s="106"/>
      <c r="G20" s="71">
        <v>1</v>
      </c>
      <c r="H20" s="107"/>
      <c r="I20" s="58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>
        <v>1</v>
      </c>
      <c r="BM20" s="105">
        <v>1</v>
      </c>
      <c r="BN20" s="105">
        <v>1</v>
      </c>
      <c r="BO20" s="105">
        <v>1</v>
      </c>
      <c r="BP20" s="105">
        <v>1</v>
      </c>
      <c r="BQ20" s="105">
        <v>1</v>
      </c>
      <c r="BR20" s="105">
        <v>1</v>
      </c>
      <c r="BS20" s="105">
        <v>1</v>
      </c>
      <c r="BT20" s="105">
        <v>1</v>
      </c>
      <c r="BU20" s="105">
        <v>1</v>
      </c>
      <c r="BV20" s="105">
        <v>1</v>
      </c>
      <c r="BW20" s="105">
        <v>1</v>
      </c>
      <c r="BX20" s="105">
        <v>1</v>
      </c>
      <c r="BY20" s="105">
        <v>1</v>
      </c>
      <c r="BZ20" s="105">
        <v>1</v>
      </c>
      <c r="CA20" s="105">
        <v>1</v>
      </c>
      <c r="CB20" s="105">
        <v>1</v>
      </c>
      <c r="CC20" s="105">
        <v>1</v>
      </c>
      <c r="CD20" s="92"/>
      <c r="CE20" s="92"/>
      <c r="CF20" s="92"/>
      <c r="CG20" s="92"/>
      <c r="CH20" s="92"/>
      <c r="CI20" s="92"/>
      <c r="CJ20" s="92"/>
      <c r="CK20" s="92"/>
      <c r="CL20" s="92"/>
      <c r="CM20" s="92"/>
      <c r="CN20" s="92"/>
      <c r="CO20" s="92"/>
      <c r="CP20" s="92"/>
      <c r="CQ20" s="92"/>
      <c r="CR20" s="92"/>
      <c r="CS20" s="92"/>
      <c r="CT20" s="92"/>
      <c r="CU20" s="92"/>
      <c r="CV20" s="106"/>
      <c r="CW20" s="106"/>
      <c r="CX20" s="106"/>
      <c r="CY20" s="106"/>
      <c r="CZ20" s="106"/>
      <c r="DA20" s="106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</row>
    <row r="21" spans="2:117" x14ac:dyDescent="0.3">
      <c r="B21" s="105" t="s">
        <v>646</v>
      </c>
      <c r="C21" s="105"/>
      <c r="D21" s="105">
        <v>1</v>
      </c>
      <c r="E21" s="92"/>
      <c r="F21" s="106"/>
      <c r="G21" s="71">
        <v>1</v>
      </c>
      <c r="H21" s="107"/>
      <c r="I21" s="58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>
        <v>1</v>
      </c>
      <c r="BM21" s="105">
        <v>1</v>
      </c>
      <c r="BN21" s="105">
        <v>1</v>
      </c>
      <c r="BO21" s="105">
        <v>1</v>
      </c>
      <c r="BP21" s="105">
        <v>1</v>
      </c>
      <c r="BQ21" s="105">
        <v>1</v>
      </c>
      <c r="BR21" s="105">
        <v>1</v>
      </c>
      <c r="BS21" s="105">
        <v>1</v>
      </c>
      <c r="BT21" s="105">
        <v>1</v>
      </c>
      <c r="BU21" s="105">
        <v>1</v>
      </c>
      <c r="BV21" s="105">
        <v>1</v>
      </c>
      <c r="BW21" s="105">
        <v>1</v>
      </c>
      <c r="BX21" s="105">
        <v>1</v>
      </c>
      <c r="BY21" s="105">
        <v>1</v>
      </c>
      <c r="BZ21" s="105">
        <v>1</v>
      </c>
      <c r="CA21" s="105">
        <v>1</v>
      </c>
      <c r="CB21" s="105">
        <v>1</v>
      </c>
      <c r="CC21" s="105">
        <v>1</v>
      </c>
      <c r="CD21" s="92"/>
      <c r="CE21" s="92"/>
      <c r="CF21" s="92"/>
      <c r="CG21" s="92"/>
      <c r="CH21" s="92"/>
      <c r="CI21" s="92"/>
      <c r="CJ21" s="92"/>
      <c r="CK21" s="92"/>
      <c r="CL21" s="92"/>
      <c r="CM21" s="92"/>
      <c r="CN21" s="92"/>
      <c r="CO21" s="92"/>
      <c r="CP21" s="92"/>
      <c r="CQ21" s="92"/>
      <c r="CR21" s="92"/>
      <c r="CS21" s="92"/>
      <c r="CT21" s="92"/>
      <c r="CU21" s="92"/>
      <c r="CV21" s="106"/>
      <c r="CW21" s="106"/>
      <c r="CX21" s="106"/>
      <c r="CY21" s="106"/>
      <c r="CZ21" s="106"/>
      <c r="DA21" s="106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</row>
    <row r="22" spans="2:117" x14ac:dyDescent="0.3">
      <c r="B22" s="105" t="s">
        <v>1176</v>
      </c>
      <c r="C22" s="105"/>
      <c r="D22" s="105">
        <v>1</v>
      </c>
      <c r="E22" s="92"/>
      <c r="F22" s="106"/>
      <c r="G22" s="71">
        <v>1</v>
      </c>
      <c r="H22" s="107"/>
      <c r="I22" s="58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>
        <v>1</v>
      </c>
      <c r="BM22" s="105">
        <v>1</v>
      </c>
      <c r="BN22" s="105">
        <v>1</v>
      </c>
      <c r="BO22" s="105">
        <v>1</v>
      </c>
      <c r="BP22" s="105">
        <v>1</v>
      </c>
      <c r="BQ22" s="105">
        <v>1</v>
      </c>
      <c r="BR22" s="105">
        <v>1</v>
      </c>
      <c r="BS22" s="105">
        <v>1</v>
      </c>
      <c r="BT22" s="105">
        <v>1</v>
      </c>
      <c r="BU22" s="105">
        <v>1</v>
      </c>
      <c r="BV22" s="105">
        <v>1</v>
      </c>
      <c r="BW22" s="105">
        <v>1</v>
      </c>
      <c r="BX22" s="105">
        <v>1</v>
      </c>
      <c r="BY22" s="105">
        <v>1</v>
      </c>
      <c r="BZ22" s="105">
        <v>1</v>
      </c>
      <c r="CA22" s="105">
        <v>1</v>
      </c>
      <c r="CB22" s="105">
        <v>1</v>
      </c>
      <c r="CC22" s="105">
        <v>1</v>
      </c>
      <c r="CD22" s="92"/>
      <c r="CE22" s="92"/>
      <c r="CF22" s="92"/>
      <c r="CG22" s="92"/>
      <c r="CH22" s="92"/>
      <c r="CI22" s="92"/>
      <c r="CJ22" s="92"/>
      <c r="CK22" s="92"/>
      <c r="CL22" s="92"/>
      <c r="CM22" s="92"/>
      <c r="CN22" s="92"/>
      <c r="CO22" s="92"/>
      <c r="CP22" s="92"/>
      <c r="CQ22" s="92"/>
      <c r="CR22" s="92"/>
      <c r="CS22" s="92"/>
      <c r="CT22" s="92"/>
      <c r="CU22" s="92"/>
      <c r="CV22" s="106"/>
      <c r="CW22" s="106"/>
      <c r="CX22" s="106"/>
      <c r="CY22" s="106"/>
      <c r="CZ22" s="106"/>
      <c r="DA22" s="106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</row>
    <row r="23" spans="2:117" x14ac:dyDescent="0.3">
      <c r="B23" s="105" t="s">
        <v>647</v>
      </c>
      <c r="C23" s="105"/>
      <c r="D23" s="105">
        <v>1</v>
      </c>
      <c r="E23" s="92"/>
      <c r="F23" s="106"/>
      <c r="G23" s="71">
        <v>1</v>
      </c>
      <c r="H23" s="107"/>
      <c r="I23" s="58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>
        <v>1</v>
      </c>
      <c r="BM23" s="105">
        <v>1</v>
      </c>
      <c r="BN23" s="105">
        <v>1</v>
      </c>
      <c r="BO23" s="105">
        <v>1</v>
      </c>
      <c r="BP23" s="105">
        <v>1</v>
      </c>
      <c r="BQ23" s="105">
        <v>1</v>
      </c>
      <c r="BR23" s="105">
        <v>1</v>
      </c>
      <c r="BS23" s="105">
        <v>1</v>
      </c>
      <c r="BT23" s="105">
        <v>1</v>
      </c>
      <c r="BU23" s="105">
        <v>1</v>
      </c>
      <c r="BV23" s="105">
        <v>1</v>
      </c>
      <c r="BW23" s="105">
        <v>1</v>
      </c>
      <c r="BX23" s="105">
        <v>1</v>
      </c>
      <c r="BY23" s="105">
        <v>1</v>
      </c>
      <c r="BZ23" s="105">
        <v>1</v>
      </c>
      <c r="CA23" s="105">
        <v>1</v>
      </c>
      <c r="CB23" s="105">
        <v>1</v>
      </c>
      <c r="CC23" s="105">
        <v>1</v>
      </c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106"/>
      <c r="CW23" s="106"/>
      <c r="CX23" s="106"/>
      <c r="CY23" s="106"/>
      <c r="CZ23" s="106"/>
      <c r="DA23" s="106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</row>
    <row r="24" spans="2:117" x14ac:dyDescent="0.3">
      <c r="B24" s="92" t="s">
        <v>910</v>
      </c>
      <c r="C24" s="92"/>
      <c r="D24" s="92"/>
      <c r="E24" s="92">
        <v>1</v>
      </c>
      <c r="F24" s="106"/>
      <c r="H24" s="107"/>
      <c r="I24" s="58"/>
      <c r="J24" s="89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CD24" s="92"/>
      <c r="CE24" s="92"/>
      <c r="CF24" s="92"/>
      <c r="CG24" s="92"/>
      <c r="CH24" s="92"/>
      <c r="CI24" s="92"/>
      <c r="CJ24" s="92"/>
      <c r="CK24" s="92"/>
      <c r="CL24" s="92"/>
      <c r="CM24" s="92"/>
      <c r="CN24" s="92"/>
      <c r="CO24" s="92"/>
      <c r="CP24" s="92"/>
      <c r="CQ24" s="92"/>
      <c r="CR24" s="92"/>
      <c r="CS24" s="92"/>
      <c r="CT24" s="92"/>
      <c r="CU24" s="92"/>
      <c r="CV24" s="106"/>
      <c r="CW24" s="106"/>
      <c r="CX24" s="106"/>
      <c r="CY24" s="106"/>
      <c r="CZ24" s="106"/>
      <c r="DA24" s="106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</row>
    <row r="25" spans="2:117" x14ac:dyDescent="0.3">
      <c r="B25" s="92" t="s">
        <v>925</v>
      </c>
      <c r="C25" s="92"/>
      <c r="D25" s="92"/>
      <c r="E25" s="92">
        <v>1</v>
      </c>
      <c r="F25" s="106"/>
      <c r="H25" s="107"/>
      <c r="I25" s="58"/>
      <c r="J25" s="89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106"/>
      <c r="CW25" s="106"/>
      <c r="CX25" s="106"/>
      <c r="CY25" s="106"/>
      <c r="CZ25" s="106"/>
      <c r="DA25" s="106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</row>
    <row r="26" spans="2:117" x14ac:dyDescent="0.3">
      <c r="B26" s="106" t="s">
        <v>242</v>
      </c>
      <c r="C26" s="106"/>
      <c r="D26" s="106"/>
      <c r="E26" s="106"/>
      <c r="F26" s="106">
        <v>1</v>
      </c>
      <c r="G26" s="107"/>
      <c r="H26" s="107">
        <v>0.25</v>
      </c>
      <c r="I26" s="58">
        <v>1</v>
      </c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6"/>
      <c r="CL26" s="106"/>
      <c r="CM26" s="106"/>
      <c r="CN26" s="106"/>
      <c r="CO26" s="106"/>
      <c r="CP26" s="106"/>
      <c r="CQ26" s="106"/>
      <c r="CR26" s="106"/>
      <c r="CS26" s="106"/>
      <c r="CT26" s="106"/>
      <c r="CU26" s="106"/>
      <c r="CV26" s="106">
        <v>1</v>
      </c>
      <c r="CW26" s="106">
        <v>1</v>
      </c>
      <c r="CX26" s="106">
        <v>1</v>
      </c>
      <c r="CY26" s="106">
        <v>1</v>
      </c>
      <c r="CZ26" s="106">
        <v>1</v>
      </c>
      <c r="DA26" s="106">
        <v>1</v>
      </c>
      <c r="DB26" s="106">
        <v>1</v>
      </c>
      <c r="DC26" s="106">
        <v>1</v>
      </c>
      <c r="DD26" s="106">
        <v>1</v>
      </c>
      <c r="DE26" s="106">
        <v>1</v>
      </c>
      <c r="DF26" s="106">
        <v>1</v>
      </c>
      <c r="DG26" s="106">
        <v>1</v>
      </c>
      <c r="DH26" s="106">
        <v>1</v>
      </c>
      <c r="DI26" s="106">
        <v>1</v>
      </c>
      <c r="DJ26" s="106">
        <v>1</v>
      </c>
      <c r="DK26" s="106">
        <v>1</v>
      </c>
      <c r="DL26" s="106">
        <v>1</v>
      </c>
      <c r="DM26" s="106">
        <v>1</v>
      </c>
    </row>
    <row r="27" spans="2:117" x14ac:dyDescent="0.3">
      <c r="B27" s="106" t="s">
        <v>911</v>
      </c>
      <c r="C27" s="106"/>
      <c r="D27" s="106"/>
      <c r="E27" s="106"/>
      <c r="F27" s="106">
        <v>1</v>
      </c>
      <c r="H27" s="107"/>
      <c r="I27" s="58"/>
      <c r="J27" s="89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CD27" s="92"/>
      <c r="CE27" s="92"/>
      <c r="CF27" s="92"/>
      <c r="CG27" s="92"/>
      <c r="CH27" s="92"/>
      <c r="CI27" s="92"/>
      <c r="CJ27" s="92"/>
      <c r="CK27" s="92"/>
      <c r="CL27" s="92"/>
      <c r="CM27" s="92"/>
      <c r="CN27" s="92"/>
      <c r="CO27" s="92"/>
      <c r="CP27" s="92"/>
      <c r="CQ27" s="92"/>
      <c r="CR27" s="92"/>
      <c r="CS27" s="92"/>
      <c r="CT27" s="92"/>
      <c r="CU27" s="92"/>
      <c r="CV27" s="106"/>
      <c r="CW27" s="106"/>
      <c r="CX27" s="106"/>
      <c r="CY27" s="106"/>
      <c r="CZ27" s="106"/>
      <c r="DA27" s="106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</row>
    <row r="28" spans="2:117" x14ac:dyDescent="0.3">
      <c r="B28" s="107" t="s">
        <v>648</v>
      </c>
      <c r="C28" s="107"/>
      <c r="D28" s="107"/>
      <c r="E28" s="107"/>
      <c r="F28" s="107"/>
      <c r="G28" s="107"/>
      <c r="H28" s="107">
        <v>0.25</v>
      </c>
      <c r="I28" s="58">
        <v>1</v>
      </c>
      <c r="J28" s="89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CD28" s="92"/>
      <c r="CE28" s="92"/>
      <c r="CF28" s="92"/>
      <c r="CG28" s="92"/>
      <c r="CH28" s="92"/>
      <c r="CI28" s="92"/>
      <c r="CJ28" s="92"/>
      <c r="CK28" s="92"/>
      <c r="CL28" s="92"/>
      <c r="CM28" s="92"/>
      <c r="CN28" s="92"/>
      <c r="CO28" s="92"/>
      <c r="CP28" s="92"/>
      <c r="CQ28" s="92"/>
      <c r="CR28" s="92"/>
      <c r="CS28" s="92"/>
      <c r="CT28" s="92"/>
      <c r="CU28" s="92"/>
      <c r="CV28" s="106"/>
      <c r="CW28" s="106"/>
      <c r="CX28" s="106"/>
      <c r="CY28" s="106"/>
      <c r="CZ28" s="106"/>
      <c r="DA28" s="106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</row>
    <row r="29" spans="2:117" x14ac:dyDescent="0.3">
      <c r="B29" s="107" t="s">
        <v>230</v>
      </c>
      <c r="C29" s="107"/>
      <c r="D29" s="107"/>
      <c r="E29" s="107"/>
      <c r="F29" s="107"/>
      <c r="G29" s="107"/>
      <c r="H29" s="107">
        <v>0.25</v>
      </c>
      <c r="I29" s="58">
        <v>1</v>
      </c>
      <c r="J29" s="89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CD29" s="92"/>
      <c r="CE29" s="92"/>
      <c r="CF29" s="92"/>
      <c r="CG29" s="92"/>
      <c r="CH29" s="92"/>
      <c r="CI29" s="92"/>
      <c r="CJ29" s="92"/>
      <c r="CK29" s="92"/>
      <c r="CL29" s="92"/>
      <c r="CM29" s="92"/>
      <c r="CN29" s="92"/>
      <c r="CO29" s="92"/>
      <c r="CP29" s="92"/>
      <c r="CQ29" s="92"/>
      <c r="CR29" s="92"/>
      <c r="CS29" s="92"/>
      <c r="CT29" s="92"/>
      <c r="CU29" s="92"/>
      <c r="CV29" s="106"/>
      <c r="CW29" s="106"/>
      <c r="CX29" s="106"/>
      <c r="CY29" s="106"/>
      <c r="CZ29" s="106"/>
      <c r="DA29" s="106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</row>
    <row r="30" spans="2:117" x14ac:dyDescent="0.3">
      <c r="B30" s="110" t="s">
        <v>237</v>
      </c>
      <c r="C30" s="107"/>
      <c r="D30" s="107"/>
      <c r="E30" s="107"/>
      <c r="F30" s="107"/>
      <c r="G30" s="107"/>
      <c r="H30" s="107">
        <v>0.25</v>
      </c>
      <c r="I30" s="58">
        <v>1</v>
      </c>
      <c r="J30" s="89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CD30" s="92"/>
      <c r="CE30" s="92"/>
      <c r="CF30" s="92"/>
      <c r="CG30" s="92"/>
      <c r="CH30" s="92"/>
      <c r="CI30" s="92"/>
      <c r="CJ30" s="92"/>
      <c r="CK30" s="92"/>
      <c r="CL30" s="92"/>
      <c r="CM30" s="92"/>
      <c r="CN30" s="92"/>
      <c r="CO30" s="92"/>
      <c r="CP30" s="92"/>
      <c r="CQ30" s="92"/>
      <c r="CR30" s="92"/>
      <c r="CS30" s="92"/>
      <c r="CT30" s="92"/>
      <c r="CU30" s="92"/>
      <c r="CV30" s="106"/>
      <c r="CW30" s="106"/>
      <c r="CX30" s="106"/>
      <c r="CY30" s="106"/>
      <c r="CZ30" s="106"/>
      <c r="DA30" s="106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</row>
    <row r="31" spans="2:117" x14ac:dyDescent="0.3">
      <c r="B31" s="110" t="s">
        <v>243</v>
      </c>
      <c r="C31" s="107"/>
      <c r="D31" s="107"/>
      <c r="E31" s="107"/>
      <c r="F31" s="107"/>
      <c r="G31" s="107"/>
      <c r="H31" s="107">
        <v>0.25</v>
      </c>
      <c r="I31" s="58">
        <v>1</v>
      </c>
      <c r="J31" s="89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CD31" s="92"/>
      <c r="CE31" s="92"/>
      <c r="CF31" s="92"/>
      <c r="CG31" s="92"/>
      <c r="CH31" s="92"/>
      <c r="CI31" s="92"/>
      <c r="CJ31" s="92"/>
      <c r="CK31" s="92"/>
      <c r="CL31" s="92"/>
      <c r="CM31" s="92"/>
      <c r="CN31" s="92"/>
      <c r="CO31" s="92"/>
      <c r="CP31" s="92"/>
      <c r="CQ31" s="92"/>
      <c r="CR31" s="92"/>
      <c r="CS31" s="92"/>
      <c r="CT31" s="92"/>
      <c r="CU31" s="92"/>
      <c r="CV31" s="106"/>
      <c r="CW31" s="106"/>
      <c r="CX31" s="106"/>
      <c r="CY31" s="106"/>
      <c r="CZ31" s="106"/>
      <c r="DA31" s="106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</row>
    <row r="32" spans="2:117" x14ac:dyDescent="0.3">
      <c r="B32" s="107" t="s">
        <v>246</v>
      </c>
      <c r="C32" s="107"/>
      <c r="D32" s="107"/>
      <c r="E32" s="107"/>
      <c r="F32" s="107"/>
      <c r="G32" s="107"/>
      <c r="H32" s="107">
        <v>0.25</v>
      </c>
      <c r="I32" s="58">
        <v>1</v>
      </c>
      <c r="J32" s="89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CD32" s="92"/>
      <c r="CE32" s="92"/>
      <c r="CF32" s="92"/>
      <c r="CG32" s="92"/>
      <c r="CH32" s="92"/>
      <c r="CI32" s="92"/>
      <c r="CJ32" s="92"/>
      <c r="CK32" s="92"/>
      <c r="CL32" s="92"/>
      <c r="CM32" s="92"/>
      <c r="CN32" s="92"/>
      <c r="CO32" s="92"/>
      <c r="CP32" s="92"/>
      <c r="CQ32" s="92"/>
      <c r="CR32" s="92"/>
      <c r="CS32" s="92"/>
      <c r="CT32" s="92"/>
      <c r="CU32" s="92"/>
      <c r="CV32" s="106"/>
      <c r="CW32" s="106"/>
      <c r="CX32" s="106"/>
      <c r="CY32" s="106"/>
      <c r="CZ32" s="106"/>
      <c r="DA32" s="106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</row>
    <row r="33" spans="2:117" x14ac:dyDescent="0.3">
      <c r="B33" s="58" t="s">
        <v>649</v>
      </c>
      <c r="C33" s="58"/>
      <c r="D33" s="58"/>
      <c r="E33" s="58"/>
      <c r="F33" s="58"/>
      <c r="G33" s="58"/>
      <c r="H33" s="58"/>
      <c r="I33" s="58">
        <v>1</v>
      </c>
      <c r="J33" s="89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CD33" s="92"/>
      <c r="CE33" s="92"/>
      <c r="CF33" s="92"/>
      <c r="CG33" s="92"/>
      <c r="CH33" s="92"/>
      <c r="CI33" s="92"/>
      <c r="CJ33" s="92"/>
      <c r="CK33" s="92"/>
      <c r="CL33" s="92"/>
      <c r="CM33" s="92"/>
      <c r="CN33" s="92"/>
      <c r="CO33" s="92"/>
      <c r="CP33" s="92"/>
      <c r="CQ33" s="92"/>
      <c r="CR33" s="92"/>
      <c r="CS33" s="92"/>
      <c r="CT33" s="92"/>
      <c r="CU33" s="92"/>
      <c r="CV33" s="106"/>
      <c r="CW33" s="106"/>
      <c r="CX33" s="106"/>
      <c r="CY33" s="106"/>
      <c r="CZ33" s="106"/>
      <c r="DA33" s="106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</row>
    <row r="34" spans="2:117" x14ac:dyDescent="0.3">
      <c r="B34" s="58" t="s">
        <v>650</v>
      </c>
      <c r="C34" s="58"/>
      <c r="D34" s="58"/>
      <c r="E34" s="58"/>
      <c r="F34" s="58"/>
      <c r="G34" s="58"/>
      <c r="H34" s="58"/>
      <c r="I34" s="58">
        <v>1</v>
      </c>
      <c r="J34" s="89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2"/>
      <c r="CU34" s="92"/>
      <c r="CV34" s="106"/>
      <c r="CW34" s="106"/>
      <c r="CX34" s="106"/>
      <c r="CY34" s="106"/>
      <c r="CZ34" s="106"/>
      <c r="DA34" s="106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</row>
    <row r="35" spans="2:117" x14ac:dyDescent="0.3">
      <c r="B35" s="58" t="s">
        <v>651</v>
      </c>
      <c r="C35" s="58"/>
      <c r="D35" s="58"/>
      <c r="E35" s="58"/>
      <c r="F35" s="58"/>
      <c r="G35" s="58"/>
      <c r="H35" s="58"/>
      <c r="I35" s="58">
        <v>1</v>
      </c>
      <c r="J35" s="89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CD35" s="92"/>
      <c r="CE35" s="92"/>
      <c r="CF35" s="92"/>
      <c r="CG35" s="92"/>
      <c r="CH35" s="92"/>
      <c r="CI35" s="92"/>
      <c r="CJ35" s="92"/>
      <c r="CK35" s="92"/>
      <c r="CL35" s="92"/>
      <c r="CM35" s="92"/>
      <c r="CN35" s="92"/>
      <c r="CO35" s="92"/>
      <c r="CP35" s="92"/>
      <c r="CQ35" s="92"/>
      <c r="CR35" s="92"/>
      <c r="CS35" s="92"/>
      <c r="CT35" s="92"/>
      <c r="CU35" s="92"/>
      <c r="CV35" s="106"/>
      <c r="CW35" s="106"/>
      <c r="CX35" s="106"/>
      <c r="CY35" s="106"/>
      <c r="CZ35" s="106"/>
      <c r="DA35" s="106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</row>
    <row r="36" spans="2:117" x14ac:dyDescent="0.3">
      <c r="B36" s="58" t="s">
        <v>652</v>
      </c>
      <c r="C36" s="58"/>
      <c r="D36" s="58"/>
      <c r="E36" s="58"/>
      <c r="F36" s="58"/>
      <c r="G36" s="58"/>
      <c r="H36" s="58"/>
      <c r="I36" s="58">
        <v>1</v>
      </c>
      <c r="J36" s="89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CD36" s="92"/>
      <c r="CE36" s="92"/>
      <c r="CF36" s="92"/>
      <c r="CG36" s="92"/>
      <c r="CH36" s="92"/>
      <c r="CI36" s="92"/>
      <c r="CJ36" s="92"/>
      <c r="CK36" s="92"/>
      <c r="CL36" s="92"/>
      <c r="CM36" s="92"/>
      <c r="CN36" s="92"/>
      <c r="CO36" s="92"/>
      <c r="CP36" s="92"/>
      <c r="CQ36" s="92"/>
      <c r="CR36" s="92"/>
      <c r="CS36" s="92"/>
      <c r="CT36" s="92"/>
      <c r="CU36" s="92"/>
      <c r="CV36" s="106"/>
      <c r="CW36" s="106"/>
      <c r="CX36" s="106"/>
      <c r="CY36" s="106"/>
      <c r="CZ36" s="106"/>
      <c r="DA36" s="106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</row>
    <row r="37" spans="2:117" x14ac:dyDescent="0.3">
      <c r="B37" s="58" t="s">
        <v>653</v>
      </c>
      <c r="C37" s="58"/>
      <c r="D37" s="58"/>
      <c r="E37" s="58"/>
      <c r="F37" s="58"/>
      <c r="G37" s="58"/>
      <c r="H37" s="58"/>
      <c r="I37" s="58">
        <v>1</v>
      </c>
      <c r="J37" s="89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CD37" s="92"/>
      <c r="CE37" s="92"/>
      <c r="CF37" s="92"/>
      <c r="CG37" s="92"/>
      <c r="CH37" s="92"/>
      <c r="CI37" s="92"/>
      <c r="CJ37" s="92"/>
      <c r="CK37" s="92"/>
      <c r="CL37" s="92"/>
      <c r="CM37" s="92"/>
      <c r="CN37" s="92"/>
      <c r="CO37" s="92"/>
      <c r="CP37" s="92"/>
      <c r="CQ37" s="92"/>
      <c r="CR37" s="92"/>
      <c r="CS37" s="92"/>
      <c r="CT37" s="92"/>
      <c r="CU37" s="92"/>
      <c r="CV37" s="106"/>
      <c r="CW37" s="106"/>
      <c r="CX37" s="106"/>
      <c r="CY37" s="106"/>
      <c r="CZ37" s="106"/>
      <c r="DA37" s="106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</row>
    <row r="38" spans="2:117" x14ac:dyDescent="0.3">
      <c r="B38" s="58" t="s">
        <v>654</v>
      </c>
      <c r="C38" s="58"/>
      <c r="D38" s="58"/>
      <c r="E38" s="58"/>
      <c r="F38" s="58"/>
      <c r="G38" s="58"/>
      <c r="H38" s="58"/>
      <c r="I38" s="58">
        <v>1</v>
      </c>
      <c r="J38" s="89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106"/>
      <c r="CW38" s="106"/>
      <c r="CX38" s="106"/>
      <c r="CY38" s="106"/>
      <c r="CZ38" s="106"/>
      <c r="DA38" s="106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</row>
    <row r="39" spans="2:117" x14ac:dyDescent="0.3">
      <c r="B39" s="58" t="s">
        <v>655</v>
      </c>
      <c r="C39" s="58"/>
      <c r="D39" s="58"/>
      <c r="E39" s="58"/>
      <c r="F39" s="58"/>
      <c r="G39" s="58"/>
      <c r="H39" s="58"/>
      <c r="I39" s="58">
        <v>1</v>
      </c>
      <c r="J39" s="89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CD39" s="92"/>
      <c r="CE39" s="92"/>
      <c r="CF39" s="92"/>
      <c r="CG39" s="92"/>
      <c r="CH39" s="92"/>
      <c r="CI39" s="92"/>
      <c r="CJ39" s="92"/>
      <c r="CK39" s="92"/>
      <c r="CL39" s="92"/>
      <c r="CM39" s="92"/>
      <c r="CN39" s="92"/>
      <c r="CO39" s="92"/>
      <c r="CP39" s="92"/>
      <c r="CQ39" s="92"/>
      <c r="CR39" s="92"/>
      <c r="CS39" s="92"/>
      <c r="CT39" s="92"/>
      <c r="CU39" s="92"/>
      <c r="CV39" s="106"/>
      <c r="CW39" s="106"/>
      <c r="CX39" s="106"/>
      <c r="CY39" s="106"/>
      <c r="CZ39" s="106"/>
      <c r="DA39" s="106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</row>
    <row r="40" spans="2:117" x14ac:dyDescent="0.3">
      <c r="B40" s="58" t="s">
        <v>253</v>
      </c>
      <c r="C40" s="58"/>
      <c r="D40" s="58"/>
      <c r="E40" s="58"/>
      <c r="F40" s="58"/>
      <c r="G40" s="58"/>
      <c r="H40" s="58"/>
      <c r="I40" s="58">
        <v>1</v>
      </c>
      <c r="J40" s="89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CD40" s="92"/>
      <c r="CE40" s="92"/>
      <c r="CF40" s="92"/>
      <c r="CG40" s="92"/>
      <c r="CH40" s="92"/>
      <c r="CI40" s="92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2"/>
      <c r="CU40" s="92"/>
      <c r="CV40" s="106"/>
      <c r="CW40" s="106"/>
      <c r="CX40" s="106"/>
      <c r="CY40" s="106"/>
      <c r="CZ40" s="106"/>
      <c r="DA40" s="106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</row>
    <row r="41" spans="2:117" x14ac:dyDescent="0.3">
      <c r="B41" s="58" t="s">
        <v>256</v>
      </c>
      <c r="C41" s="58"/>
      <c r="D41" s="58"/>
      <c r="E41" s="58"/>
      <c r="F41" s="58"/>
      <c r="G41" s="58"/>
      <c r="H41" s="58"/>
      <c r="I41" s="58">
        <v>1</v>
      </c>
      <c r="J41" s="89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CD41" s="92"/>
      <c r="CE41" s="92"/>
      <c r="CF41" s="92"/>
      <c r="CG41" s="92"/>
      <c r="CH41" s="92"/>
      <c r="CI41" s="92"/>
      <c r="CJ41" s="92"/>
      <c r="CK41" s="92"/>
      <c r="CL41" s="92"/>
      <c r="CM41" s="92"/>
      <c r="CN41" s="92"/>
      <c r="CO41" s="92"/>
      <c r="CP41" s="92"/>
      <c r="CQ41" s="92"/>
      <c r="CR41" s="92"/>
      <c r="CS41" s="92"/>
      <c r="CT41" s="92"/>
      <c r="CU41" s="92"/>
      <c r="CV41" s="106"/>
      <c r="CW41" s="106"/>
      <c r="CX41" s="106"/>
      <c r="CY41" s="106"/>
      <c r="CZ41" s="106"/>
      <c r="DA41" s="106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</row>
    <row r="42" spans="2:117" x14ac:dyDescent="0.3">
      <c r="B42" s="58" t="s">
        <v>656</v>
      </c>
      <c r="C42" s="58"/>
      <c r="D42" s="58"/>
      <c r="E42" s="58"/>
      <c r="F42" s="58"/>
      <c r="G42" s="58"/>
      <c r="H42" s="58"/>
      <c r="I42" s="58">
        <v>1</v>
      </c>
      <c r="J42" s="89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CD42" s="92"/>
      <c r="CE42" s="92"/>
      <c r="CF42" s="92"/>
      <c r="CG42" s="92"/>
      <c r="CH42" s="92"/>
      <c r="CI42" s="92"/>
      <c r="CJ42" s="92"/>
      <c r="CK42" s="92"/>
      <c r="CL42" s="92"/>
      <c r="CM42" s="92"/>
      <c r="CN42" s="92"/>
      <c r="CO42" s="92"/>
      <c r="CP42" s="92"/>
      <c r="CQ42" s="92"/>
      <c r="CR42" s="92"/>
      <c r="CS42" s="92"/>
      <c r="CT42" s="92"/>
      <c r="CU42" s="92"/>
      <c r="CV42" s="106"/>
      <c r="CW42" s="106"/>
      <c r="CX42" s="106"/>
      <c r="CY42" s="106"/>
      <c r="CZ42" s="106"/>
      <c r="DA42" s="106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</row>
    <row r="43" spans="2:117" x14ac:dyDescent="0.3">
      <c r="B43" s="58" t="s">
        <v>657</v>
      </c>
      <c r="C43" s="58"/>
      <c r="D43" s="58"/>
      <c r="E43" s="58"/>
      <c r="F43" s="58"/>
      <c r="G43" s="58"/>
      <c r="H43" s="58"/>
      <c r="I43" s="58">
        <v>1</v>
      </c>
      <c r="J43" s="89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CD43" s="92"/>
      <c r="CE43" s="92"/>
      <c r="CF43" s="92"/>
      <c r="CG43" s="92"/>
      <c r="CH43" s="92"/>
      <c r="CI43" s="92"/>
      <c r="CJ43" s="92"/>
      <c r="CK43" s="92"/>
      <c r="CL43" s="92"/>
      <c r="CM43" s="92"/>
      <c r="CN43" s="92"/>
      <c r="CO43" s="92"/>
      <c r="CP43" s="92"/>
      <c r="CQ43" s="92"/>
      <c r="CR43" s="92"/>
      <c r="CS43" s="92"/>
      <c r="CT43" s="92"/>
      <c r="CU43" s="92"/>
      <c r="CV43" s="106"/>
      <c r="CW43" s="106"/>
      <c r="CX43" s="106"/>
      <c r="CY43" s="106"/>
      <c r="CZ43" s="106"/>
      <c r="DA43" s="106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</row>
    <row r="44" spans="2:117" x14ac:dyDescent="0.3">
      <c r="B44" s="58" t="s">
        <v>658</v>
      </c>
      <c r="C44" s="58"/>
      <c r="D44" s="58"/>
      <c r="E44" s="58"/>
      <c r="F44" s="58"/>
      <c r="G44" s="58"/>
      <c r="H44" s="58"/>
      <c r="I44" s="58">
        <v>1</v>
      </c>
      <c r="J44" s="89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CD44" s="92"/>
      <c r="CE44" s="92"/>
      <c r="CF44" s="92"/>
      <c r="CG44" s="92"/>
      <c r="CH44" s="92"/>
      <c r="CI44" s="92"/>
      <c r="CJ44" s="92"/>
      <c r="CK44" s="92"/>
      <c r="CL44" s="92"/>
      <c r="CM44" s="92"/>
      <c r="CN44" s="92"/>
      <c r="CO44" s="92"/>
      <c r="CP44" s="92"/>
      <c r="CQ44" s="92"/>
      <c r="CR44" s="92"/>
      <c r="CS44" s="92"/>
      <c r="CT44" s="92"/>
      <c r="CU44" s="92"/>
      <c r="CV44" s="106"/>
      <c r="CW44" s="106"/>
      <c r="CX44" s="106"/>
      <c r="CY44" s="106"/>
      <c r="CZ44" s="106"/>
      <c r="DA44" s="106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</row>
    <row r="45" spans="2:117" x14ac:dyDescent="0.3">
      <c r="B45" s="58" t="s">
        <v>659</v>
      </c>
      <c r="C45" s="58"/>
      <c r="D45" s="58"/>
      <c r="E45" s="58"/>
      <c r="F45" s="58"/>
      <c r="G45" s="58"/>
      <c r="H45" s="58"/>
      <c r="I45" s="58">
        <v>1</v>
      </c>
      <c r="J45" s="89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CD45" s="92"/>
      <c r="CE45" s="92"/>
      <c r="CF45" s="92"/>
      <c r="CG45" s="92"/>
      <c r="CH45" s="92"/>
      <c r="CI45" s="92"/>
      <c r="CJ45" s="92"/>
      <c r="CK45" s="92"/>
      <c r="CL45" s="92"/>
      <c r="CM45" s="92"/>
      <c r="CN45" s="92"/>
      <c r="CO45" s="92"/>
      <c r="CP45" s="92"/>
      <c r="CQ45" s="92"/>
      <c r="CR45" s="92"/>
      <c r="CS45" s="92"/>
      <c r="CT45" s="92"/>
      <c r="CU45" s="92"/>
      <c r="CV45" s="106"/>
      <c r="CW45" s="106"/>
      <c r="CX45" s="106"/>
      <c r="CY45" s="106"/>
      <c r="CZ45" s="106"/>
      <c r="DA45" s="106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</row>
    <row r="46" spans="2:117" x14ac:dyDescent="0.3">
      <c r="B46" s="58" t="s">
        <v>248</v>
      </c>
      <c r="C46" s="58"/>
      <c r="D46" s="58"/>
      <c r="E46" s="58"/>
      <c r="F46" s="58"/>
      <c r="G46" s="58"/>
      <c r="H46" s="58"/>
      <c r="I46" s="58">
        <v>1</v>
      </c>
      <c r="J46" s="89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CD46" s="92"/>
      <c r="CE46" s="92"/>
      <c r="CF46" s="92"/>
      <c r="CG46" s="92"/>
      <c r="CH46" s="92"/>
      <c r="CI46" s="92"/>
      <c r="CJ46" s="92"/>
      <c r="CK46" s="92"/>
      <c r="CL46" s="92"/>
      <c r="CM46" s="92"/>
      <c r="CN46" s="92"/>
      <c r="CO46" s="92"/>
      <c r="CP46" s="92"/>
      <c r="CQ46" s="92"/>
      <c r="CR46" s="92"/>
      <c r="CS46" s="92"/>
      <c r="CT46" s="92"/>
      <c r="CU46" s="92"/>
      <c r="CV46" s="106"/>
      <c r="CW46" s="106"/>
      <c r="CX46" s="106"/>
      <c r="CY46" s="106"/>
      <c r="CZ46" s="106"/>
      <c r="DA46" s="106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</row>
    <row r="47" spans="2:117" x14ac:dyDescent="0.3">
      <c r="B47" s="58" t="s">
        <v>262</v>
      </c>
      <c r="C47" s="58"/>
      <c r="D47" s="58"/>
      <c r="E47" s="58"/>
      <c r="F47" s="58"/>
      <c r="G47" s="58"/>
      <c r="H47" s="58"/>
      <c r="I47" s="58">
        <v>1</v>
      </c>
      <c r="J47" s="89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CD47" s="92"/>
      <c r="CE47" s="92"/>
      <c r="CF47" s="92"/>
      <c r="CG47" s="92"/>
      <c r="CH47" s="92"/>
      <c r="CI47" s="92"/>
      <c r="CJ47" s="92"/>
      <c r="CK47" s="92"/>
      <c r="CL47" s="92"/>
      <c r="CM47" s="92"/>
      <c r="CN47" s="92"/>
      <c r="CO47" s="92"/>
      <c r="CP47" s="92"/>
      <c r="CQ47" s="92"/>
      <c r="CR47" s="92"/>
      <c r="CS47" s="92"/>
      <c r="CT47" s="92"/>
      <c r="CU47" s="92"/>
      <c r="CV47" s="106"/>
      <c r="CW47" s="106"/>
      <c r="CX47" s="106"/>
      <c r="CY47" s="106"/>
      <c r="CZ47" s="106"/>
      <c r="DA47" s="106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</row>
    <row r="48" spans="2:117" x14ac:dyDescent="0.3">
      <c r="B48" s="58" t="s">
        <v>264</v>
      </c>
      <c r="C48" s="58"/>
      <c r="D48" s="58"/>
      <c r="E48" s="58"/>
      <c r="F48" s="58"/>
      <c r="G48" s="58"/>
      <c r="H48" s="58"/>
      <c r="I48" s="58">
        <v>1</v>
      </c>
      <c r="J48" s="89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106"/>
      <c r="CW48" s="106"/>
      <c r="CX48" s="106"/>
      <c r="CY48" s="106"/>
      <c r="CZ48" s="106"/>
      <c r="DA48" s="106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</row>
    <row r="49" spans="2:117" x14ac:dyDescent="0.3">
      <c r="B49" s="58" t="s">
        <v>660</v>
      </c>
      <c r="C49" s="58"/>
      <c r="D49" s="58"/>
      <c r="E49" s="58"/>
      <c r="F49" s="58"/>
      <c r="G49" s="58"/>
      <c r="H49" s="58"/>
      <c r="I49" s="58">
        <v>1</v>
      </c>
      <c r="J49" s="89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CD49" s="92"/>
      <c r="CE49" s="92"/>
      <c r="CF49" s="92"/>
      <c r="CG49" s="92"/>
      <c r="CH49" s="92"/>
      <c r="CI49" s="92"/>
      <c r="CJ49" s="92"/>
      <c r="CK49" s="92"/>
      <c r="CL49" s="92"/>
      <c r="CM49" s="92"/>
      <c r="CN49" s="92"/>
      <c r="CO49" s="92"/>
      <c r="CP49" s="92"/>
      <c r="CQ49" s="92"/>
      <c r="CR49" s="92"/>
      <c r="CS49" s="92"/>
      <c r="CT49" s="92"/>
      <c r="CU49" s="92"/>
      <c r="CV49" s="106"/>
      <c r="CW49" s="106"/>
      <c r="CX49" s="106"/>
      <c r="CY49" s="106"/>
      <c r="CZ49" s="106"/>
      <c r="DA49" s="106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</row>
    <row r="50" spans="2:117" x14ac:dyDescent="0.3">
      <c r="B50" s="58" t="s">
        <v>363</v>
      </c>
      <c r="C50" s="58"/>
      <c r="D50" s="58"/>
      <c r="E50" s="58"/>
      <c r="F50" s="58"/>
      <c r="G50" s="58"/>
      <c r="H50" s="58"/>
      <c r="I50" s="58">
        <v>1</v>
      </c>
      <c r="J50" s="89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CD50" s="92"/>
      <c r="CE50" s="92"/>
      <c r="CF50" s="92"/>
      <c r="CG50" s="92"/>
      <c r="CH50" s="92"/>
      <c r="CI50" s="92"/>
      <c r="CJ50" s="92"/>
      <c r="CK50" s="92"/>
      <c r="CL50" s="92"/>
      <c r="CM50" s="92"/>
      <c r="CN50" s="92"/>
      <c r="CO50" s="92"/>
      <c r="CP50" s="92"/>
      <c r="CQ50" s="92"/>
      <c r="CR50" s="92"/>
      <c r="CS50" s="92"/>
      <c r="CT50" s="92"/>
      <c r="CU50" s="92"/>
      <c r="CV50" s="106"/>
      <c r="CW50" s="106"/>
      <c r="CX50" s="106"/>
      <c r="CY50" s="106"/>
      <c r="CZ50" s="106"/>
      <c r="DA50" s="106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</row>
    <row r="51" spans="2:117" x14ac:dyDescent="0.3">
      <c r="B51" s="58" t="s">
        <v>267</v>
      </c>
      <c r="C51" s="58"/>
      <c r="D51" s="58"/>
      <c r="E51" s="58"/>
      <c r="F51" s="58"/>
      <c r="G51" s="58"/>
      <c r="H51" s="58"/>
      <c r="I51" s="58">
        <v>1</v>
      </c>
      <c r="J51" s="89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CD51" s="92"/>
      <c r="CE51" s="92"/>
      <c r="CF51" s="92"/>
      <c r="CG51" s="92"/>
      <c r="CH51" s="92"/>
      <c r="CI51" s="92"/>
      <c r="CJ51" s="92"/>
      <c r="CK51" s="92"/>
      <c r="CL51" s="92"/>
      <c r="CM51" s="92"/>
      <c r="CN51" s="92"/>
      <c r="CO51" s="92"/>
      <c r="CP51" s="92"/>
      <c r="CQ51" s="92"/>
      <c r="CR51" s="92"/>
      <c r="CS51" s="92"/>
      <c r="CT51" s="92"/>
      <c r="CU51" s="92"/>
      <c r="CV51" s="106"/>
      <c r="CW51" s="106"/>
      <c r="CX51" s="106"/>
      <c r="CY51" s="106"/>
      <c r="CZ51" s="106"/>
      <c r="DA51" s="106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</row>
    <row r="52" spans="2:117" x14ac:dyDescent="0.3">
      <c r="B52" s="58" t="s">
        <v>269</v>
      </c>
      <c r="C52" s="58"/>
      <c r="D52" s="58"/>
      <c r="E52" s="58"/>
      <c r="F52" s="58"/>
      <c r="G52" s="58"/>
      <c r="H52" s="58"/>
      <c r="I52" s="58">
        <v>1</v>
      </c>
      <c r="J52" s="89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CD52" s="92"/>
      <c r="CE52" s="92"/>
      <c r="CF52" s="92"/>
      <c r="CG52" s="92"/>
      <c r="CH52" s="92"/>
      <c r="CI52" s="92"/>
      <c r="CJ52" s="92"/>
      <c r="CK52" s="92"/>
      <c r="CL52" s="92"/>
      <c r="CM52" s="92"/>
      <c r="CN52" s="92"/>
      <c r="CO52" s="92"/>
      <c r="CP52" s="92"/>
      <c r="CQ52" s="92"/>
      <c r="CR52" s="92"/>
      <c r="CS52" s="92"/>
      <c r="CT52" s="92"/>
      <c r="CU52" s="92"/>
      <c r="CV52" s="106"/>
      <c r="CW52" s="106"/>
      <c r="CX52" s="106"/>
      <c r="CY52" s="106"/>
      <c r="CZ52" s="106"/>
      <c r="DA52" s="106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</row>
    <row r="53" spans="2:117" x14ac:dyDescent="0.3">
      <c r="B53" s="58" t="s">
        <v>271</v>
      </c>
      <c r="C53" s="58"/>
      <c r="D53" s="58"/>
      <c r="E53" s="58"/>
      <c r="F53" s="58"/>
      <c r="G53" s="58"/>
      <c r="H53" s="58"/>
      <c r="I53" s="58">
        <v>1</v>
      </c>
      <c r="J53" s="89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CD53" s="92"/>
      <c r="CE53" s="92"/>
      <c r="CF53" s="92"/>
      <c r="CG53" s="92"/>
      <c r="CH53" s="92"/>
      <c r="CI53" s="92"/>
      <c r="CJ53" s="92"/>
      <c r="CK53" s="92"/>
      <c r="CL53" s="92"/>
      <c r="CM53" s="92"/>
      <c r="CN53" s="92"/>
      <c r="CO53" s="92"/>
      <c r="CP53" s="92"/>
      <c r="CQ53" s="92"/>
      <c r="CR53" s="92"/>
      <c r="CS53" s="92"/>
      <c r="CT53" s="92"/>
      <c r="CU53" s="92"/>
      <c r="CV53" s="106"/>
      <c r="CW53" s="106"/>
      <c r="CX53" s="106"/>
      <c r="CY53" s="106"/>
      <c r="CZ53" s="106"/>
      <c r="DA53" s="106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</row>
    <row r="54" spans="2:117" x14ac:dyDescent="0.3">
      <c r="B54" s="58" t="s">
        <v>273</v>
      </c>
      <c r="C54" s="58"/>
      <c r="D54" s="58"/>
      <c r="E54" s="58"/>
      <c r="F54" s="58"/>
      <c r="G54" s="58"/>
      <c r="H54" s="58"/>
      <c r="I54" s="58">
        <v>1</v>
      </c>
      <c r="J54" s="89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CD54" s="92"/>
      <c r="CE54" s="92"/>
      <c r="CF54" s="92"/>
      <c r="CG54" s="92"/>
      <c r="CH54" s="92"/>
      <c r="CI54" s="92"/>
      <c r="CJ54" s="92"/>
      <c r="CK54" s="92"/>
      <c r="CL54" s="92"/>
      <c r="CM54" s="92"/>
      <c r="CN54" s="92"/>
      <c r="CO54" s="92"/>
      <c r="CP54" s="92"/>
      <c r="CQ54" s="92"/>
      <c r="CR54" s="92"/>
      <c r="CS54" s="92"/>
      <c r="CT54" s="92"/>
      <c r="CU54" s="92"/>
      <c r="CV54" s="106"/>
      <c r="CW54" s="106"/>
      <c r="CX54" s="106"/>
      <c r="CY54" s="106"/>
      <c r="CZ54" s="106"/>
      <c r="DA54" s="106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</row>
    <row r="55" spans="2:117" x14ac:dyDescent="0.3">
      <c r="B55" s="58" t="s">
        <v>661</v>
      </c>
      <c r="C55" s="58"/>
      <c r="D55" s="58"/>
      <c r="E55" s="58"/>
      <c r="F55" s="58"/>
      <c r="G55" s="58"/>
      <c r="H55" s="58"/>
      <c r="I55" s="58">
        <v>1</v>
      </c>
      <c r="J55" s="89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CD55" s="92"/>
      <c r="CE55" s="92"/>
      <c r="CF55" s="92"/>
      <c r="CG55" s="92"/>
      <c r="CH55" s="92"/>
      <c r="CI55" s="92"/>
      <c r="CJ55" s="92"/>
      <c r="CK55" s="92"/>
      <c r="CL55" s="92"/>
      <c r="CM55" s="92"/>
      <c r="CN55" s="92"/>
      <c r="CO55" s="92"/>
      <c r="CP55" s="92"/>
      <c r="CQ55" s="92"/>
      <c r="CR55" s="92"/>
      <c r="CS55" s="92"/>
      <c r="CT55" s="92"/>
      <c r="CU55" s="92"/>
      <c r="CV55" s="106"/>
      <c r="CW55" s="106"/>
      <c r="CX55" s="106"/>
      <c r="CY55" s="106"/>
      <c r="CZ55" s="106"/>
      <c r="DA55" s="106"/>
      <c r="DB55" s="106"/>
      <c r="DC55" s="106"/>
      <c r="DD55" s="106"/>
      <c r="DE55" s="106"/>
      <c r="DF55" s="106"/>
      <c r="DG55" s="106"/>
      <c r="DH55" s="106"/>
      <c r="DI55" s="106"/>
      <c r="DJ55" s="106"/>
      <c r="DK55" s="106"/>
      <c r="DL55" s="106"/>
      <c r="DM55" s="106"/>
    </row>
    <row r="56" spans="2:117" x14ac:dyDescent="0.3">
      <c r="B56" s="58" t="s">
        <v>662</v>
      </c>
      <c r="C56" s="58"/>
      <c r="D56" s="58"/>
      <c r="E56" s="58"/>
      <c r="F56" s="58"/>
      <c r="G56" s="58"/>
      <c r="H56" s="58"/>
      <c r="I56" s="58">
        <v>1</v>
      </c>
      <c r="J56" s="89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106"/>
      <c r="CW56" s="106"/>
      <c r="CX56" s="106"/>
      <c r="CY56" s="106"/>
      <c r="CZ56" s="106"/>
      <c r="DA56" s="106"/>
      <c r="DB56" s="106"/>
      <c r="DC56" s="106"/>
      <c r="DD56" s="106"/>
      <c r="DE56" s="106"/>
      <c r="DF56" s="106"/>
      <c r="DG56" s="106"/>
      <c r="DH56" s="106"/>
      <c r="DI56" s="106"/>
      <c r="DJ56" s="106"/>
      <c r="DK56" s="106"/>
      <c r="DL56" s="106"/>
      <c r="DM56" s="106"/>
    </row>
    <row r="57" spans="2:117" x14ac:dyDescent="0.3">
      <c r="B57" s="58" t="s">
        <v>275</v>
      </c>
      <c r="C57" s="58"/>
      <c r="D57" s="58"/>
      <c r="E57" s="58"/>
      <c r="F57" s="58"/>
      <c r="G57" s="58"/>
      <c r="H57" s="58"/>
      <c r="I57" s="58">
        <v>1</v>
      </c>
      <c r="J57" s="89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CD57" s="92"/>
      <c r="CE57" s="92"/>
      <c r="CF57" s="92"/>
      <c r="CG57" s="92"/>
      <c r="CH57" s="92"/>
      <c r="CI57" s="92"/>
      <c r="CJ57" s="92"/>
      <c r="CK57" s="92"/>
      <c r="CL57" s="92"/>
      <c r="CM57" s="92"/>
      <c r="CN57" s="92"/>
      <c r="CO57" s="92"/>
      <c r="CP57" s="92"/>
      <c r="CQ57" s="92"/>
      <c r="CR57" s="92"/>
      <c r="CS57" s="92"/>
      <c r="CT57" s="92"/>
      <c r="CU57" s="92"/>
      <c r="CV57" s="106"/>
      <c r="CW57" s="106"/>
      <c r="CX57" s="106"/>
      <c r="CY57" s="106"/>
      <c r="CZ57" s="106"/>
      <c r="DA57" s="106"/>
      <c r="DB57" s="106"/>
      <c r="DC57" s="106"/>
      <c r="DD57" s="106"/>
      <c r="DE57" s="106"/>
      <c r="DF57" s="106"/>
      <c r="DG57" s="106"/>
      <c r="DH57" s="106"/>
      <c r="DI57" s="106"/>
      <c r="DJ57" s="106"/>
      <c r="DK57" s="106"/>
      <c r="DL57" s="106"/>
      <c r="DM57" s="106"/>
    </row>
    <row r="58" spans="2:117" x14ac:dyDescent="0.3">
      <c r="B58" s="58" t="s">
        <v>663</v>
      </c>
      <c r="C58" s="58"/>
      <c r="D58" s="58"/>
      <c r="E58" s="58"/>
      <c r="F58" s="58"/>
      <c r="G58" s="58"/>
      <c r="H58" s="58"/>
      <c r="I58" s="58">
        <v>1</v>
      </c>
      <c r="J58" s="89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CD58" s="92"/>
      <c r="CE58" s="92"/>
      <c r="CF58" s="92"/>
      <c r="CG58" s="92"/>
      <c r="CH58" s="92"/>
      <c r="CI58" s="92"/>
      <c r="CJ58" s="92"/>
      <c r="CK58" s="92"/>
      <c r="CL58" s="92"/>
      <c r="CM58" s="92"/>
      <c r="CN58" s="92"/>
      <c r="CO58" s="92"/>
      <c r="CP58" s="92"/>
      <c r="CQ58" s="92"/>
      <c r="CR58" s="92"/>
      <c r="CS58" s="92"/>
      <c r="CT58" s="92"/>
      <c r="CU58" s="92"/>
      <c r="CV58" s="106"/>
      <c r="CW58" s="106"/>
      <c r="CX58" s="106"/>
      <c r="CY58" s="106"/>
      <c r="CZ58" s="106"/>
      <c r="DA58" s="106"/>
      <c r="DB58" s="106"/>
      <c r="DC58" s="106"/>
      <c r="DD58" s="106"/>
      <c r="DE58" s="106"/>
      <c r="DF58" s="106"/>
      <c r="DG58" s="106"/>
      <c r="DH58" s="106"/>
      <c r="DI58" s="106"/>
      <c r="DJ58" s="106"/>
      <c r="DK58" s="106"/>
      <c r="DL58" s="106"/>
      <c r="DM58" s="106"/>
    </row>
    <row r="59" spans="2:117" x14ac:dyDescent="0.3">
      <c r="B59" s="58" t="s">
        <v>277</v>
      </c>
      <c r="C59" s="58"/>
      <c r="D59" s="58"/>
      <c r="E59" s="58"/>
      <c r="F59" s="58"/>
      <c r="G59" s="58"/>
      <c r="H59" s="58"/>
      <c r="I59" s="58">
        <v>1</v>
      </c>
      <c r="J59" s="89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CD59" s="92"/>
      <c r="CE59" s="92"/>
      <c r="CF59" s="92"/>
      <c r="CG59" s="92"/>
      <c r="CH59" s="92"/>
      <c r="CI59" s="92"/>
      <c r="CJ59" s="92"/>
      <c r="CK59" s="92"/>
      <c r="CL59" s="92"/>
      <c r="CM59" s="92"/>
      <c r="CN59" s="92"/>
      <c r="CO59" s="92"/>
      <c r="CP59" s="92"/>
      <c r="CQ59" s="92"/>
      <c r="CR59" s="92"/>
      <c r="CS59" s="92"/>
      <c r="CT59" s="92"/>
      <c r="CU59" s="92"/>
      <c r="CV59" s="106"/>
      <c r="CW59" s="106"/>
      <c r="CX59" s="106"/>
      <c r="CY59" s="106"/>
      <c r="CZ59" s="106"/>
      <c r="DA59" s="106"/>
      <c r="DB59" s="106"/>
      <c r="DC59" s="106"/>
      <c r="DD59" s="106"/>
      <c r="DE59" s="106"/>
      <c r="DF59" s="106"/>
      <c r="DG59" s="106"/>
      <c r="DH59" s="106"/>
      <c r="DI59" s="106"/>
      <c r="DJ59" s="106"/>
      <c r="DK59" s="106"/>
      <c r="DL59" s="106"/>
      <c r="DM59" s="106"/>
    </row>
    <row r="60" spans="2:117" x14ac:dyDescent="0.3">
      <c r="B60" s="58" t="s">
        <v>278</v>
      </c>
      <c r="C60" s="58"/>
      <c r="D60" s="58"/>
      <c r="E60" s="58"/>
      <c r="F60" s="58"/>
      <c r="G60" s="58"/>
      <c r="H60" s="58"/>
      <c r="I60" s="58">
        <v>1</v>
      </c>
      <c r="J60" s="89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CD60" s="92"/>
      <c r="CE60" s="92"/>
      <c r="CF60" s="92"/>
      <c r="CG60" s="92"/>
      <c r="CH60" s="92"/>
      <c r="CI60" s="92"/>
      <c r="CJ60" s="92"/>
      <c r="CK60" s="92"/>
      <c r="CL60" s="92"/>
      <c r="CM60" s="92"/>
      <c r="CN60" s="92"/>
      <c r="CO60" s="92"/>
      <c r="CP60" s="92"/>
      <c r="CQ60" s="92"/>
      <c r="CR60" s="92"/>
      <c r="CS60" s="92"/>
      <c r="CT60" s="92"/>
      <c r="CU60" s="92"/>
      <c r="CV60" s="106"/>
      <c r="CW60" s="106"/>
      <c r="CX60" s="106"/>
      <c r="CY60" s="106"/>
      <c r="CZ60" s="106"/>
      <c r="DA60" s="106"/>
      <c r="DB60" s="106"/>
      <c r="DC60" s="106"/>
      <c r="DD60" s="106"/>
      <c r="DE60" s="106"/>
      <c r="DF60" s="106"/>
      <c r="DG60" s="106"/>
      <c r="DH60" s="106"/>
      <c r="DI60" s="106"/>
      <c r="DJ60" s="106"/>
      <c r="DK60" s="106"/>
      <c r="DL60" s="106"/>
      <c r="DM60" s="106"/>
    </row>
    <row r="61" spans="2:117" x14ac:dyDescent="0.3">
      <c r="B61" s="111" t="s">
        <v>664</v>
      </c>
      <c r="C61" s="58"/>
      <c r="D61" s="58"/>
      <c r="E61" s="58"/>
      <c r="F61" s="58"/>
      <c r="G61" s="58"/>
      <c r="H61" s="58"/>
      <c r="I61" s="58">
        <v>1</v>
      </c>
      <c r="J61" s="89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CD61" s="92"/>
      <c r="CE61" s="92"/>
      <c r="CF61" s="92"/>
      <c r="CG61" s="92"/>
      <c r="CH61" s="92"/>
      <c r="CI61" s="92"/>
      <c r="CJ61" s="92"/>
      <c r="CK61" s="92"/>
      <c r="CL61" s="92"/>
      <c r="CM61" s="92"/>
      <c r="CN61" s="92"/>
      <c r="CO61" s="92"/>
      <c r="CP61" s="92"/>
      <c r="CQ61" s="92"/>
      <c r="CR61" s="92"/>
      <c r="CS61" s="92"/>
      <c r="CT61" s="92"/>
      <c r="CU61" s="92"/>
      <c r="CV61" s="106"/>
      <c r="CW61" s="106"/>
      <c r="CX61" s="106"/>
      <c r="CY61" s="106"/>
      <c r="CZ61" s="106"/>
      <c r="DA61" s="106"/>
      <c r="DB61" s="106"/>
      <c r="DC61" s="106"/>
      <c r="DD61" s="106"/>
      <c r="DE61" s="106"/>
      <c r="DF61" s="106"/>
      <c r="DG61" s="106"/>
      <c r="DH61" s="106"/>
      <c r="DI61" s="106"/>
      <c r="DJ61" s="106"/>
      <c r="DK61" s="106"/>
      <c r="DL61" s="106"/>
      <c r="DM61" s="106"/>
    </row>
    <row r="62" spans="2:117" x14ac:dyDescent="0.3">
      <c r="B62" s="58" t="s">
        <v>665</v>
      </c>
      <c r="C62" s="58"/>
      <c r="D62" s="58"/>
      <c r="E62" s="58"/>
      <c r="F62" s="58"/>
      <c r="G62" s="58"/>
      <c r="H62" s="58"/>
      <c r="I62" s="58">
        <v>1</v>
      </c>
      <c r="J62" s="89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CD62" s="92"/>
      <c r="CE62" s="92"/>
      <c r="CF62" s="92"/>
      <c r="CG62" s="92"/>
      <c r="CH62" s="92"/>
      <c r="CI62" s="92"/>
      <c r="CJ62" s="92"/>
      <c r="CK62" s="92"/>
      <c r="CL62" s="92"/>
      <c r="CM62" s="92"/>
      <c r="CN62" s="92"/>
      <c r="CO62" s="92"/>
      <c r="CP62" s="92"/>
      <c r="CQ62" s="92"/>
      <c r="CR62" s="92"/>
      <c r="CS62" s="92"/>
      <c r="CT62" s="92"/>
      <c r="CU62" s="92"/>
      <c r="CV62" s="106"/>
      <c r="CW62" s="106"/>
      <c r="CX62" s="106"/>
      <c r="CY62" s="106"/>
      <c r="CZ62" s="106"/>
      <c r="DA62" s="106"/>
      <c r="DB62" s="106"/>
      <c r="DC62" s="106"/>
      <c r="DD62" s="106"/>
      <c r="DE62" s="106"/>
      <c r="DF62" s="106"/>
      <c r="DG62" s="106"/>
      <c r="DH62" s="106"/>
      <c r="DI62" s="106"/>
      <c r="DJ62" s="106"/>
      <c r="DK62" s="106"/>
      <c r="DL62" s="106"/>
      <c r="DM62" s="106"/>
    </row>
    <row r="63" spans="2:117" x14ac:dyDescent="0.3">
      <c r="B63" s="58" t="s">
        <v>666</v>
      </c>
      <c r="C63" s="58"/>
      <c r="D63" s="58"/>
      <c r="E63" s="58"/>
      <c r="F63" s="58"/>
      <c r="G63" s="58"/>
      <c r="H63" s="58"/>
      <c r="I63" s="58">
        <v>1</v>
      </c>
      <c r="J63" s="89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CD63" s="92"/>
      <c r="CE63" s="92"/>
      <c r="CF63" s="92"/>
      <c r="CG63" s="92"/>
      <c r="CH63" s="92"/>
      <c r="CI63" s="92"/>
      <c r="CJ63" s="92"/>
      <c r="CK63" s="92"/>
      <c r="CL63" s="92"/>
      <c r="CM63" s="92"/>
      <c r="CN63" s="92"/>
      <c r="CO63" s="92"/>
      <c r="CP63" s="92"/>
      <c r="CQ63" s="92"/>
      <c r="CR63" s="92"/>
      <c r="CS63" s="92"/>
      <c r="CT63" s="92"/>
      <c r="CU63" s="92"/>
      <c r="CV63" s="106"/>
      <c r="CW63" s="106"/>
      <c r="CX63" s="106"/>
      <c r="CY63" s="106"/>
      <c r="CZ63" s="106"/>
      <c r="DA63" s="106"/>
      <c r="DB63" s="106"/>
      <c r="DC63" s="106"/>
      <c r="DD63" s="106"/>
      <c r="DE63" s="106"/>
      <c r="DF63" s="106"/>
      <c r="DG63" s="106"/>
      <c r="DH63" s="106"/>
      <c r="DI63" s="106"/>
      <c r="DJ63" s="106"/>
      <c r="DK63" s="106"/>
      <c r="DL63" s="106"/>
      <c r="DM63" s="106"/>
    </row>
    <row r="64" spans="2:117" x14ac:dyDescent="0.3">
      <c r="B64" s="58" t="s">
        <v>667</v>
      </c>
      <c r="C64" s="58"/>
      <c r="D64" s="58"/>
      <c r="E64" s="58"/>
      <c r="F64" s="58"/>
      <c r="G64" s="58"/>
      <c r="H64" s="58"/>
      <c r="I64" s="58">
        <v>1</v>
      </c>
      <c r="J64" s="89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CD64" s="92"/>
      <c r="CE64" s="92"/>
      <c r="CF64" s="92"/>
      <c r="CG64" s="92"/>
      <c r="CH64" s="92"/>
      <c r="CI64" s="92"/>
      <c r="CJ64" s="92"/>
      <c r="CK64" s="92"/>
      <c r="CL64" s="92"/>
      <c r="CM64" s="92"/>
      <c r="CN64" s="92"/>
      <c r="CO64" s="92"/>
      <c r="CP64" s="92"/>
      <c r="CQ64" s="92"/>
      <c r="CR64" s="92"/>
      <c r="CS64" s="92"/>
      <c r="CT64" s="92"/>
      <c r="CU64" s="92"/>
      <c r="CV64" s="106"/>
      <c r="CW64" s="106"/>
      <c r="CX64" s="106"/>
      <c r="CY64" s="106"/>
      <c r="CZ64" s="106"/>
      <c r="DA64" s="106"/>
      <c r="DB64" s="106"/>
      <c r="DC64" s="106"/>
      <c r="DD64" s="106"/>
      <c r="DE64" s="106"/>
      <c r="DF64" s="106"/>
      <c r="DG64" s="106"/>
      <c r="DH64" s="106"/>
      <c r="DI64" s="106"/>
      <c r="DJ64" s="106"/>
      <c r="DK64" s="106"/>
      <c r="DL64" s="106"/>
      <c r="DM64" s="106"/>
    </row>
    <row r="65" spans="2:117" x14ac:dyDescent="0.3">
      <c r="B65" s="58" t="s">
        <v>668</v>
      </c>
      <c r="C65" s="58"/>
      <c r="D65" s="58"/>
      <c r="E65" s="58"/>
      <c r="F65" s="58"/>
      <c r="G65" s="58"/>
      <c r="H65" s="58"/>
      <c r="I65" s="58">
        <v>1</v>
      </c>
      <c r="J65" s="89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CD65" s="92"/>
      <c r="CE65" s="92"/>
      <c r="CF65" s="92"/>
      <c r="CG65" s="92"/>
      <c r="CH65" s="92"/>
      <c r="CI65" s="92"/>
      <c r="CJ65" s="92"/>
      <c r="CK65" s="92"/>
      <c r="CL65" s="92"/>
      <c r="CM65" s="92"/>
      <c r="CN65" s="92"/>
      <c r="CO65" s="92"/>
      <c r="CP65" s="92"/>
      <c r="CQ65" s="92"/>
      <c r="CR65" s="92"/>
      <c r="CS65" s="92"/>
      <c r="CT65" s="92"/>
      <c r="CU65" s="92"/>
      <c r="CV65" s="106"/>
      <c r="CW65" s="106"/>
      <c r="CX65" s="106"/>
      <c r="CY65" s="106"/>
      <c r="CZ65" s="106"/>
      <c r="DA65" s="106"/>
      <c r="DB65" s="106"/>
      <c r="DC65" s="106"/>
      <c r="DD65" s="106"/>
      <c r="DE65" s="106"/>
      <c r="DF65" s="106"/>
      <c r="DG65" s="106"/>
      <c r="DH65" s="106"/>
      <c r="DI65" s="106"/>
      <c r="DJ65" s="106"/>
      <c r="DK65" s="106"/>
      <c r="DL65" s="106"/>
      <c r="DM65" s="106"/>
    </row>
    <row r="66" spans="2:117" x14ac:dyDescent="0.3">
      <c r="B66" s="58" t="s">
        <v>669</v>
      </c>
      <c r="C66" s="58"/>
      <c r="D66" s="58"/>
      <c r="E66" s="58"/>
      <c r="F66" s="58"/>
      <c r="G66" s="58"/>
      <c r="H66" s="58"/>
      <c r="I66" s="58">
        <v>1</v>
      </c>
      <c r="J66" s="89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CD66" s="92"/>
      <c r="CE66" s="92"/>
      <c r="CF66" s="92"/>
      <c r="CG66" s="92"/>
      <c r="CH66" s="92"/>
      <c r="CI66" s="92"/>
      <c r="CJ66" s="92"/>
      <c r="CK66" s="92"/>
      <c r="CL66" s="92"/>
      <c r="CM66" s="92"/>
      <c r="CN66" s="92"/>
      <c r="CO66" s="92"/>
      <c r="CP66" s="92"/>
      <c r="CQ66" s="92"/>
      <c r="CR66" s="92"/>
      <c r="CS66" s="92"/>
      <c r="CT66" s="92"/>
      <c r="CU66" s="92"/>
      <c r="CV66" s="106"/>
      <c r="CW66" s="106"/>
      <c r="CX66" s="106"/>
      <c r="CY66" s="106"/>
      <c r="CZ66" s="106"/>
      <c r="DA66" s="106"/>
      <c r="DB66" s="106"/>
      <c r="DC66" s="106"/>
      <c r="DD66" s="106"/>
      <c r="DE66" s="106"/>
      <c r="DF66" s="106"/>
      <c r="DG66" s="106"/>
      <c r="DH66" s="106"/>
      <c r="DI66" s="106"/>
      <c r="DJ66" s="106"/>
      <c r="DK66" s="106"/>
      <c r="DL66" s="106"/>
      <c r="DM66" s="106"/>
    </row>
    <row r="67" spans="2:117" x14ac:dyDescent="0.3">
      <c r="B67" s="58" t="s">
        <v>670</v>
      </c>
      <c r="C67" s="58"/>
      <c r="D67" s="58"/>
      <c r="E67" s="58"/>
      <c r="F67" s="58"/>
      <c r="G67" s="58"/>
      <c r="H67" s="58"/>
      <c r="I67" s="58">
        <v>1</v>
      </c>
      <c r="J67" s="89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CD67" s="92"/>
      <c r="CE67" s="92"/>
      <c r="CF67" s="92"/>
      <c r="CG67" s="92"/>
      <c r="CH67" s="92"/>
      <c r="CI67" s="92"/>
      <c r="CJ67" s="92"/>
      <c r="CK67" s="92"/>
      <c r="CL67" s="92"/>
      <c r="CM67" s="92"/>
      <c r="CN67" s="92"/>
      <c r="CO67" s="92"/>
      <c r="CP67" s="92"/>
      <c r="CQ67" s="92"/>
      <c r="CR67" s="92"/>
      <c r="CS67" s="92"/>
      <c r="CT67" s="92"/>
      <c r="CU67" s="92"/>
      <c r="CV67" s="106"/>
      <c r="CW67" s="106"/>
      <c r="CX67" s="106"/>
      <c r="CY67" s="106"/>
      <c r="CZ67" s="106"/>
      <c r="DA67" s="106"/>
      <c r="DB67" s="106"/>
      <c r="DC67" s="106"/>
      <c r="DD67" s="106"/>
      <c r="DE67" s="106"/>
      <c r="DF67" s="106"/>
      <c r="DG67" s="106"/>
      <c r="DH67" s="106"/>
      <c r="DI67" s="106"/>
      <c r="DJ67" s="106"/>
      <c r="DK67" s="106"/>
      <c r="DL67" s="106"/>
      <c r="DM67" s="106"/>
    </row>
    <row r="68" spans="2:117" x14ac:dyDescent="0.3">
      <c r="B68" s="58" t="s">
        <v>245</v>
      </c>
      <c r="C68" s="58"/>
      <c r="D68" s="58"/>
      <c r="E68" s="58"/>
      <c r="F68" s="58"/>
      <c r="G68" s="58"/>
      <c r="H68" s="58"/>
      <c r="I68" s="58">
        <v>1</v>
      </c>
      <c r="J68" s="89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CD68" s="92"/>
      <c r="CE68" s="92"/>
      <c r="CF68" s="92"/>
      <c r="CG68" s="92"/>
      <c r="CH68" s="92"/>
      <c r="CI68" s="92"/>
      <c r="CJ68" s="92"/>
      <c r="CK68" s="92"/>
      <c r="CL68" s="92"/>
      <c r="CM68" s="92"/>
      <c r="CN68" s="92"/>
      <c r="CO68" s="92"/>
      <c r="CP68" s="92"/>
      <c r="CQ68" s="92"/>
      <c r="CR68" s="92"/>
      <c r="CS68" s="92"/>
      <c r="CT68" s="92"/>
      <c r="CU68" s="92"/>
      <c r="CV68" s="106"/>
      <c r="CW68" s="106"/>
      <c r="CX68" s="106"/>
      <c r="CY68" s="106"/>
      <c r="CZ68" s="106"/>
      <c r="DA68" s="106"/>
      <c r="DB68" s="106"/>
      <c r="DC68" s="106"/>
      <c r="DD68" s="106"/>
      <c r="DE68" s="106"/>
      <c r="DF68" s="106"/>
      <c r="DG68" s="106"/>
      <c r="DH68" s="106"/>
      <c r="DI68" s="106"/>
      <c r="DJ68" s="106"/>
      <c r="DK68" s="106"/>
      <c r="DL68" s="106"/>
      <c r="DM68" s="106"/>
    </row>
    <row r="69" spans="2:117" x14ac:dyDescent="0.3">
      <c r="B69" s="58" t="s">
        <v>252</v>
      </c>
      <c r="C69" s="58"/>
      <c r="D69" s="58"/>
      <c r="E69" s="58"/>
      <c r="F69" s="58"/>
      <c r="G69" s="58"/>
      <c r="H69" s="58"/>
      <c r="I69" s="58">
        <v>1</v>
      </c>
      <c r="J69" s="89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CD69" s="92"/>
      <c r="CE69" s="92"/>
      <c r="CF69" s="92"/>
      <c r="CG69" s="92"/>
      <c r="CH69" s="92"/>
      <c r="CI69" s="92"/>
      <c r="CJ69" s="92"/>
      <c r="CK69" s="92"/>
      <c r="CL69" s="92"/>
      <c r="CM69" s="92"/>
      <c r="CN69" s="92"/>
      <c r="CO69" s="92"/>
      <c r="CP69" s="92"/>
      <c r="CQ69" s="92"/>
      <c r="CR69" s="92"/>
      <c r="CS69" s="92"/>
      <c r="CT69" s="92"/>
      <c r="CU69" s="92"/>
      <c r="CV69" s="106"/>
      <c r="CW69" s="106"/>
      <c r="CX69" s="106"/>
      <c r="CY69" s="106"/>
      <c r="CZ69" s="106"/>
      <c r="DA69" s="106"/>
      <c r="DB69" s="106"/>
      <c r="DC69" s="106"/>
      <c r="DD69" s="106"/>
      <c r="DE69" s="106"/>
      <c r="DF69" s="106"/>
      <c r="DG69" s="106"/>
      <c r="DH69" s="106"/>
      <c r="DI69" s="106"/>
      <c r="DJ69" s="106"/>
      <c r="DK69" s="106"/>
      <c r="DL69" s="106"/>
      <c r="DM69" s="106"/>
    </row>
    <row r="70" spans="2:117" x14ac:dyDescent="0.3">
      <c r="B70" s="58" t="s">
        <v>671</v>
      </c>
      <c r="C70" s="58"/>
      <c r="D70" s="58"/>
      <c r="E70" s="58"/>
      <c r="F70" s="58"/>
      <c r="G70" s="58"/>
      <c r="H70" s="58"/>
      <c r="I70" s="58">
        <v>1</v>
      </c>
      <c r="J70" s="89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CD70" s="92"/>
      <c r="CE70" s="92"/>
      <c r="CF70" s="92"/>
      <c r="CG70" s="92"/>
      <c r="CH70" s="92"/>
      <c r="CI70" s="92"/>
      <c r="CJ70" s="92"/>
      <c r="CK70" s="92"/>
      <c r="CL70" s="92"/>
      <c r="CM70" s="92"/>
      <c r="CN70" s="92"/>
      <c r="CO70" s="92"/>
      <c r="CP70" s="92"/>
      <c r="CQ70" s="92"/>
      <c r="CR70" s="92"/>
      <c r="CS70" s="92"/>
      <c r="CT70" s="92"/>
      <c r="CU70" s="92"/>
      <c r="CV70" s="106"/>
      <c r="CW70" s="106"/>
      <c r="CX70" s="106"/>
      <c r="CY70" s="106"/>
      <c r="CZ70" s="106"/>
      <c r="DA70" s="106"/>
      <c r="DB70" s="106"/>
      <c r="DC70" s="106"/>
      <c r="DD70" s="106"/>
      <c r="DE70" s="106"/>
      <c r="DF70" s="106"/>
      <c r="DG70" s="106"/>
      <c r="DH70" s="106"/>
      <c r="DI70" s="106"/>
      <c r="DJ70" s="106"/>
      <c r="DK70" s="106"/>
      <c r="DL70" s="106"/>
      <c r="DM70" s="106"/>
    </row>
    <row r="71" spans="2:117" x14ac:dyDescent="0.3">
      <c r="B71" s="58" t="s">
        <v>258</v>
      </c>
      <c r="C71" s="58"/>
      <c r="D71" s="58"/>
      <c r="E71" s="58"/>
      <c r="F71" s="58"/>
      <c r="G71" s="58"/>
      <c r="H71" s="58"/>
      <c r="I71" s="58">
        <v>1</v>
      </c>
      <c r="J71" s="89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CD71" s="92"/>
      <c r="CE71" s="92"/>
      <c r="CF71" s="92"/>
      <c r="CG71" s="92"/>
      <c r="CH71" s="92"/>
      <c r="CI71" s="92"/>
      <c r="CJ71" s="92"/>
      <c r="CK71" s="92"/>
      <c r="CL71" s="92"/>
      <c r="CM71" s="92"/>
      <c r="CN71" s="92"/>
      <c r="CO71" s="92"/>
      <c r="CP71" s="92"/>
      <c r="CQ71" s="92"/>
      <c r="CR71" s="92"/>
      <c r="CS71" s="92"/>
      <c r="CT71" s="92"/>
      <c r="CU71" s="92"/>
      <c r="CV71" s="106"/>
      <c r="CW71" s="106"/>
      <c r="CX71" s="106"/>
      <c r="CY71" s="106"/>
      <c r="CZ71" s="106"/>
      <c r="DA71" s="106"/>
      <c r="DB71" s="106"/>
      <c r="DC71" s="106"/>
      <c r="DD71" s="106"/>
      <c r="DE71" s="106"/>
      <c r="DF71" s="106"/>
      <c r="DG71" s="106"/>
      <c r="DH71" s="106"/>
      <c r="DI71" s="106"/>
      <c r="DJ71" s="106"/>
      <c r="DK71" s="106"/>
      <c r="DL71" s="106"/>
      <c r="DM71" s="106"/>
    </row>
    <row r="72" spans="2:117" x14ac:dyDescent="0.3">
      <c r="B72" s="58" t="s">
        <v>672</v>
      </c>
      <c r="C72" s="58"/>
      <c r="D72" s="58"/>
      <c r="E72" s="58"/>
      <c r="F72" s="58"/>
      <c r="G72" s="58"/>
      <c r="H72" s="58"/>
      <c r="I72" s="58">
        <v>1</v>
      </c>
      <c r="J72" s="89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CD72" s="92"/>
      <c r="CE72" s="92"/>
      <c r="CF72" s="92"/>
      <c r="CG72" s="92"/>
      <c r="CH72" s="92"/>
      <c r="CI72" s="92"/>
      <c r="CJ72" s="92"/>
      <c r="CK72" s="92"/>
      <c r="CL72" s="92"/>
      <c r="CM72" s="92"/>
      <c r="CN72" s="92"/>
      <c r="CO72" s="92"/>
      <c r="CP72" s="92"/>
      <c r="CQ72" s="92"/>
      <c r="CR72" s="92"/>
      <c r="CS72" s="92"/>
      <c r="CT72" s="92"/>
      <c r="CU72" s="92"/>
      <c r="CV72" s="106"/>
      <c r="CW72" s="106"/>
      <c r="CX72" s="106"/>
      <c r="CY72" s="106"/>
      <c r="CZ72" s="106"/>
      <c r="DA72" s="106"/>
      <c r="DB72" s="106"/>
      <c r="DC72" s="106"/>
      <c r="DD72" s="106"/>
      <c r="DE72" s="106"/>
      <c r="DF72" s="106"/>
      <c r="DG72" s="106"/>
      <c r="DH72" s="106"/>
      <c r="DI72" s="106"/>
      <c r="DJ72" s="106"/>
      <c r="DK72" s="106"/>
      <c r="DL72" s="106"/>
      <c r="DM72" s="106"/>
    </row>
    <row r="73" spans="2:117" x14ac:dyDescent="0.3">
      <c r="B73" s="58" t="s">
        <v>280</v>
      </c>
      <c r="C73" s="58"/>
      <c r="D73" s="58"/>
      <c r="E73" s="58"/>
      <c r="F73" s="58"/>
      <c r="G73" s="58"/>
      <c r="H73" s="58"/>
      <c r="I73" s="58">
        <v>1</v>
      </c>
      <c r="J73" s="89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106"/>
      <c r="CW73" s="106"/>
      <c r="CX73" s="106"/>
      <c r="CY73" s="106"/>
      <c r="CZ73" s="106"/>
      <c r="DA73" s="106"/>
      <c r="DB73" s="106"/>
      <c r="DC73" s="106"/>
      <c r="DD73" s="106"/>
      <c r="DE73" s="106"/>
      <c r="DF73" s="106"/>
      <c r="DG73" s="106"/>
      <c r="DH73" s="106"/>
      <c r="DI73" s="106"/>
      <c r="DJ73" s="106"/>
      <c r="DK73" s="106"/>
      <c r="DL73" s="106"/>
      <c r="DM73" s="106"/>
    </row>
    <row r="74" spans="2:117" x14ac:dyDescent="0.3">
      <c r="B74" s="89" t="s">
        <v>281</v>
      </c>
      <c r="C74" s="89"/>
      <c r="D74" s="89"/>
      <c r="E74" s="89"/>
      <c r="F74" s="89"/>
      <c r="G74" s="89"/>
      <c r="H74" s="89"/>
      <c r="I74" s="89"/>
      <c r="J74" s="89">
        <v>1</v>
      </c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2"/>
      <c r="CO74" s="92"/>
      <c r="CP74" s="92"/>
      <c r="CQ74" s="92"/>
      <c r="CR74" s="92"/>
      <c r="CS74" s="92"/>
      <c r="CT74" s="92"/>
      <c r="CU74" s="92"/>
      <c r="CV74" s="106"/>
      <c r="CW74" s="106"/>
      <c r="CX74" s="106"/>
      <c r="CY74" s="106"/>
      <c r="CZ74" s="106"/>
      <c r="DA74" s="106"/>
      <c r="DB74" s="106"/>
      <c r="DC74" s="106"/>
      <c r="DD74" s="106"/>
      <c r="DE74" s="106"/>
      <c r="DF74" s="106"/>
      <c r="DG74" s="106"/>
      <c r="DH74" s="106"/>
      <c r="DI74" s="106"/>
      <c r="DJ74" s="106"/>
      <c r="DK74" s="106"/>
      <c r="DL74" s="106"/>
      <c r="DM74" s="106"/>
    </row>
    <row r="75" spans="2:117" x14ac:dyDescent="0.3">
      <c r="B75" s="89" t="s">
        <v>231</v>
      </c>
      <c r="C75" s="89"/>
      <c r="D75" s="89"/>
      <c r="E75" s="89"/>
      <c r="F75" s="89"/>
      <c r="G75" s="89"/>
      <c r="H75" s="89"/>
      <c r="I75" s="89"/>
      <c r="J75" s="89">
        <v>1</v>
      </c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106"/>
      <c r="CW75" s="106"/>
      <c r="CX75" s="106"/>
      <c r="CY75" s="106"/>
      <c r="CZ75" s="106"/>
      <c r="DA75" s="106"/>
      <c r="DB75" s="106"/>
      <c r="DC75" s="106"/>
      <c r="DD75" s="106"/>
      <c r="DE75" s="106"/>
      <c r="DF75" s="106"/>
      <c r="DG75" s="106"/>
      <c r="DH75" s="106"/>
      <c r="DI75" s="106"/>
      <c r="DJ75" s="106"/>
      <c r="DK75" s="106"/>
      <c r="DL75" s="106"/>
      <c r="DM75" s="106"/>
    </row>
    <row r="76" spans="2:117" x14ac:dyDescent="0.3">
      <c r="B76" s="89" t="s">
        <v>238</v>
      </c>
      <c r="C76" s="89"/>
      <c r="D76" s="89"/>
      <c r="E76" s="89"/>
      <c r="F76" s="89"/>
      <c r="G76" s="89"/>
      <c r="H76" s="89"/>
      <c r="I76" s="89"/>
      <c r="J76" s="89">
        <v>1</v>
      </c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CD76" s="92"/>
      <c r="CE76" s="92"/>
      <c r="CF76" s="92"/>
      <c r="CG76" s="92"/>
      <c r="CH76" s="92"/>
      <c r="CI76" s="92"/>
      <c r="CJ76" s="92"/>
      <c r="CK76" s="92"/>
      <c r="CL76" s="92"/>
      <c r="CM76" s="92"/>
      <c r="CN76" s="92"/>
      <c r="CO76" s="92"/>
      <c r="CP76" s="92"/>
      <c r="CQ76" s="92"/>
      <c r="CR76" s="92"/>
      <c r="CS76" s="92"/>
      <c r="CT76" s="92"/>
      <c r="CU76" s="92"/>
      <c r="CV76" s="106"/>
      <c r="CW76" s="106"/>
      <c r="CX76" s="106"/>
      <c r="CY76" s="106"/>
      <c r="CZ76" s="106"/>
      <c r="DA76" s="106"/>
      <c r="DB76" s="106"/>
      <c r="DC76" s="106"/>
      <c r="DD76" s="106"/>
      <c r="DE76" s="106"/>
      <c r="DF76" s="106"/>
      <c r="DG76" s="106"/>
      <c r="DH76" s="106"/>
      <c r="DI76" s="106"/>
      <c r="DJ76" s="106"/>
      <c r="DK76" s="106"/>
      <c r="DL76" s="106"/>
      <c r="DM76" s="106"/>
    </row>
    <row r="77" spans="2:117" x14ac:dyDescent="0.3">
      <c r="B77" s="89" t="s">
        <v>244</v>
      </c>
      <c r="C77" s="89"/>
      <c r="D77" s="89"/>
      <c r="E77" s="89"/>
      <c r="F77" s="89"/>
      <c r="G77" s="89"/>
      <c r="H77" s="89"/>
      <c r="I77" s="89"/>
      <c r="J77" s="89">
        <v>1</v>
      </c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106"/>
      <c r="CW77" s="106"/>
      <c r="CX77" s="106"/>
      <c r="CY77" s="106"/>
      <c r="CZ77" s="106"/>
      <c r="DA77" s="106"/>
      <c r="DB77" s="106"/>
      <c r="DC77" s="106"/>
      <c r="DD77" s="106"/>
      <c r="DE77" s="106"/>
      <c r="DF77" s="106"/>
      <c r="DG77" s="106"/>
      <c r="DH77" s="106"/>
      <c r="DI77" s="106"/>
      <c r="DJ77" s="106"/>
      <c r="DK77" s="106"/>
      <c r="DL77" s="106"/>
      <c r="DM77" s="106"/>
    </row>
    <row r="78" spans="2:117" x14ac:dyDescent="0.3">
      <c r="B78" s="89" t="s">
        <v>1184</v>
      </c>
      <c r="C78" s="89"/>
      <c r="D78" s="89"/>
      <c r="E78" s="89"/>
      <c r="F78" s="89"/>
      <c r="G78" s="89"/>
      <c r="H78" s="89"/>
      <c r="I78" s="89"/>
      <c r="J78" s="89">
        <v>1</v>
      </c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CD78" s="92"/>
      <c r="CE78" s="92"/>
      <c r="CF78" s="92"/>
      <c r="CG78" s="92"/>
      <c r="CH78" s="92"/>
      <c r="CI78" s="92"/>
      <c r="CJ78" s="92"/>
      <c r="CK78" s="92"/>
      <c r="CL78" s="92"/>
      <c r="CM78" s="92"/>
      <c r="CN78" s="92"/>
      <c r="CO78" s="92"/>
      <c r="CP78" s="92"/>
      <c r="CQ78" s="92"/>
      <c r="CR78" s="92"/>
      <c r="CS78" s="92"/>
      <c r="CT78" s="92"/>
      <c r="CU78" s="92"/>
      <c r="CV78" s="106"/>
      <c r="CW78" s="106"/>
      <c r="CX78" s="106"/>
      <c r="CY78" s="106"/>
      <c r="CZ78" s="106"/>
      <c r="DA78" s="106"/>
      <c r="DB78" s="106"/>
      <c r="DC78" s="106"/>
      <c r="DD78" s="106"/>
      <c r="DE78" s="106"/>
      <c r="DF78" s="106"/>
      <c r="DG78" s="106"/>
      <c r="DH78" s="106"/>
      <c r="DI78" s="106"/>
      <c r="DJ78" s="106"/>
      <c r="DK78" s="106"/>
      <c r="DL78" s="106"/>
      <c r="DM78" s="106"/>
    </row>
    <row r="79" spans="2:117" x14ac:dyDescent="0.3">
      <c r="B79" s="89" t="s">
        <v>247</v>
      </c>
      <c r="C79" s="89"/>
      <c r="D79" s="89"/>
      <c r="E79" s="89"/>
      <c r="F79" s="89"/>
      <c r="G79" s="89"/>
      <c r="H79" s="89"/>
      <c r="I79" s="89"/>
      <c r="J79" s="89">
        <v>1</v>
      </c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CD79" s="92"/>
      <c r="CE79" s="92"/>
      <c r="CF79" s="92"/>
      <c r="CG79" s="92"/>
      <c r="CH79" s="92"/>
      <c r="CI79" s="92"/>
      <c r="CJ79" s="92"/>
      <c r="CK79" s="92"/>
      <c r="CL79" s="92"/>
      <c r="CM79" s="92"/>
      <c r="CN79" s="92"/>
      <c r="CO79" s="92"/>
      <c r="CP79" s="92"/>
      <c r="CQ79" s="92"/>
      <c r="CR79" s="92"/>
      <c r="CS79" s="92"/>
      <c r="CT79" s="92"/>
      <c r="CU79" s="92"/>
      <c r="CV79" s="106"/>
      <c r="CW79" s="106"/>
      <c r="CX79" s="106"/>
      <c r="CY79" s="106"/>
      <c r="CZ79" s="106"/>
      <c r="DA79" s="106"/>
      <c r="DB79" s="106"/>
      <c r="DC79" s="106"/>
      <c r="DD79" s="106"/>
      <c r="DE79" s="106"/>
      <c r="DF79" s="106"/>
      <c r="DG79" s="106"/>
      <c r="DH79" s="106"/>
      <c r="DI79" s="106"/>
      <c r="DJ79" s="106"/>
      <c r="DK79" s="106"/>
      <c r="DL79" s="106"/>
      <c r="DM79" s="106"/>
    </row>
    <row r="80" spans="2:117" x14ac:dyDescent="0.3">
      <c r="B80" s="89" t="s">
        <v>251</v>
      </c>
      <c r="C80" s="89"/>
      <c r="D80" s="89"/>
      <c r="E80" s="89"/>
      <c r="F80" s="89"/>
      <c r="G80" s="89"/>
      <c r="H80" s="89"/>
      <c r="I80" s="89"/>
      <c r="J80" s="89">
        <v>1</v>
      </c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CD80" s="92"/>
      <c r="CE80" s="92"/>
      <c r="CF80" s="92"/>
      <c r="CG80" s="92"/>
      <c r="CH80" s="92"/>
      <c r="CI80" s="92"/>
      <c r="CJ80" s="92"/>
      <c r="CK80" s="92"/>
      <c r="CL80" s="92"/>
      <c r="CM80" s="92"/>
      <c r="CN80" s="92"/>
      <c r="CO80" s="92"/>
      <c r="CP80" s="92"/>
      <c r="CQ80" s="92"/>
      <c r="CR80" s="92"/>
      <c r="CS80" s="92"/>
      <c r="CT80" s="92"/>
      <c r="CU80" s="92"/>
      <c r="CV80" s="106"/>
      <c r="CW80" s="106"/>
      <c r="CX80" s="106"/>
      <c r="CY80" s="106"/>
      <c r="CZ80" s="106"/>
      <c r="DA80" s="106"/>
      <c r="DB80" s="106"/>
      <c r="DC80" s="106"/>
      <c r="DD80" s="106"/>
      <c r="DE80" s="106"/>
      <c r="DF80" s="106"/>
      <c r="DG80" s="106"/>
      <c r="DH80" s="106"/>
      <c r="DI80" s="106"/>
      <c r="DJ80" s="106"/>
      <c r="DK80" s="106"/>
      <c r="DL80" s="106"/>
      <c r="DM80" s="106"/>
    </row>
    <row r="81" spans="2:117" x14ac:dyDescent="0.3">
      <c r="B81" s="89" t="s">
        <v>673</v>
      </c>
      <c r="C81" s="89"/>
      <c r="D81" s="89"/>
      <c r="E81" s="89"/>
      <c r="F81" s="89"/>
      <c r="G81" s="89"/>
      <c r="H81" s="89"/>
      <c r="I81" s="89"/>
      <c r="J81" s="89">
        <v>1</v>
      </c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CD81" s="92"/>
      <c r="CE81" s="92"/>
      <c r="CF81" s="92"/>
      <c r="CG81" s="92"/>
      <c r="CH81" s="92"/>
      <c r="CI81" s="92"/>
      <c r="CJ81" s="92"/>
      <c r="CK81" s="92"/>
      <c r="CL81" s="92"/>
      <c r="CM81" s="92"/>
      <c r="CN81" s="92"/>
      <c r="CO81" s="92"/>
      <c r="CP81" s="92"/>
      <c r="CQ81" s="92"/>
      <c r="CR81" s="92"/>
      <c r="CS81" s="92"/>
      <c r="CT81" s="92"/>
      <c r="CU81" s="92"/>
      <c r="CV81" s="106"/>
      <c r="CW81" s="106"/>
      <c r="CX81" s="106"/>
      <c r="CY81" s="106"/>
      <c r="CZ81" s="106"/>
      <c r="DA81" s="106"/>
      <c r="DB81" s="106"/>
      <c r="DC81" s="106"/>
      <c r="DD81" s="106"/>
      <c r="DE81" s="106"/>
      <c r="DF81" s="106"/>
      <c r="DG81" s="106"/>
      <c r="DH81" s="106"/>
      <c r="DI81" s="106"/>
      <c r="DJ81" s="106"/>
      <c r="DK81" s="106"/>
      <c r="DL81" s="106"/>
      <c r="DM81" s="106"/>
    </row>
    <row r="82" spans="2:117" x14ac:dyDescent="0.3">
      <c r="B82" s="89" t="s">
        <v>254</v>
      </c>
      <c r="C82" s="89"/>
      <c r="D82" s="89"/>
      <c r="E82" s="89"/>
      <c r="F82" s="89"/>
      <c r="G82" s="89"/>
      <c r="H82" s="89"/>
      <c r="I82" s="89"/>
      <c r="J82" s="89">
        <v>1</v>
      </c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CD82" s="92"/>
      <c r="CE82" s="92"/>
      <c r="CF82" s="92"/>
      <c r="CG82" s="92"/>
      <c r="CH82" s="92"/>
      <c r="CI82" s="92"/>
      <c r="CJ82" s="92"/>
      <c r="CK82" s="92"/>
      <c r="CL82" s="92"/>
      <c r="CM82" s="92"/>
      <c r="CN82" s="92"/>
      <c r="CO82" s="92"/>
      <c r="CP82" s="92"/>
      <c r="CQ82" s="92"/>
      <c r="CR82" s="92"/>
      <c r="CS82" s="92"/>
      <c r="CT82" s="92"/>
      <c r="CU82" s="92"/>
      <c r="CV82" s="106"/>
      <c r="CW82" s="106"/>
      <c r="CX82" s="106"/>
      <c r="CY82" s="106"/>
      <c r="CZ82" s="106"/>
      <c r="DA82" s="106"/>
      <c r="DB82" s="106"/>
      <c r="DC82" s="106"/>
      <c r="DD82" s="106"/>
      <c r="DE82" s="106"/>
      <c r="DF82" s="106"/>
      <c r="DG82" s="106"/>
      <c r="DH82" s="106"/>
      <c r="DI82" s="106"/>
      <c r="DJ82" s="106"/>
      <c r="DK82" s="106"/>
      <c r="DL82" s="106"/>
      <c r="DM82" s="106"/>
    </row>
    <row r="83" spans="2:117" x14ac:dyDescent="0.3">
      <c r="B83" s="89" t="s">
        <v>257</v>
      </c>
      <c r="C83" s="89"/>
      <c r="D83" s="89"/>
      <c r="E83" s="89"/>
      <c r="F83" s="89"/>
      <c r="G83" s="89"/>
      <c r="H83" s="89"/>
      <c r="I83" s="89"/>
      <c r="J83" s="89">
        <v>1</v>
      </c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CD83" s="92"/>
      <c r="CE83" s="92"/>
      <c r="CF83" s="92"/>
      <c r="CG83" s="92"/>
      <c r="CH83" s="92"/>
      <c r="CI83" s="92"/>
      <c r="CJ83" s="92"/>
      <c r="CK83" s="92"/>
      <c r="CL83" s="92"/>
      <c r="CM83" s="92"/>
      <c r="CN83" s="92"/>
      <c r="CO83" s="92"/>
      <c r="CP83" s="92"/>
      <c r="CQ83" s="92"/>
      <c r="CR83" s="92"/>
      <c r="CS83" s="92"/>
      <c r="CT83" s="92"/>
      <c r="CU83" s="92"/>
      <c r="CV83" s="106"/>
      <c r="CW83" s="106"/>
      <c r="CX83" s="106"/>
      <c r="CY83" s="106"/>
      <c r="CZ83" s="106"/>
      <c r="DA83" s="106"/>
      <c r="DB83" s="106"/>
      <c r="DC83" s="106"/>
      <c r="DD83" s="106"/>
      <c r="DE83" s="106"/>
      <c r="DF83" s="106"/>
      <c r="DG83" s="106"/>
      <c r="DH83" s="106"/>
      <c r="DI83" s="106"/>
      <c r="DJ83" s="106"/>
      <c r="DK83" s="106"/>
      <c r="DL83" s="106"/>
      <c r="DM83" s="106"/>
    </row>
    <row r="84" spans="2:117" x14ac:dyDescent="0.3">
      <c r="B84" s="89" t="s">
        <v>260</v>
      </c>
      <c r="C84" s="89"/>
      <c r="D84" s="89"/>
      <c r="E84" s="89"/>
      <c r="F84" s="89"/>
      <c r="G84" s="89"/>
      <c r="H84" s="89"/>
      <c r="I84" s="89"/>
      <c r="J84" s="89">
        <v>1</v>
      </c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CD84" s="92"/>
      <c r="CE84" s="92"/>
      <c r="CF84" s="92"/>
      <c r="CG84" s="92"/>
      <c r="CH84" s="92"/>
      <c r="CI84" s="92"/>
      <c r="CJ84" s="92"/>
      <c r="CK84" s="92"/>
      <c r="CL84" s="92"/>
      <c r="CM84" s="92"/>
      <c r="CN84" s="92"/>
      <c r="CO84" s="92"/>
      <c r="CP84" s="92"/>
      <c r="CQ84" s="92"/>
      <c r="CR84" s="92"/>
      <c r="CS84" s="92"/>
      <c r="CT84" s="92"/>
      <c r="CU84" s="92"/>
      <c r="CV84" s="106"/>
      <c r="CW84" s="106"/>
      <c r="CX84" s="106"/>
      <c r="CY84" s="106"/>
      <c r="CZ84" s="106"/>
      <c r="DA84" s="106"/>
      <c r="DB84" s="106"/>
      <c r="DC84" s="106"/>
      <c r="DD84" s="106"/>
      <c r="DE84" s="106"/>
      <c r="DF84" s="106"/>
      <c r="DG84" s="106"/>
      <c r="DH84" s="106"/>
      <c r="DI84" s="106"/>
      <c r="DJ84" s="106"/>
      <c r="DK84" s="106"/>
      <c r="DL84" s="106"/>
      <c r="DM84" s="106"/>
    </row>
    <row r="85" spans="2:117" x14ac:dyDescent="0.3">
      <c r="B85" s="89" t="s">
        <v>674</v>
      </c>
      <c r="C85" s="89"/>
      <c r="D85" s="89"/>
      <c r="E85" s="89"/>
      <c r="F85" s="89"/>
      <c r="G85" s="89"/>
      <c r="H85" s="89"/>
      <c r="I85" s="89"/>
      <c r="J85" s="89">
        <v>1</v>
      </c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CD85" s="92"/>
      <c r="CE85" s="92"/>
      <c r="CF85" s="92"/>
      <c r="CG85" s="92"/>
      <c r="CH85" s="92"/>
      <c r="CI85" s="92"/>
      <c r="CJ85" s="92"/>
      <c r="CK85" s="92"/>
      <c r="CL85" s="92"/>
      <c r="CM85" s="92"/>
      <c r="CN85" s="92"/>
      <c r="CO85" s="92"/>
      <c r="CP85" s="92"/>
      <c r="CQ85" s="92"/>
      <c r="CR85" s="92"/>
      <c r="CS85" s="92"/>
      <c r="CT85" s="92"/>
      <c r="CU85" s="92"/>
      <c r="CV85" s="106"/>
      <c r="CW85" s="106"/>
      <c r="CX85" s="106"/>
      <c r="CY85" s="106"/>
      <c r="CZ85" s="106"/>
      <c r="DA85" s="106"/>
      <c r="DB85" s="106"/>
      <c r="DC85" s="106"/>
      <c r="DD85" s="106"/>
      <c r="DE85" s="106"/>
      <c r="DF85" s="106"/>
      <c r="DG85" s="106"/>
      <c r="DH85" s="106"/>
      <c r="DI85" s="106"/>
      <c r="DJ85" s="106"/>
      <c r="DK85" s="106"/>
      <c r="DL85" s="106"/>
      <c r="DM85" s="106"/>
    </row>
    <row r="86" spans="2:117" x14ac:dyDescent="0.3">
      <c r="B86" s="89" t="s">
        <v>675</v>
      </c>
      <c r="C86" s="89"/>
      <c r="D86" s="89"/>
      <c r="E86" s="89"/>
      <c r="F86" s="89"/>
      <c r="G86" s="89"/>
      <c r="H86" s="89"/>
      <c r="I86" s="89"/>
      <c r="J86" s="89">
        <v>1</v>
      </c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CD86" s="92"/>
      <c r="CE86" s="92"/>
      <c r="CF86" s="92"/>
      <c r="CG86" s="92"/>
      <c r="CH86" s="92"/>
      <c r="CI86" s="92"/>
      <c r="CJ86" s="92"/>
      <c r="CK86" s="92"/>
      <c r="CL86" s="92"/>
      <c r="CM86" s="92"/>
      <c r="CN86" s="92"/>
      <c r="CO86" s="92"/>
      <c r="CP86" s="92"/>
      <c r="CQ86" s="92"/>
      <c r="CR86" s="92"/>
      <c r="CS86" s="92"/>
      <c r="CT86" s="92"/>
      <c r="CU86" s="92"/>
      <c r="CV86" s="106"/>
      <c r="CW86" s="106"/>
      <c r="CX86" s="106"/>
      <c r="CY86" s="106"/>
      <c r="CZ86" s="106"/>
      <c r="DA86" s="106"/>
      <c r="DB86" s="106"/>
      <c r="DC86" s="106"/>
      <c r="DD86" s="106"/>
      <c r="DE86" s="106"/>
      <c r="DF86" s="106"/>
      <c r="DG86" s="106"/>
      <c r="DH86" s="106"/>
      <c r="DI86" s="106"/>
      <c r="DJ86" s="106"/>
      <c r="DK86" s="106"/>
      <c r="DL86" s="106"/>
      <c r="DM86" s="106"/>
    </row>
    <row r="87" spans="2:117" x14ac:dyDescent="0.3">
      <c r="B87" s="89" t="s">
        <v>676</v>
      </c>
      <c r="C87" s="89"/>
      <c r="D87" s="89"/>
      <c r="E87" s="89"/>
      <c r="F87" s="89"/>
      <c r="G87" s="89"/>
      <c r="H87" s="89"/>
      <c r="I87" s="89"/>
      <c r="J87" s="89">
        <v>1</v>
      </c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CD87" s="92"/>
      <c r="CE87" s="92"/>
      <c r="CF87" s="92"/>
      <c r="CG87" s="92"/>
      <c r="CH87" s="92"/>
      <c r="CI87" s="92"/>
      <c r="CJ87" s="92"/>
      <c r="CK87" s="92"/>
      <c r="CL87" s="92"/>
      <c r="CM87" s="92"/>
      <c r="CN87" s="92"/>
      <c r="CO87" s="92"/>
      <c r="CP87" s="92"/>
      <c r="CQ87" s="92"/>
      <c r="CR87" s="92"/>
      <c r="CS87" s="92"/>
      <c r="CT87" s="92"/>
      <c r="CU87" s="92"/>
      <c r="CV87" s="106"/>
      <c r="CW87" s="106"/>
      <c r="CX87" s="106"/>
      <c r="CY87" s="106"/>
      <c r="CZ87" s="106"/>
      <c r="DA87" s="106"/>
      <c r="DB87" s="106"/>
      <c r="DC87" s="106"/>
      <c r="DD87" s="106"/>
      <c r="DE87" s="106"/>
      <c r="DF87" s="106"/>
      <c r="DG87" s="106"/>
      <c r="DH87" s="106"/>
      <c r="DI87" s="106"/>
      <c r="DJ87" s="106"/>
      <c r="DK87" s="106"/>
      <c r="DL87" s="106"/>
      <c r="DM87" s="106"/>
    </row>
    <row r="88" spans="2:117" x14ac:dyDescent="0.3">
      <c r="B88" s="89" t="s">
        <v>263</v>
      </c>
      <c r="C88" s="89"/>
      <c r="D88" s="89"/>
      <c r="E88" s="89"/>
      <c r="F88" s="89"/>
      <c r="G88" s="89"/>
      <c r="H88" s="89"/>
      <c r="I88" s="89"/>
      <c r="J88" s="89">
        <v>1</v>
      </c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CD88" s="92"/>
      <c r="CE88" s="92"/>
      <c r="CF88" s="92"/>
      <c r="CG88" s="92"/>
      <c r="CH88" s="92"/>
      <c r="CI88" s="92"/>
      <c r="CJ88" s="92"/>
      <c r="CK88" s="92"/>
      <c r="CL88" s="92"/>
      <c r="CM88" s="92"/>
      <c r="CN88" s="92"/>
      <c r="CO88" s="92"/>
      <c r="CP88" s="92"/>
      <c r="CQ88" s="92"/>
      <c r="CR88" s="92"/>
      <c r="CS88" s="92"/>
      <c r="CT88" s="92"/>
      <c r="CU88" s="92"/>
      <c r="CV88" s="106"/>
      <c r="CW88" s="106"/>
      <c r="CX88" s="106"/>
      <c r="CY88" s="106"/>
      <c r="CZ88" s="106"/>
      <c r="DA88" s="106"/>
      <c r="DB88" s="106"/>
      <c r="DC88" s="106"/>
      <c r="DD88" s="106"/>
      <c r="DE88" s="106"/>
      <c r="DF88" s="106"/>
      <c r="DG88" s="106"/>
      <c r="DH88" s="106"/>
      <c r="DI88" s="106"/>
      <c r="DJ88" s="106"/>
      <c r="DK88" s="106"/>
      <c r="DL88" s="106"/>
      <c r="DM88" s="106"/>
    </row>
    <row r="89" spans="2:117" x14ac:dyDescent="0.3">
      <c r="B89" s="89" t="s">
        <v>265</v>
      </c>
      <c r="C89" s="89"/>
      <c r="D89" s="89"/>
      <c r="E89" s="89"/>
      <c r="F89" s="89"/>
      <c r="G89" s="89"/>
      <c r="H89" s="89"/>
      <c r="I89" s="89"/>
      <c r="J89" s="89">
        <v>1</v>
      </c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CD89" s="92"/>
      <c r="CE89" s="92"/>
      <c r="CF89" s="92"/>
      <c r="CG89" s="92"/>
      <c r="CH89" s="92"/>
      <c r="CI89" s="92"/>
      <c r="CJ89" s="92"/>
      <c r="CK89" s="92"/>
      <c r="CL89" s="92"/>
      <c r="CM89" s="92"/>
      <c r="CN89" s="92"/>
      <c r="CO89" s="92"/>
      <c r="CP89" s="92"/>
      <c r="CQ89" s="92"/>
      <c r="CR89" s="92"/>
      <c r="CS89" s="92"/>
      <c r="CT89" s="92"/>
      <c r="CU89" s="92"/>
      <c r="CV89" s="106"/>
      <c r="CW89" s="106"/>
      <c r="CX89" s="106"/>
      <c r="CY89" s="106"/>
      <c r="CZ89" s="106"/>
      <c r="DA89" s="106"/>
      <c r="DB89" s="106"/>
      <c r="DC89" s="106"/>
      <c r="DD89" s="106"/>
      <c r="DE89" s="106"/>
      <c r="DF89" s="106"/>
      <c r="DG89" s="106"/>
      <c r="DH89" s="106"/>
      <c r="DI89" s="106"/>
      <c r="DJ89" s="106"/>
      <c r="DK89" s="106"/>
      <c r="DL89" s="106"/>
      <c r="DM89" s="106"/>
    </row>
    <row r="90" spans="2:117" x14ac:dyDescent="0.3">
      <c r="B90" s="89" t="s">
        <v>266</v>
      </c>
      <c r="C90" s="89"/>
      <c r="D90" s="89"/>
      <c r="E90" s="89"/>
      <c r="F90" s="89"/>
      <c r="G90" s="89"/>
      <c r="H90" s="89"/>
      <c r="I90" s="89"/>
      <c r="J90" s="89">
        <v>1</v>
      </c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CD90" s="92"/>
      <c r="CE90" s="92"/>
      <c r="CF90" s="92"/>
      <c r="CG90" s="92"/>
      <c r="CH90" s="92"/>
      <c r="CI90" s="92"/>
      <c r="CJ90" s="92"/>
      <c r="CK90" s="92"/>
      <c r="CL90" s="92"/>
      <c r="CM90" s="92"/>
      <c r="CN90" s="92"/>
      <c r="CO90" s="92"/>
      <c r="CP90" s="92"/>
      <c r="CQ90" s="92"/>
      <c r="CR90" s="92"/>
      <c r="CS90" s="92"/>
      <c r="CT90" s="92"/>
      <c r="CU90" s="92"/>
      <c r="CV90" s="106"/>
      <c r="CW90" s="106"/>
      <c r="CX90" s="106"/>
      <c r="CY90" s="106"/>
      <c r="CZ90" s="106"/>
      <c r="DA90" s="106"/>
      <c r="DB90" s="106"/>
      <c r="DC90" s="106"/>
      <c r="DD90" s="106"/>
      <c r="DE90" s="106"/>
      <c r="DF90" s="106"/>
      <c r="DG90" s="106"/>
      <c r="DH90" s="106"/>
      <c r="DI90" s="106"/>
      <c r="DJ90" s="106"/>
      <c r="DK90" s="106"/>
      <c r="DL90" s="106"/>
      <c r="DM90" s="106"/>
    </row>
    <row r="91" spans="2:117" x14ac:dyDescent="0.3">
      <c r="B91" s="89" t="s">
        <v>677</v>
      </c>
      <c r="C91" s="89"/>
      <c r="D91" s="89"/>
      <c r="E91" s="89"/>
      <c r="F91" s="89"/>
      <c r="G91" s="89"/>
      <c r="H91" s="89"/>
      <c r="I91" s="89"/>
      <c r="J91" s="89">
        <v>1</v>
      </c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CD91" s="92"/>
      <c r="CE91" s="92"/>
      <c r="CF91" s="92"/>
      <c r="CG91" s="92"/>
      <c r="CH91" s="92"/>
      <c r="CI91" s="92"/>
      <c r="CJ91" s="92"/>
      <c r="CK91" s="92"/>
      <c r="CL91" s="92"/>
      <c r="CM91" s="92"/>
      <c r="CN91" s="92"/>
      <c r="CO91" s="92"/>
      <c r="CP91" s="92"/>
      <c r="CQ91" s="92"/>
      <c r="CR91" s="92"/>
      <c r="CS91" s="92"/>
      <c r="CT91" s="92"/>
      <c r="CU91" s="92"/>
      <c r="CV91" s="106"/>
      <c r="CW91" s="106"/>
      <c r="CX91" s="106"/>
      <c r="CY91" s="106"/>
      <c r="CZ91" s="106"/>
      <c r="DA91" s="106"/>
      <c r="DB91" s="106"/>
      <c r="DC91" s="106"/>
      <c r="DD91" s="106"/>
      <c r="DE91" s="106"/>
      <c r="DF91" s="106"/>
      <c r="DG91" s="106"/>
      <c r="DH91" s="106"/>
      <c r="DI91" s="106"/>
      <c r="DJ91" s="106"/>
      <c r="DK91" s="106"/>
      <c r="DL91" s="106"/>
      <c r="DM91" s="106"/>
    </row>
    <row r="92" spans="2:117" x14ac:dyDescent="0.3">
      <c r="B92" s="89" t="s">
        <v>1129</v>
      </c>
      <c r="C92" s="89"/>
      <c r="D92" s="89"/>
      <c r="E92" s="89"/>
      <c r="F92" s="89"/>
      <c r="G92" s="89"/>
      <c r="H92" s="89"/>
      <c r="I92" s="89"/>
      <c r="J92" s="89">
        <v>1</v>
      </c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CD92" s="92"/>
      <c r="CE92" s="92"/>
      <c r="CF92" s="92"/>
      <c r="CG92" s="92"/>
      <c r="CH92" s="92"/>
      <c r="CI92" s="92"/>
      <c r="CJ92" s="92"/>
      <c r="CK92" s="92"/>
      <c r="CL92" s="92"/>
      <c r="CM92" s="92"/>
      <c r="CN92" s="92"/>
      <c r="CO92" s="92"/>
      <c r="CP92" s="92"/>
      <c r="CQ92" s="92"/>
      <c r="CR92" s="92"/>
      <c r="CS92" s="92"/>
      <c r="CT92" s="92"/>
      <c r="CU92" s="92"/>
      <c r="CV92" s="106"/>
      <c r="CW92" s="106"/>
      <c r="CX92" s="106"/>
      <c r="CY92" s="106"/>
      <c r="CZ92" s="106"/>
      <c r="DA92" s="106"/>
      <c r="DB92" s="106"/>
      <c r="DC92" s="106"/>
      <c r="DD92" s="106"/>
      <c r="DE92" s="106"/>
      <c r="DF92" s="106"/>
      <c r="DG92" s="106"/>
      <c r="DH92" s="106"/>
      <c r="DI92" s="106"/>
      <c r="DJ92" s="106"/>
      <c r="DK92" s="106"/>
      <c r="DL92" s="106"/>
      <c r="DM92" s="106"/>
    </row>
    <row r="93" spans="2:117" x14ac:dyDescent="0.3">
      <c r="B93" s="128" t="s">
        <v>1724</v>
      </c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>
        <v>1</v>
      </c>
      <c r="X93" s="128"/>
      <c r="Y93" s="128"/>
      <c r="Z93" s="128"/>
      <c r="AA93" s="128"/>
      <c r="AB93" s="128"/>
      <c r="AC93" s="128"/>
      <c r="AD93" s="128"/>
      <c r="AE93" s="128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CD93" s="92"/>
      <c r="CE93" s="92"/>
      <c r="CF93" s="92"/>
      <c r="CG93" s="92"/>
      <c r="CH93" s="92"/>
      <c r="CI93" s="92"/>
      <c r="CJ93" s="92"/>
      <c r="CK93" s="92"/>
      <c r="CL93" s="92"/>
      <c r="CM93" s="92"/>
      <c r="CN93" s="92"/>
      <c r="CO93" s="92"/>
      <c r="CP93" s="92"/>
      <c r="CQ93" s="92"/>
      <c r="CR93" s="92"/>
      <c r="CS93" s="92"/>
      <c r="CT93" s="92"/>
      <c r="CU93" s="92"/>
      <c r="CV93" s="106"/>
      <c r="CW93" s="106"/>
      <c r="CX93" s="106"/>
      <c r="CY93" s="106"/>
      <c r="CZ93" s="106"/>
      <c r="DA93" s="106"/>
      <c r="DB93" s="106"/>
      <c r="DC93" s="106"/>
      <c r="DD93" s="106"/>
      <c r="DE93" s="106"/>
      <c r="DF93" s="106"/>
      <c r="DG93" s="106"/>
      <c r="DH93" s="106"/>
      <c r="DI93" s="106"/>
      <c r="DJ93" s="106"/>
      <c r="DK93" s="106"/>
      <c r="DL93" s="106"/>
      <c r="DM93" s="106"/>
    </row>
    <row r="94" spans="2:117" x14ac:dyDescent="0.3">
      <c r="B94" s="128" t="s">
        <v>1725</v>
      </c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>
        <v>1</v>
      </c>
      <c r="Y94" s="128"/>
      <c r="Z94" s="128"/>
      <c r="AA94" s="128"/>
      <c r="AB94" s="128"/>
      <c r="AC94" s="128"/>
      <c r="AD94" s="128"/>
      <c r="AE94" s="128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CD94" s="92"/>
      <c r="CE94" s="92"/>
      <c r="CF94" s="92"/>
      <c r="CG94" s="92"/>
      <c r="CH94" s="92"/>
      <c r="CI94" s="92"/>
      <c r="CJ94" s="92"/>
      <c r="CK94" s="92"/>
      <c r="CL94" s="92"/>
      <c r="CM94" s="92"/>
      <c r="CN94" s="92"/>
      <c r="CO94" s="92"/>
      <c r="CP94" s="92"/>
      <c r="CQ94" s="92"/>
      <c r="CR94" s="92"/>
      <c r="CS94" s="92"/>
      <c r="CT94" s="92"/>
      <c r="CU94" s="92"/>
      <c r="CV94" s="106"/>
      <c r="CW94" s="106"/>
      <c r="CX94" s="106"/>
      <c r="CY94" s="106"/>
      <c r="CZ94" s="106"/>
      <c r="DA94" s="106"/>
      <c r="DB94" s="106"/>
      <c r="DC94" s="106"/>
      <c r="DD94" s="106"/>
      <c r="DE94" s="106"/>
      <c r="DF94" s="106"/>
      <c r="DG94" s="106"/>
      <c r="DH94" s="106"/>
      <c r="DI94" s="106"/>
      <c r="DJ94" s="106"/>
      <c r="DK94" s="106"/>
      <c r="DL94" s="106"/>
      <c r="DM94" s="106"/>
    </row>
    <row r="95" spans="2:117" x14ac:dyDescent="0.3">
      <c r="B95" s="128" t="s">
        <v>1726</v>
      </c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>
        <v>1</v>
      </c>
      <c r="Z95" s="128"/>
      <c r="AA95" s="128"/>
      <c r="AB95" s="128"/>
      <c r="AC95" s="128"/>
      <c r="AD95" s="128"/>
      <c r="AE95" s="128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CD95" s="92"/>
      <c r="CE95" s="92"/>
      <c r="CF95" s="92"/>
      <c r="CG95" s="92"/>
      <c r="CH95" s="92"/>
      <c r="CI95" s="92"/>
      <c r="CJ95" s="92"/>
      <c r="CK95" s="92"/>
      <c r="CL95" s="92"/>
      <c r="CM95" s="92"/>
      <c r="CN95" s="92"/>
      <c r="CO95" s="92"/>
      <c r="CP95" s="92"/>
      <c r="CQ95" s="92"/>
      <c r="CR95" s="92"/>
      <c r="CS95" s="92"/>
      <c r="CT95" s="92"/>
      <c r="CU95" s="92"/>
      <c r="CV95" s="106"/>
      <c r="CW95" s="106"/>
      <c r="CX95" s="106"/>
      <c r="CY95" s="106"/>
      <c r="CZ95" s="106"/>
      <c r="DA95" s="106"/>
      <c r="DB95" s="106"/>
      <c r="DC95" s="106"/>
      <c r="DD95" s="106"/>
      <c r="DE95" s="106"/>
      <c r="DF95" s="106"/>
      <c r="DG95" s="106"/>
      <c r="DH95" s="106"/>
      <c r="DI95" s="106"/>
      <c r="DJ95" s="106"/>
      <c r="DK95" s="106"/>
      <c r="DL95" s="106"/>
      <c r="DM95" s="106"/>
    </row>
    <row r="96" spans="2:117" x14ac:dyDescent="0.3">
      <c r="B96" s="128" t="s">
        <v>1727</v>
      </c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>
        <v>1</v>
      </c>
      <c r="AA96" s="128"/>
      <c r="AB96" s="128"/>
      <c r="AC96" s="128"/>
      <c r="AD96" s="128"/>
      <c r="AE96" s="128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CD96" s="92"/>
      <c r="CE96" s="92"/>
      <c r="CF96" s="92"/>
      <c r="CG96" s="92"/>
      <c r="CH96" s="92"/>
      <c r="CI96" s="92"/>
      <c r="CJ96" s="92"/>
      <c r="CK96" s="92"/>
      <c r="CL96" s="92"/>
      <c r="CM96" s="92"/>
      <c r="CN96" s="92"/>
      <c r="CO96" s="92"/>
      <c r="CP96" s="92"/>
      <c r="CQ96" s="92"/>
      <c r="CR96" s="92"/>
      <c r="CS96" s="92"/>
      <c r="CT96" s="92"/>
      <c r="CU96" s="92"/>
      <c r="CV96" s="106"/>
      <c r="CW96" s="106"/>
      <c r="CX96" s="106"/>
      <c r="CY96" s="106"/>
      <c r="CZ96" s="106"/>
      <c r="DA96" s="106"/>
      <c r="DB96" s="106"/>
      <c r="DC96" s="106"/>
      <c r="DD96" s="106"/>
      <c r="DE96" s="106"/>
      <c r="DF96" s="106"/>
      <c r="DG96" s="106"/>
      <c r="DH96" s="106"/>
      <c r="DI96" s="106"/>
      <c r="DJ96" s="106"/>
      <c r="DK96" s="106"/>
      <c r="DL96" s="106"/>
      <c r="DM96" s="106"/>
    </row>
    <row r="97" spans="2:117" x14ac:dyDescent="0.3">
      <c r="B97" s="128" t="s">
        <v>1728</v>
      </c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>
        <v>1</v>
      </c>
      <c r="AB97" s="128"/>
      <c r="AC97" s="128"/>
      <c r="AD97" s="128"/>
      <c r="AE97" s="128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CD97" s="92"/>
      <c r="CE97" s="92"/>
      <c r="CF97" s="92"/>
      <c r="CG97" s="92"/>
      <c r="CH97" s="92"/>
      <c r="CI97" s="92"/>
      <c r="CJ97" s="92"/>
      <c r="CK97" s="92"/>
      <c r="CL97" s="92"/>
      <c r="CM97" s="92"/>
      <c r="CN97" s="92"/>
      <c r="CO97" s="92"/>
      <c r="CP97" s="92"/>
      <c r="CQ97" s="92"/>
      <c r="CR97" s="92"/>
      <c r="CS97" s="92"/>
      <c r="CT97" s="92"/>
      <c r="CU97" s="92"/>
      <c r="CV97" s="106"/>
      <c r="CW97" s="106"/>
      <c r="CX97" s="106"/>
      <c r="CY97" s="106"/>
      <c r="CZ97" s="106"/>
      <c r="DA97" s="106"/>
      <c r="DB97" s="106"/>
      <c r="DC97" s="106"/>
      <c r="DD97" s="106"/>
      <c r="DE97" s="106"/>
      <c r="DF97" s="106"/>
      <c r="DG97" s="106"/>
      <c r="DH97" s="106"/>
      <c r="DI97" s="106"/>
      <c r="DJ97" s="106"/>
      <c r="DK97" s="106"/>
      <c r="DL97" s="106"/>
      <c r="DM97" s="106"/>
    </row>
    <row r="98" spans="2:117" x14ac:dyDescent="0.3">
      <c r="B98" s="128" t="s">
        <v>1729</v>
      </c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>
        <v>1</v>
      </c>
      <c r="AD98" s="128"/>
      <c r="AE98" s="128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  <c r="CV98" s="106"/>
      <c r="CW98" s="106"/>
      <c r="CX98" s="106"/>
      <c r="CY98" s="106"/>
      <c r="CZ98" s="106"/>
      <c r="DA98" s="106"/>
      <c r="DB98" s="106"/>
      <c r="DC98" s="106"/>
      <c r="DD98" s="106"/>
      <c r="DE98" s="106"/>
      <c r="DF98" s="106"/>
      <c r="DG98" s="106"/>
      <c r="DH98" s="106"/>
      <c r="DI98" s="106"/>
      <c r="DJ98" s="106"/>
      <c r="DK98" s="106"/>
      <c r="DL98" s="106"/>
      <c r="DM98" s="106"/>
    </row>
    <row r="99" spans="2:117" x14ac:dyDescent="0.3">
      <c r="B99" s="128" t="s">
        <v>1730</v>
      </c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>
        <v>1</v>
      </c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CD99" s="92"/>
      <c r="CE99" s="92"/>
      <c r="CF99" s="92"/>
      <c r="CG99" s="92"/>
      <c r="CH99" s="92"/>
      <c r="CI99" s="92"/>
      <c r="CJ99" s="92"/>
      <c r="CK99" s="92"/>
      <c r="CL99" s="92"/>
      <c r="CM99" s="92"/>
      <c r="CN99" s="92"/>
      <c r="CO99" s="92"/>
      <c r="CP99" s="92"/>
      <c r="CQ99" s="92"/>
      <c r="CR99" s="92"/>
      <c r="CS99" s="92"/>
      <c r="CT99" s="92"/>
      <c r="CU99" s="92"/>
      <c r="CV99" s="106"/>
      <c r="CW99" s="106"/>
      <c r="CX99" s="106"/>
      <c r="CY99" s="106"/>
      <c r="CZ99" s="106"/>
      <c r="DA99" s="106"/>
      <c r="DB99" s="106"/>
      <c r="DC99" s="106"/>
      <c r="DD99" s="106"/>
      <c r="DE99" s="106"/>
      <c r="DF99" s="106"/>
      <c r="DG99" s="106"/>
      <c r="DH99" s="106"/>
      <c r="DI99" s="106"/>
      <c r="DJ99" s="106"/>
      <c r="DK99" s="106"/>
      <c r="DL99" s="106"/>
      <c r="DM99" s="106"/>
    </row>
    <row r="100" spans="2:117" x14ac:dyDescent="0.3">
      <c r="B100" s="89" t="s">
        <v>1737</v>
      </c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>
        <v>1</v>
      </c>
      <c r="X100" s="89"/>
      <c r="Y100" s="89"/>
      <c r="Z100" s="89"/>
      <c r="AA100" s="89"/>
      <c r="AB100" s="89"/>
      <c r="AC100" s="89"/>
      <c r="AD100" s="89"/>
      <c r="AE100" s="89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CD100" s="92"/>
      <c r="CE100" s="92"/>
      <c r="CF100" s="92"/>
      <c r="CG100" s="92"/>
      <c r="CH100" s="92"/>
      <c r="CI100" s="92"/>
      <c r="CJ100" s="92"/>
      <c r="CK100" s="92"/>
      <c r="CL100" s="92"/>
      <c r="CM100" s="92"/>
      <c r="CN100" s="92"/>
      <c r="CO100" s="92"/>
      <c r="CP100" s="92"/>
      <c r="CQ100" s="92"/>
      <c r="CR100" s="92"/>
      <c r="CS100" s="92"/>
      <c r="CT100" s="92"/>
      <c r="CU100" s="92"/>
      <c r="CV100" s="106"/>
      <c r="CW100" s="106"/>
      <c r="CX100" s="106"/>
      <c r="CY100" s="106"/>
      <c r="CZ100" s="106"/>
      <c r="DA100" s="106"/>
      <c r="DB100" s="106"/>
      <c r="DC100" s="106"/>
      <c r="DD100" s="106"/>
      <c r="DE100" s="106"/>
      <c r="DF100" s="106"/>
      <c r="DG100" s="106"/>
      <c r="DH100" s="106"/>
      <c r="DI100" s="106"/>
      <c r="DJ100" s="106"/>
      <c r="DK100" s="106"/>
      <c r="DL100" s="106"/>
      <c r="DM100" s="106"/>
    </row>
    <row r="101" spans="2:117" x14ac:dyDescent="0.3">
      <c r="B101" s="89" t="s">
        <v>1731</v>
      </c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>
        <v>1</v>
      </c>
      <c r="Y101" s="89"/>
      <c r="Z101" s="89"/>
      <c r="AA101" s="89"/>
      <c r="AB101" s="89"/>
      <c r="AC101" s="89"/>
      <c r="AD101" s="89"/>
      <c r="AE101" s="89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CD101" s="92"/>
      <c r="CE101" s="92"/>
      <c r="CF101" s="92"/>
      <c r="CG101" s="92"/>
      <c r="CH101" s="92"/>
      <c r="CI101" s="92"/>
      <c r="CJ101" s="92"/>
      <c r="CK101" s="92"/>
      <c r="CL101" s="92"/>
      <c r="CM101" s="92"/>
      <c r="CN101" s="92"/>
      <c r="CO101" s="92"/>
      <c r="CP101" s="92"/>
      <c r="CQ101" s="92"/>
      <c r="CR101" s="92"/>
      <c r="CS101" s="92"/>
      <c r="CT101" s="92"/>
      <c r="CU101" s="92"/>
      <c r="CV101" s="106"/>
      <c r="CW101" s="106"/>
      <c r="CX101" s="106"/>
      <c r="CY101" s="106"/>
      <c r="CZ101" s="106"/>
      <c r="DA101" s="106"/>
      <c r="DB101" s="106"/>
      <c r="DC101" s="106"/>
      <c r="DD101" s="106"/>
      <c r="DE101" s="106"/>
      <c r="DF101" s="106"/>
      <c r="DG101" s="106"/>
      <c r="DH101" s="106"/>
      <c r="DI101" s="106"/>
      <c r="DJ101" s="106"/>
      <c r="DK101" s="106"/>
      <c r="DL101" s="106"/>
      <c r="DM101" s="106"/>
    </row>
    <row r="102" spans="2:117" x14ac:dyDescent="0.3">
      <c r="B102" s="89" t="s">
        <v>1732</v>
      </c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>
        <v>1</v>
      </c>
      <c r="Z102" s="89"/>
      <c r="AA102" s="89"/>
      <c r="AB102" s="89"/>
      <c r="AC102" s="89"/>
      <c r="AD102" s="89"/>
      <c r="AE102" s="89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CD102" s="92"/>
      <c r="CE102" s="92"/>
      <c r="CF102" s="92"/>
      <c r="CG102" s="92"/>
      <c r="CH102" s="92"/>
      <c r="CI102" s="92"/>
      <c r="CJ102" s="92"/>
      <c r="CK102" s="92"/>
      <c r="CL102" s="92"/>
      <c r="CM102" s="92"/>
      <c r="CN102" s="92"/>
      <c r="CO102" s="92"/>
      <c r="CP102" s="92"/>
      <c r="CQ102" s="92"/>
      <c r="CR102" s="92"/>
      <c r="CS102" s="92"/>
      <c r="CT102" s="92"/>
      <c r="CU102" s="92"/>
      <c r="CV102" s="106"/>
      <c r="CW102" s="106"/>
      <c r="CX102" s="106"/>
      <c r="CY102" s="106"/>
      <c r="CZ102" s="106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6"/>
      <c r="DL102" s="106"/>
      <c r="DM102" s="106"/>
    </row>
    <row r="103" spans="2:117" x14ac:dyDescent="0.3">
      <c r="B103" s="89" t="s">
        <v>1733</v>
      </c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>
        <v>1</v>
      </c>
      <c r="AA103" s="89"/>
      <c r="AB103" s="89"/>
      <c r="AC103" s="89"/>
      <c r="AD103" s="89"/>
      <c r="AE103" s="89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CD103" s="92"/>
      <c r="CE103" s="92"/>
      <c r="CF103" s="92"/>
      <c r="CG103" s="92"/>
      <c r="CH103" s="92"/>
      <c r="CI103" s="92"/>
      <c r="CJ103" s="92"/>
      <c r="CK103" s="92"/>
      <c r="CL103" s="92"/>
      <c r="CM103" s="92"/>
      <c r="CN103" s="92"/>
      <c r="CO103" s="92"/>
      <c r="CP103" s="92"/>
      <c r="CQ103" s="92"/>
      <c r="CR103" s="92"/>
      <c r="CS103" s="92"/>
      <c r="CT103" s="92"/>
      <c r="CU103" s="92"/>
      <c r="CV103" s="106"/>
      <c r="CW103" s="106"/>
      <c r="CX103" s="106"/>
      <c r="CY103" s="106"/>
      <c r="CZ103" s="106"/>
      <c r="DA103" s="106"/>
      <c r="DB103" s="106"/>
      <c r="DC103" s="106"/>
      <c r="DD103" s="106"/>
      <c r="DE103" s="106"/>
      <c r="DF103" s="106"/>
      <c r="DG103" s="106"/>
      <c r="DH103" s="106"/>
      <c r="DI103" s="106"/>
      <c r="DJ103" s="106"/>
      <c r="DK103" s="106"/>
      <c r="DL103" s="106"/>
      <c r="DM103" s="106"/>
    </row>
    <row r="104" spans="2:117" x14ac:dyDescent="0.3">
      <c r="B104" s="89" t="s">
        <v>1734</v>
      </c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>
        <v>1</v>
      </c>
      <c r="AB104" s="89"/>
      <c r="AC104" s="89"/>
      <c r="AD104" s="89"/>
      <c r="AE104" s="89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CD104" s="92"/>
      <c r="CE104" s="92"/>
      <c r="CF104" s="92"/>
      <c r="CG104" s="92"/>
      <c r="CH104" s="92"/>
      <c r="CI104" s="92"/>
      <c r="CJ104" s="92"/>
      <c r="CK104" s="92"/>
      <c r="CL104" s="92"/>
      <c r="CM104" s="92"/>
      <c r="CN104" s="92"/>
      <c r="CO104" s="92"/>
      <c r="CP104" s="92"/>
      <c r="CQ104" s="92"/>
      <c r="CR104" s="92"/>
      <c r="CS104" s="92"/>
      <c r="CT104" s="92"/>
      <c r="CU104" s="92"/>
      <c r="CV104" s="106"/>
      <c r="CW104" s="106"/>
      <c r="CX104" s="106"/>
      <c r="CY104" s="106"/>
      <c r="CZ104" s="106"/>
      <c r="DA104" s="106"/>
      <c r="DB104" s="106"/>
      <c r="DC104" s="106"/>
      <c r="DD104" s="106"/>
      <c r="DE104" s="106"/>
      <c r="DF104" s="106"/>
      <c r="DG104" s="106"/>
      <c r="DH104" s="106"/>
      <c r="DI104" s="106"/>
      <c r="DJ104" s="106"/>
      <c r="DK104" s="106"/>
      <c r="DL104" s="106"/>
      <c r="DM104" s="106"/>
    </row>
    <row r="105" spans="2:117" x14ac:dyDescent="0.3">
      <c r="B105" s="89" t="s">
        <v>1735</v>
      </c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>
        <v>1</v>
      </c>
      <c r="AD105" s="89"/>
      <c r="AE105" s="89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CD105" s="92"/>
      <c r="CE105" s="92"/>
      <c r="CF105" s="92"/>
      <c r="CG105" s="92"/>
      <c r="CH105" s="92"/>
      <c r="CI105" s="92"/>
      <c r="CJ105" s="92"/>
      <c r="CK105" s="92"/>
      <c r="CL105" s="92"/>
      <c r="CM105" s="92"/>
      <c r="CN105" s="92"/>
      <c r="CO105" s="92"/>
      <c r="CP105" s="92"/>
      <c r="CQ105" s="92"/>
      <c r="CR105" s="92"/>
      <c r="CS105" s="92"/>
      <c r="CT105" s="92"/>
      <c r="CU105" s="92"/>
      <c r="CV105" s="106"/>
      <c r="CW105" s="106"/>
      <c r="CX105" s="106"/>
      <c r="CY105" s="106"/>
      <c r="CZ105" s="106"/>
      <c r="DA105" s="106"/>
      <c r="DB105" s="106"/>
      <c r="DC105" s="106"/>
      <c r="DD105" s="106"/>
      <c r="DE105" s="106"/>
      <c r="DF105" s="106"/>
      <c r="DG105" s="106"/>
      <c r="DH105" s="106"/>
      <c r="DI105" s="106"/>
      <c r="DJ105" s="106"/>
      <c r="DK105" s="106"/>
      <c r="DL105" s="106"/>
      <c r="DM105" s="106"/>
    </row>
    <row r="106" spans="2:117" x14ac:dyDescent="0.3">
      <c r="B106" s="89" t="s">
        <v>1736</v>
      </c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>
        <v>1</v>
      </c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CD106" s="92"/>
      <c r="CE106" s="92"/>
      <c r="CF106" s="92"/>
      <c r="CG106" s="92"/>
      <c r="CH106" s="92"/>
      <c r="CI106" s="92"/>
      <c r="CJ106" s="92"/>
      <c r="CK106" s="92"/>
      <c r="CL106" s="92"/>
      <c r="CM106" s="92"/>
      <c r="CN106" s="92"/>
      <c r="CO106" s="92"/>
      <c r="CP106" s="92"/>
      <c r="CQ106" s="92"/>
      <c r="CR106" s="92"/>
      <c r="CS106" s="92"/>
      <c r="CT106" s="92"/>
      <c r="CU106" s="92"/>
      <c r="CV106" s="106"/>
      <c r="CW106" s="106"/>
      <c r="CX106" s="106"/>
      <c r="CY106" s="106"/>
      <c r="CZ106" s="106"/>
      <c r="DA106" s="106"/>
      <c r="DB106" s="106"/>
      <c r="DC106" s="106"/>
      <c r="DD106" s="106"/>
      <c r="DE106" s="106"/>
      <c r="DF106" s="106"/>
      <c r="DG106" s="106"/>
      <c r="DH106" s="106"/>
      <c r="DI106" s="106"/>
      <c r="DJ106" s="106"/>
      <c r="DK106" s="106"/>
      <c r="DL106" s="106"/>
      <c r="DM106" s="106"/>
    </row>
    <row r="107" spans="2:117" x14ac:dyDescent="0.3">
      <c r="B107" s="90" t="s">
        <v>918</v>
      </c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>
        <v>1</v>
      </c>
      <c r="N107" s="90">
        <v>1</v>
      </c>
      <c r="O107" s="90">
        <v>1</v>
      </c>
      <c r="P107" s="90">
        <v>1</v>
      </c>
      <c r="Q107" s="90">
        <v>1</v>
      </c>
      <c r="R107" s="90">
        <v>1</v>
      </c>
      <c r="S107" s="90">
        <v>1</v>
      </c>
      <c r="T107" s="90">
        <v>1</v>
      </c>
      <c r="U107" s="90">
        <v>1</v>
      </c>
      <c r="V107" s="90">
        <v>1</v>
      </c>
      <c r="W107" s="90"/>
      <c r="X107" s="90"/>
      <c r="Y107" s="90"/>
      <c r="Z107" s="90"/>
      <c r="AA107" s="90"/>
      <c r="AB107" s="90">
        <v>1</v>
      </c>
      <c r="AC107" s="90"/>
      <c r="AD107" s="90">
        <v>1</v>
      </c>
      <c r="AE107" s="90"/>
      <c r="AF107" s="89">
        <v>1</v>
      </c>
      <c r="AG107" s="89">
        <v>1</v>
      </c>
      <c r="AH107" s="89">
        <v>1</v>
      </c>
      <c r="AI107" s="89">
        <v>1</v>
      </c>
      <c r="AJ107" s="89">
        <v>1</v>
      </c>
      <c r="AK107" s="89">
        <v>1</v>
      </c>
      <c r="AL107" s="89">
        <v>1</v>
      </c>
      <c r="AM107" s="90"/>
      <c r="AN107" s="90"/>
      <c r="AO107" s="90"/>
      <c r="AP107" s="90"/>
      <c r="AQ107" s="90"/>
      <c r="AR107" s="90"/>
      <c r="AS107" s="90"/>
      <c r="CD107" s="92"/>
      <c r="CE107" s="92"/>
      <c r="CF107" s="92"/>
      <c r="CG107" s="92"/>
      <c r="CH107" s="92"/>
      <c r="CI107" s="92"/>
      <c r="CJ107" s="92"/>
      <c r="CK107" s="92"/>
      <c r="CL107" s="92"/>
      <c r="CM107" s="92"/>
      <c r="CN107" s="92"/>
      <c r="CO107" s="92"/>
      <c r="CP107" s="92"/>
      <c r="CQ107" s="92"/>
      <c r="CR107" s="92"/>
      <c r="CS107" s="92"/>
      <c r="CT107" s="92"/>
      <c r="CU107" s="92"/>
      <c r="CV107" s="106"/>
      <c r="CW107" s="106"/>
      <c r="CX107" s="106"/>
      <c r="CY107" s="106"/>
      <c r="CZ107" s="106"/>
      <c r="DA107" s="106"/>
      <c r="DB107" s="106"/>
      <c r="DC107" s="106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</row>
    <row r="108" spans="2:117" x14ac:dyDescent="0.3">
      <c r="B108" s="90" t="s">
        <v>912</v>
      </c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>
        <v>1</v>
      </c>
      <c r="N108" s="90">
        <v>1</v>
      </c>
      <c r="O108" s="90">
        <v>1</v>
      </c>
      <c r="P108" s="90">
        <v>1</v>
      </c>
      <c r="Q108" s="90">
        <v>1</v>
      </c>
      <c r="R108" s="90">
        <v>1</v>
      </c>
      <c r="S108" s="90">
        <v>1</v>
      </c>
      <c r="T108" s="90">
        <v>1</v>
      </c>
      <c r="U108" s="90">
        <v>1</v>
      </c>
      <c r="V108" s="90">
        <v>1</v>
      </c>
      <c r="W108" s="90"/>
      <c r="X108" s="90"/>
      <c r="Y108" s="90"/>
      <c r="Z108" s="90"/>
      <c r="AA108" s="90"/>
      <c r="AB108" s="90">
        <v>1</v>
      </c>
      <c r="AC108" s="90"/>
      <c r="AD108" s="90">
        <v>1</v>
      </c>
      <c r="AE108" s="90"/>
      <c r="AF108" s="89">
        <v>1</v>
      </c>
      <c r="AG108" s="89">
        <v>1</v>
      </c>
      <c r="AH108" s="89">
        <v>1</v>
      </c>
      <c r="AI108" s="89">
        <v>1</v>
      </c>
      <c r="AJ108" s="89">
        <v>1</v>
      </c>
      <c r="AK108" s="89">
        <v>1</v>
      </c>
      <c r="AL108" s="89">
        <v>1</v>
      </c>
      <c r="AM108" s="90"/>
      <c r="AN108" s="90"/>
      <c r="AO108" s="90"/>
      <c r="AP108" s="90"/>
      <c r="AQ108" s="90"/>
      <c r="AR108" s="90"/>
      <c r="AS108" s="90"/>
      <c r="CD108" s="92"/>
      <c r="CE108" s="92"/>
      <c r="CF108" s="92"/>
      <c r="CG108" s="92"/>
      <c r="CH108" s="92"/>
      <c r="CI108" s="92"/>
      <c r="CJ108" s="92"/>
      <c r="CK108" s="92"/>
      <c r="CL108" s="92"/>
      <c r="CM108" s="92"/>
      <c r="CN108" s="92"/>
      <c r="CO108" s="92"/>
      <c r="CP108" s="92"/>
      <c r="CQ108" s="92"/>
      <c r="CR108" s="92"/>
      <c r="CS108" s="92"/>
      <c r="CT108" s="92"/>
      <c r="CU108" s="92"/>
      <c r="CV108" s="106"/>
      <c r="CW108" s="106"/>
      <c r="CX108" s="106"/>
      <c r="CY108" s="106"/>
      <c r="CZ108" s="106"/>
      <c r="DA108" s="106"/>
      <c r="DB108" s="106"/>
      <c r="DC108" s="106"/>
      <c r="DD108" s="106"/>
      <c r="DE108" s="106"/>
      <c r="DF108" s="106"/>
      <c r="DG108" s="106"/>
      <c r="DH108" s="106"/>
      <c r="DI108" s="106"/>
      <c r="DJ108" s="106"/>
      <c r="DK108" s="106"/>
      <c r="DL108" s="106"/>
      <c r="DM108" s="106"/>
    </row>
    <row r="109" spans="2:117" x14ac:dyDescent="0.3">
      <c r="B109" s="90" t="s">
        <v>913</v>
      </c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>
        <v>1</v>
      </c>
      <c r="N109" s="90">
        <v>1</v>
      </c>
      <c r="O109" s="90">
        <v>1</v>
      </c>
      <c r="P109" s="90">
        <v>1</v>
      </c>
      <c r="Q109" s="90">
        <v>1</v>
      </c>
      <c r="R109" s="90">
        <v>1</v>
      </c>
      <c r="S109" s="90">
        <v>1</v>
      </c>
      <c r="T109" s="90">
        <v>1</v>
      </c>
      <c r="U109" s="90">
        <v>1</v>
      </c>
      <c r="V109" s="90">
        <v>1</v>
      </c>
      <c r="W109" s="90"/>
      <c r="X109" s="90"/>
      <c r="Y109" s="90"/>
      <c r="Z109" s="90"/>
      <c r="AA109" s="90"/>
      <c r="AB109" s="90">
        <v>1</v>
      </c>
      <c r="AC109" s="90"/>
      <c r="AD109" s="90">
        <v>1</v>
      </c>
      <c r="AE109" s="90"/>
      <c r="AF109" s="89">
        <v>1</v>
      </c>
      <c r="AG109" s="89">
        <v>1</v>
      </c>
      <c r="AH109" s="89">
        <v>1</v>
      </c>
      <c r="AI109" s="89">
        <v>1</v>
      </c>
      <c r="AJ109" s="89">
        <v>1</v>
      </c>
      <c r="AK109" s="89">
        <v>1</v>
      </c>
      <c r="AL109" s="89">
        <v>1</v>
      </c>
      <c r="AM109" s="90"/>
      <c r="AN109" s="90"/>
      <c r="AO109" s="90"/>
      <c r="AP109" s="90"/>
      <c r="AQ109" s="90"/>
      <c r="AR109" s="90"/>
      <c r="AS109" s="90"/>
      <c r="CD109" s="92"/>
      <c r="CE109" s="92"/>
      <c r="CF109" s="92"/>
      <c r="CG109" s="92"/>
      <c r="CH109" s="92"/>
      <c r="CI109" s="92"/>
      <c r="CJ109" s="92"/>
      <c r="CK109" s="92"/>
      <c r="CL109" s="92"/>
      <c r="CM109" s="92"/>
      <c r="CN109" s="92"/>
      <c r="CO109" s="92"/>
      <c r="CP109" s="92"/>
      <c r="CQ109" s="92"/>
      <c r="CR109" s="92"/>
      <c r="CS109" s="92"/>
      <c r="CT109" s="92"/>
      <c r="CU109" s="92"/>
      <c r="CV109" s="106"/>
      <c r="CW109" s="106"/>
      <c r="CX109" s="106"/>
      <c r="CY109" s="106"/>
      <c r="CZ109" s="106"/>
      <c r="DA109" s="106"/>
      <c r="DB109" s="106"/>
      <c r="DC109" s="106"/>
      <c r="DD109" s="106"/>
      <c r="DE109" s="106"/>
      <c r="DF109" s="106"/>
      <c r="DG109" s="106"/>
      <c r="DH109" s="106"/>
      <c r="DI109" s="106"/>
      <c r="DJ109" s="106"/>
      <c r="DK109" s="106"/>
      <c r="DL109" s="106"/>
      <c r="DM109" s="106"/>
    </row>
    <row r="110" spans="2:117" x14ac:dyDescent="0.3">
      <c r="B110" s="112" t="s">
        <v>1066</v>
      </c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  <c r="BM110" s="92"/>
      <c r="BN110" s="92"/>
      <c r="BO110" s="92"/>
      <c r="BP110" s="92"/>
      <c r="BQ110" s="92"/>
      <c r="BR110" s="92"/>
      <c r="BS110" s="92"/>
      <c r="BT110" s="92"/>
      <c r="BU110" s="92"/>
      <c r="BV110" s="92"/>
      <c r="BW110" s="92"/>
      <c r="BX110" s="92"/>
      <c r="BY110" s="92"/>
      <c r="BZ110" s="92"/>
      <c r="CA110" s="92"/>
      <c r="CB110" s="92"/>
      <c r="CC110" s="92"/>
      <c r="CD110" s="92">
        <v>1</v>
      </c>
      <c r="CE110" s="92"/>
      <c r="CF110" s="92"/>
      <c r="CG110" s="92"/>
      <c r="CH110" s="92"/>
      <c r="CI110" s="92"/>
      <c r="CJ110" s="92"/>
      <c r="CK110" s="92"/>
      <c r="CL110" s="92"/>
      <c r="CM110" s="92"/>
      <c r="CN110" s="92"/>
      <c r="CO110" s="92"/>
      <c r="CP110" s="92"/>
      <c r="CQ110" s="92"/>
      <c r="CR110" s="92"/>
      <c r="CS110" s="92"/>
      <c r="CT110" s="92"/>
      <c r="CU110" s="92"/>
      <c r="CV110" s="106"/>
      <c r="CW110" s="106"/>
      <c r="CX110" s="106"/>
      <c r="CY110" s="106"/>
      <c r="CZ110" s="106"/>
      <c r="DA110" s="106"/>
      <c r="DB110" s="106"/>
      <c r="DC110" s="106"/>
      <c r="DD110" s="106"/>
      <c r="DE110" s="106"/>
      <c r="DF110" s="106"/>
      <c r="DG110" s="106"/>
      <c r="DH110" s="106"/>
      <c r="DI110" s="106"/>
      <c r="DJ110" s="106"/>
      <c r="DK110" s="106"/>
      <c r="DL110" s="106"/>
      <c r="DM110" s="106"/>
    </row>
    <row r="111" spans="2:117" x14ac:dyDescent="0.3">
      <c r="B111" s="112" t="s">
        <v>1067</v>
      </c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92"/>
      <c r="BE111" s="92"/>
      <c r="BF111" s="92"/>
      <c r="BG111" s="92"/>
      <c r="BH111" s="92"/>
      <c r="BI111" s="92"/>
      <c r="BJ111" s="92"/>
      <c r="BK111" s="92"/>
      <c r="BL111" s="92"/>
      <c r="BM111" s="92"/>
      <c r="BN111" s="92"/>
      <c r="BO111" s="92"/>
      <c r="BP111" s="92"/>
      <c r="BQ111" s="92"/>
      <c r="BR111" s="92"/>
      <c r="BS111" s="92"/>
      <c r="BT111" s="92"/>
      <c r="BU111" s="92"/>
      <c r="BV111" s="92"/>
      <c r="BW111" s="92"/>
      <c r="BX111" s="92"/>
      <c r="BY111" s="92"/>
      <c r="BZ111" s="92"/>
      <c r="CA111" s="92"/>
      <c r="CB111" s="92"/>
      <c r="CC111" s="92"/>
      <c r="CD111" s="92"/>
      <c r="CE111" s="92">
        <v>1</v>
      </c>
      <c r="CF111" s="92"/>
      <c r="CG111" s="92"/>
      <c r="CH111" s="92"/>
      <c r="CI111" s="92"/>
      <c r="CJ111" s="92"/>
      <c r="CK111" s="92"/>
      <c r="CL111" s="92"/>
      <c r="CM111" s="92"/>
      <c r="CN111" s="92"/>
      <c r="CO111" s="92"/>
      <c r="CP111" s="92"/>
      <c r="CQ111" s="92"/>
      <c r="CR111" s="92"/>
      <c r="CS111" s="92"/>
      <c r="CT111" s="92"/>
      <c r="CU111" s="92"/>
      <c r="CV111" s="106"/>
      <c r="CW111" s="106"/>
      <c r="CX111" s="106"/>
      <c r="CY111" s="106"/>
      <c r="CZ111" s="106"/>
      <c r="DA111" s="106"/>
      <c r="DB111" s="106"/>
      <c r="DC111" s="106"/>
      <c r="DD111" s="106"/>
      <c r="DE111" s="106"/>
      <c r="DF111" s="106"/>
      <c r="DG111" s="106"/>
      <c r="DH111" s="106"/>
      <c r="DI111" s="106"/>
      <c r="DJ111" s="106"/>
      <c r="DK111" s="106"/>
      <c r="DL111" s="106"/>
      <c r="DM111" s="106"/>
    </row>
    <row r="112" spans="2:117" x14ac:dyDescent="0.3">
      <c r="B112" s="112" t="s">
        <v>1068</v>
      </c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  <c r="BZ112" s="92"/>
      <c r="CA112" s="92"/>
      <c r="CB112" s="92"/>
      <c r="CC112" s="92"/>
      <c r="CD112" s="92"/>
      <c r="CE112" s="92"/>
      <c r="CF112" s="92">
        <v>1</v>
      </c>
      <c r="CG112" s="92"/>
      <c r="CH112" s="92"/>
      <c r="CI112" s="92"/>
      <c r="CJ112" s="92"/>
      <c r="CK112" s="92"/>
      <c r="CL112" s="92"/>
      <c r="CM112" s="92"/>
      <c r="CN112" s="92"/>
      <c r="CO112" s="92"/>
      <c r="CP112" s="92"/>
      <c r="CQ112" s="92"/>
      <c r="CR112" s="92"/>
      <c r="CS112" s="92"/>
      <c r="CT112" s="92"/>
      <c r="CU112" s="92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</row>
    <row r="113" spans="2:117" x14ac:dyDescent="0.3">
      <c r="B113" s="112" t="s">
        <v>1069</v>
      </c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2"/>
      <c r="BP113" s="92"/>
      <c r="BQ113" s="92"/>
      <c r="BR113" s="92"/>
      <c r="BS113" s="92"/>
      <c r="BT113" s="92"/>
      <c r="BU113" s="92"/>
      <c r="BV113" s="92"/>
      <c r="BW113" s="92"/>
      <c r="BX113" s="92"/>
      <c r="BY113" s="92"/>
      <c r="BZ113" s="92"/>
      <c r="CA113" s="92"/>
      <c r="CB113" s="92"/>
      <c r="CC113" s="92"/>
      <c r="CD113" s="92"/>
      <c r="CE113" s="92"/>
      <c r="CF113" s="92"/>
      <c r="CG113" s="92">
        <v>1</v>
      </c>
      <c r="CH113" s="92"/>
      <c r="CI113" s="92"/>
      <c r="CJ113" s="92"/>
      <c r="CK113" s="92"/>
      <c r="CL113" s="92"/>
      <c r="CM113" s="92"/>
      <c r="CN113" s="92"/>
      <c r="CO113" s="92"/>
      <c r="CP113" s="92"/>
      <c r="CQ113" s="92"/>
      <c r="CR113" s="92"/>
      <c r="CS113" s="92"/>
      <c r="CT113" s="92"/>
      <c r="CU113" s="92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  <c r="DG113" s="106"/>
      <c r="DH113" s="106"/>
      <c r="DI113" s="106"/>
      <c r="DJ113" s="106"/>
      <c r="DK113" s="106"/>
      <c r="DL113" s="106"/>
      <c r="DM113" s="106"/>
    </row>
    <row r="114" spans="2:117" x14ac:dyDescent="0.3">
      <c r="B114" s="112" t="s">
        <v>1070</v>
      </c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  <c r="BL114" s="92"/>
      <c r="BM114" s="92"/>
      <c r="BN114" s="92"/>
      <c r="BO114" s="92"/>
      <c r="BP114" s="92"/>
      <c r="BQ114" s="92"/>
      <c r="BR114" s="92"/>
      <c r="BS114" s="92"/>
      <c r="BT114" s="92"/>
      <c r="BU114" s="92"/>
      <c r="BV114" s="92"/>
      <c r="BW114" s="92"/>
      <c r="BX114" s="92"/>
      <c r="BY114" s="92"/>
      <c r="BZ114" s="92"/>
      <c r="CA114" s="92"/>
      <c r="CB114" s="92"/>
      <c r="CC114" s="92"/>
      <c r="CD114" s="92"/>
      <c r="CE114" s="92"/>
      <c r="CF114" s="92"/>
      <c r="CG114" s="92"/>
      <c r="CH114" s="92">
        <v>1</v>
      </c>
      <c r="CI114" s="92"/>
      <c r="CJ114" s="92"/>
      <c r="CK114" s="92"/>
      <c r="CL114" s="92"/>
      <c r="CM114" s="92"/>
      <c r="CN114" s="92"/>
      <c r="CO114" s="92"/>
      <c r="CP114" s="92"/>
      <c r="CQ114" s="92"/>
      <c r="CR114" s="92"/>
      <c r="CS114" s="92"/>
      <c r="CT114" s="92"/>
      <c r="CU114" s="92"/>
      <c r="CV114" s="106"/>
      <c r="CW114" s="106"/>
      <c r="CX114" s="106"/>
      <c r="CY114" s="106"/>
      <c r="CZ114" s="106"/>
      <c r="DA114" s="106"/>
      <c r="DB114" s="106"/>
      <c r="DC114" s="106"/>
      <c r="DD114" s="106"/>
      <c r="DE114" s="106"/>
      <c r="DF114" s="106"/>
      <c r="DG114" s="106"/>
      <c r="DH114" s="106"/>
      <c r="DI114" s="106"/>
      <c r="DJ114" s="106"/>
      <c r="DK114" s="106"/>
      <c r="DL114" s="106"/>
      <c r="DM114" s="106"/>
    </row>
    <row r="115" spans="2:117" x14ac:dyDescent="0.3">
      <c r="B115" s="112" t="s">
        <v>1071</v>
      </c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  <c r="BL115" s="92"/>
      <c r="BM115" s="92"/>
      <c r="BN115" s="92"/>
      <c r="BO115" s="92"/>
      <c r="BP115" s="92"/>
      <c r="BQ115" s="92"/>
      <c r="BR115" s="92"/>
      <c r="BS115" s="92"/>
      <c r="BT115" s="92"/>
      <c r="BU115" s="92"/>
      <c r="BV115" s="92"/>
      <c r="BW115" s="92"/>
      <c r="BX115" s="92"/>
      <c r="BY115" s="92"/>
      <c r="BZ115" s="92"/>
      <c r="CA115" s="92"/>
      <c r="CB115" s="92"/>
      <c r="CC115" s="92"/>
      <c r="CD115" s="92"/>
      <c r="CE115" s="92"/>
      <c r="CF115" s="92"/>
      <c r="CG115" s="92"/>
      <c r="CH115" s="92"/>
      <c r="CI115" s="92">
        <v>1</v>
      </c>
      <c r="CJ115" s="92"/>
      <c r="CK115" s="92"/>
      <c r="CL115" s="92"/>
      <c r="CM115" s="92"/>
      <c r="CN115" s="92"/>
      <c r="CO115" s="92"/>
      <c r="CP115" s="92"/>
      <c r="CQ115" s="92"/>
      <c r="CR115" s="92"/>
      <c r="CS115" s="92"/>
      <c r="CT115" s="92"/>
      <c r="CU115" s="92"/>
      <c r="CV115" s="106"/>
      <c r="CW115" s="106"/>
      <c r="CX115" s="106"/>
      <c r="CY115" s="106"/>
      <c r="CZ115" s="106"/>
      <c r="DA115" s="106"/>
      <c r="DB115" s="106"/>
      <c r="DC115" s="106"/>
      <c r="DD115" s="106"/>
      <c r="DE115" s="106"/>
      <c r="DF115" s="106"/>
      <c r="DG115" s="106"/>
      <c r="DH115" s="106"/>
      <c r="DI115" s="106"/>
      <c r="DJ115" s="106"/>
      <c r="DK115" s="106"/>
      <c r="DL115" s="106"/>
      <c r="DM115" s="106"/>
    </row>
    <row r="116" spans="2:117" x14ac:dyDescent="0.3">
      <c r="B116" s="112" t="s">
        <v>1072</v>
      </c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  <c r="BM116" s="92"/>
      <c r="BN116" s="92"/>
      <c r="BO116" s="92"/>
      <c r="BP116" s="92"/>
      <c r="BQ116" s="92"/>
      <c r="BR116" s="92"/>
      <c r="BS116" s="92"/>
      <c r="BT116" s="92"/>
      <c r="BU116" s="92"/>
      <c r="BV116" s="92"/>
      <c r="BW116" s="92"/>
      <c r="BX116" s="92"/>
      <c r="BY116" s="92"/>
      <c r="BZ116" s="92"/>
      <c r="CA116" s="92"/>
      <c r="CB116" s="92"/>
      <c r="CC116" s="92"/>
      <c r="CD116" s="92"/>
      <c r="CE116" s="92"/>
      <c r="CF116" s="92"/>
      <c r="CG116" s="92"/>
      <c r="CH116" s="92"/>
      <c r="CI116" s="92"/>
      <c r="CJ116" s="92">
        <v>1</v>
      </c>
      <c r="CK116" s="92"/>
      <c r="CL116" s="92"/>
      <c r="CM116" s="92"/>
      <c r="CN116" s="92"/>
      <c r="CO116" s="92"/>
      <c r="CP116" s="92"/>
      <c r="CQ116" s="92"/>
      <c r="CR116" s="92"/>
      <c r="CS116" s="92"/>
      <c r="CT116" s="92"/>
      <c r="CU116" s="92"/>
      <c r="CV116" s="106"/>
      <c r="CW116" s="106"/>
      <c r="CX116" s="106"/>
      <c r="CY116" s="106"/>
      <c r="CZ116" s="106"/>
      <c r="DA116" s="106"/>
      <c r="DB116" s="106"/>
      <c r="DC116" s="106"/>
      <c r="DD116" s="106"/>
      <c r="DE116" s="106"/>
      <c r="DF116" s="106"/>
      <c r="DG116" s="106"/>
      <c r="DH116" s="106"/>
      <c r="DI116" s="106"/>
      <c r="DJ116" s="106"/>
      <c r="DK116" s="106"/>
      <c r="DL116" s="106"/>
      <c r="DM116" s="106"/>
    </row>
    <row r="117" spans="2:117" x14ac:dyDescent="0.3">
      <c r="B117" s="112" t="s">
        <v>1073</v>
      </c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  <c r="BZ117" s="92"/>
      <c r="CA117" s="92"/>
      <c r="CB117" s="92"/>
      <c r="CC117" s="92"/>
      <c r="CD117" s="92"/>
      <c r="CE117" s="92"/>
      <c r="CF117" s="92"/>
      <c r="CG117" s="92"/>
      <c r="CH117" s="92"/>
      <c r="CI117" s="92"/>
      <c r="CJ117" s="92"/>
      <c r="CK117" s="92">
        <v>1</v>
      </c>
      <c r="CL117" s="92"/>
      <c r="CM117" s="92"/>
      <c r="CN117" s="92"/>
      <c r="CO117" s="92"/>
      <c r="CP117" s="92"/>
      <c r="CQ117" s="92"/>
      <c r="CR117" s="92"/>
      <c r="CS117" s="92"/>
      <c r="CT117" s="92"/>
      <c r="CU117" s="92"/>
      <c r="CV117" s="106"/>
      <c r="CW117" s="106"/>
      <c r="CX117" s="106"/>
      <c r="CY117" s="106"/>
      <c r="CZ117" s="106"/>
      <c r="DA117" s="106"/>
      <c r="DB117" s="106"/>
      <c r="DC117" s="106"/>
      <c r="DD117" s="106"/>
      <c r="DE117" s="106"/>
      <c r="DF117" s="106"/>
      <c r="DG117" s="106"/>
      <c r="DH117" s="106"/>
      <c r="DI117" s="106"/>
      <c r="DJ117" s="106"/>
      <c r="DK117" s="106"/>
      <c r="DL117" s="106"/>
      <c r="DM117" s="106"/>
    </row>
    <row r="118" spans="2:117" x14ac:dyDescent="0.3">
      <c r="B118" s="112" t="s">
        <v>1074</v>
      </c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  <c r="BZ118" s="92"/>
      <c r="CA118" s="92"/>
      <c r="CB118" s="92"/>
      <c r="CC118" s="92"/>
      <c r="CD118" s="92"/>
      <c r="CE118" s="92"/>
      <c r="CF118" s="92"/>
      <c r="CG118" s="92"/>
      <c r="CH118" s="92"/>
      <c r="CI118" s="92"/>
      <c r="CJ118" s="92"/>
      <c r="CK118" s="92"/>
      <c r="CL118" s="92">
        <v>1</v>
      </c>
      <c r="CM118" s="92"/>
      <c r="CN118" s="92"/>
      <c r="CO118" s="92"/>
      <c r="CP118" s="92"/>
      <c r="CQ118" s="92"/>
      <c r="CR118" s="92"/>
      <c r="CS118" s="92"/>
      <c r="CT118" s="92"/>
      <c r="CU118" s="92"/>
      <c r="CV118" s="106"/>
      <c r="CW118" s="106"/>
      <c r="CX118" s="106"/>
      <c r="CY118" s="106"/>
      <c r="CZ118" s="106"/>
      <c r="DA118" s="106"/>
      <c r="DB118" s="106"/>
      <c r="DC118" s="106"/>
      <c r="DD118" s="106"/>
      <c r="DE118" s="106"/>
      <c r="DF118" s="106"/>
      <c r="DG118" s="106"/>
      <c r="DH118" s="106"/>
      <c r="DI118" s="106"/>
      <c r="DJ118" s="106"/>
      <c r="DK118" s="106"/>
      <c r="DL118" s="106"/>
      <c r="DM118" s="106"/>
    </row>
    <row r="119" spans="2:117" x14ac:dyDescent="0.3">
      <c r="B119" s="112" t="s">
        <v>1075</v>
      </c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  <c r="BM119" s="92"/>
      <c r="BN119" s="92"/>
      <c r="BO119" s="92"/>
      <c r="BP119" s="92"/>
      <c r="BQ119" s="92"/>
      <c r="BR119" s="92"/>
      <c r="BS119" s="92"/>
      <c r="BT119" s="92"/>
      <c r="BU119" s="92"/>
      <c r="BV119" s="92"/>
      <c r="BW119" s="92"/>
      <c r="BX119" s="92"/>
      <c r="BY119" s="92"/>
      <c r="BZ119" s="92"/>
      <c r="CA119" s="92"/>
      <c r="CB119" s="92"/>
      <c r="CC119" s="92"/>
      <c r="CD119" s="92"/>
      <c r="CE119" s="92"/>
      <c r="CF119" s="92"/>
      <c r="CG119" s="92"/>
      <c r="CH119" s="92"/>
      <c r="CI119" s="92"/>
      <c r="CJ119" s="92"/>
      <c r="CK119" s="92"/>
      <c r="CL119" s="92"/>
      <c r="CM119" s="92">
        <v>1</v>
      </c>
      <c r="CN119" s="92"/>
      <c r="CO119" s="92"/>
      <c r="CP119" s="92"/>
      <c r="CQ119" s="92"/>
      <c r="CR119" s="92"/>
      <c r="CS119" s="92"/>
      <c r="CT119" s="92"/>
      <c r="CU119" s="92"/>
      <c r="CV119" s="106"/>
      <c r="CW119" s="106"/>
      <c r="CX119" s="106"/>
      <c r="CY119" s="106"/>
      <c r="CZ119" s="106"/>
      <c r="DA119" s="106"/>
      <c r="DB119" s="106"/>
      <c r="DC119" s="106"/>
      <c r="DD119" s="106"/>
      <c r="DE119" s="106"/>
      <c r="DF119" s="106"/>
      <c r="DG119" s="106"/>
      <c r="DH119" s="106"/>
      <c r="DI119" s="106"/>
      <c r="DJ119" s="106"/>
      <c r="DK119" s="106"/>
      <c r="DL119" s="106"/>
      <c r="DM119" s="106"/>
    </row>
    <row r="120" spans="2:117" x14ac:dyDescent="0.3">
      <c r="B120" s="112" t="s">
        <v>1076</v>
      </c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  <c r="BL120" s="92"/>
      <c r="BM120" s="92"/>
      <c r="BN120" s="92"/>
      <c r="BO120" s="92"/>
      <c r="BP120" s="92"/>
      <c r="BQ120" s="92"/>
      <c r="BR120" s="92"/>
      <c r="BS120" s="92"/>
      <c r="BT120" s="92"/>
      <c r="BU120" s="92"/>
      <c r="BV120" s="92"/>
      <c r="BW120" s="92"/>
      <c r="BX120" s="92"/>
      <c r="BY120" s="92"/>
      <c r="BZ120" s="92"/>
      <c r="CA120" s="92"/>
      <c r="CB120" s="92"/>
      <c r="CC120" s="92"/>
      <c r="CD120" s="92"/>
      <c r="CE120" s="92"/>
      <c r="CF120" s="92"/>
      <c r="CG120" s="92"/>
      <c r="CH120" s="92"/>
      <c r="CI120" s="92"/>
      <c r="CJ120" s="92"/>
      <c r="CK120" s="92"/>
      <c r="CL120" s="92"/>
      <c r="CM120" s="92"/>
      <c r="CN120" s="92">
        <v>1</v>
      </c>
      <c r="CO120" s="92"/>
      <c r="CP120" s="92"/>
      <c r="CQ120" s="92"/>
      <c r="CR120" s="92"/>
      <c r="CS120" s="92"/>
      <c r="CT120" s="92"/>
      <c r="CU120" s="92"/>
      <c r="CV120" s="106"/>
      <c r="CW120" s="106"/>
      <c r="CX120" s="106"/>
      <c r="CY120" s="106"/>
      <c r="CZ120" s="106"/>
      <c r="DA120" s="106"/>
      <c r="DB120" s="106"/>
      <c r="DC120" s="106"/>
      <c r="DD120" s="106"/>
      <c r="DE120" s="106"/>
      <c r="DF120" s="106"/>
      <c r="DG120" s="106"/>
      <c r="DH120" s="106"/>
      <c r="DI120" s="106"/>
      <c r="DJ120" s="106"/>
      <c r="DK120" s="106"/>
      <c r="DL120" s="106"/>
      <c r="DM120" s="106"/>
    </row>
    <row r="121" spans="2:117" x14ac:dyDescent="0.3">
      <c r="B121" s="112" t="s">
        <v>1077</v>
      </c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  <c r="BM121" s="92"/>
      <c r="BN121" s="92"/>
      <c r="BO121" s="92"/>
      <c r="BP121" s="92"/>
      <c r="BQ121" s="92"/>
      <c r="BR121" s="92"/>
      <c r="BS121" s="92"/>
      <c r="BT121" s="92"/>
      <c r="BU121" s="92"/>
      <c r="BV121" s="92"/>
      <c r="BW121" s="92"/>
      <c r="BX121" s="92"/>
      <c r="BY121" s="92"/>
      <c r="BZ121" s="92"/>
      <c r="CA121" s="92"/>
      <c r="CB121" s="92"/>
      <c r="CC121" s="92"/>
      <c r="CD121" s="92"/>
      <c r="CE121" s="92"/>
      <c r="CF121" s="92"/>
      <c r="CG121" s="92"/>
      <c r="CH121" s="92"/>
      <c r="CI121" s="92"/>
      <c r="CJ121" s="92"/>
      <c r="CK121" s="92"/>
      <c r="CL121" s="92"/>
      <c r="CM121" s="92"/>
      <c r="CN121" s="92"/>
      <c r="CO121" s="92">
        <v>1</v>
      </c>
      <c r="CP121" s="92"/>
      <c r="CQ121" s="92"/>
      <c r="CR121" s="92"/>
      <c r="CS121" s="92"/>
      <c r="CT121" s="92"/>
      <c r="CU121" s="92"/>
      <c r="CV121" s="106"/>
      <c r="CW121" s="106"/>
      <c r="CX121" s="106"/>
      <c r="CY121" s="106"/>
      <c r="CZ121" s="106"/>
      <c r="DA121" s="106"/>
      <c r="DB121" s="106"/>
      <c r="DC121" s="106"/>
      <c r="DD121" s="106"/>
      <c r="DE121" s="106"/>
      <c r="DF121" s="106"/>
      <c r="DG121" s="106"/>
      <c r="DH121" s="106"/>
      <c r="DI121" s="106"/>
      <c r="DJ121" s="106"/>
      <c r="DK121" s="106"/>
      <c r="DL121" s="106"/>
      <c r="DM121" s="106"/>
    </row>
    <row r="122" spans="2:117" x14ac:dyDescent="0.3">
      <c r="B122" s="112" t="s">
        <v>1078</v>
      </c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  <c r="BM122" s="92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  <c r="BZ122" s="92"/>
      <c r="CA122" s="92"/>
      <c r="CB122" s="92"/>
      <c r="CC122" s="92"/>
      <c r="CD122" s="92"/>
      <c r="CE122" s="92"/>
      <c r="CF122" s="92"/>
      <c r="CG122" s="92"/>
      <c r="CH122" s="92"/>
      <c r="CI122" s="92"/>
      <c r="CJ122" s="92"/>
      <c r="CK122" s="92"/>
      <c r="CL122" s="92"/>
      <c r="CM122" s="92"/>
      <c r="CN122" s="92"/>
      <c r="CO122" s="92"/>
      <c r="CP122" s="92">
        <v>1</v>
      </c>
      <c r="CQ122" s="92"/>
      <c r="CR122" s="92"/>
      <c r="CS122" s="92"/>
      <c r="CT122" s="92"/>
      <c r="CU122" s="92"/>
      <c r="CV122" s="106"/>
      <c r="CW122" s="106"/>
      <c r="CX122" s="106"/>
      <c r="CY122" s="106"/>
      <c r="CZ122" s="106"/>
      <c r="DA122" s="106"/>
      <c r="DB122" s="106"/>
      <c r="DC122" s="106"/>
      <c r="DD122" s="106"/>
      <c r="DE122" s="106"/>
      <c r="DF122" s="106"/>
      <c r="DG122" s="106"/>
      <c r="DH122" s="106"/>
      <c r="DI122" s="106"/>
      <c r="DJ122" s="106"/>
      <c r="DK122" s="106"/>
      <c r="DL122" s="106"/>
      <c r="DM122" s="106"/>
    </row>
    <row r="123" spans="2:117" x14ac:dyDescent="0.3">
      <c r="B123" s="112" t="s">
        <v>1079</v>
      </c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>
        <v>1</v>
      </c>
      <c r="CR123" s="92"/>
      <c r="CS123" s="92"/>
      <c r="CT123" s="92"/>
      <c r="CU123" s="92"/>
      <c r="CV123" s="106"/>
      <c r="CW123" s="106"/>
      <c r="CX123" s="106"/>
      <c r="CY123" s="106"/>
      <c r="CZ123" s="106"/>
      <c r="DA123" s="106"/>
      <c r="DB123" s="106"/>
      <c r="DC123" s="106"/>
      <c r="DD123" s="106"/>
      <c r="DE123" s="106"/>
      <c r="DF123" s="106"/>
      <c r="DG123" s="106"/>
      <c r="DH123" s="106"/>
      <c r="DI123" s="106"/>
      <c r="DJ123" s="106"/>
      <c r="DK123" s="106"/>
      <c r="DL123" s="106"/>
      <c r="DM123" s="106"/>
    </row>
    <row r="124" spans="2:117" x14ac:dyDescent="0.3">
      <c r="B124" s="112" t="s">
        <v>1080</v>
      </c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  <c r="BM124" s="92"/>
      <c r="BN124" s="92"/>
      <c r="BO124" s="92"/>
      <c r="BP124" s="92"/>
      <c r="BQ124" s="92"/>
      <c r="BR124" s="92"/>
      <c r="BS124" s="92"/>
      <c r="BT124" s="92"/>
      <c r="BU124" s="92"/>
      <c r="BV124" s="92"/>
      <c r="BW124" s="92"/>
      <c r="BX124" s="92"/>
      <c r="BY124" s="92"/>
      <c r="BZ124" s="92"/>
      <c r="CA124" s="92"/>
      <c r="CB124" s="92"/>
      <c r="CC124" s="92"/>
      <c r="CD124" s="92"/>
      <c r="CE124" s="92"/>
      <c r="CF124" s="92"/>
      <c r="CG124" s="92"/>
      <c r="CH124" s="92"/>
      <c r="CI124" s="92"/>
      <c r="CJ124" s="92"/>
      <c r="CK124" s="92"/>
      <c r="CL124" s="92"/>
      <c r="CM124" s="92"/>
      <c r="CN124" s="92"/>
      <c r="CO124" s="92"/>
      <c r="CP124" s="92"/>
      <c r="CQ124" s="92"/>
      <c r="CR124" s="92">
        <v>1</v>
      </c>
      <c r="CS124" s="92"/>
      <c r="CT124" s="92"/>
      <c r="CU124" s="92"/>
      <c r="CV124" s="106"/>
      <c r="CW124" s="106"/>
      <c r="CX124" s="106"/>
      <c r="CY124" s="106"/>
      <c r="CZ124" s="106"/>
      <c r="DA124" s="106"/>
      <c r="DB124" s="106"/>
      <c r="DC124" s="106"/>
      <c r="DD124" s="106"/>
      <c r="DE124" s="106"/>
      <c r="DF124" s="106"/>
      <c r="DG124" s="106"/>
      <c r="DH124" s="106"/>
      <c r="DI124" s="106"/>
      <c r="DJ124" s="106"/>
      <c r="DK124" s="106"/>
      <c r="DL124" s="106"/>
      <c r="DM124" s="106"/>
    </row>
    <row r="125" spans="2:117" x14ac:dyDescent="0.3">
      <c r="B125" s="112" t="s">
        <v>1081</v>
      </c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  <c r="BL125" s="92"/>
      <c r="BM125" s="92"/>
      <c r="BN125" s="92"/>
      <c r="BO125" s="92"/>
      <c r="BP125" s="92"/>
      <c r="BQ125" s="92"/>
      <c r="BR125" s="92"/>
      <c r="BS125" s="92"/>
      <c r="BT125" s="92"/>
      <c r="BU125" s="92"/>
      <c r="BV125" s="92"/>
      <c r="BW125" s="92"/>
      <c r="BX125" s="92"/>
      <c r="BY125" s="92"/>
      <c r="BZ125" s="92"/>
      <c r="CA125" s="92"/>
      <c r="CB125" s="92"/>
      <c r="CC125" s="92"/>
      <c r="CD125" s="92"/>
      <c r="CE125" s="92"/>
      <c r="CF125" s="92"/>
      <c r="CG125" s="92"/>
      <c r="CH125" s="92"/>
      <c r="CI125" s="92"/>
      <c r="CJ125" s="92"/>
      <c r="CK125" s="92"/>
      <c r="CL125" s="92"/>
      <c r="CM125" s="92"/>
      <c r="CN125" s="92"/>
      <c r="CO125" s="92"/>
      <c r="CP125" s="92"/>
      <c r="CQ125" s="92"/>
      <c r="CR125" s="92"/>
      <c r="CS125" s="92">
        <v>1</v>
      </c>
      <c r="CT125" s="92"/>
      <c r="CU125" s="92"/>
      <c r="CV125" s="106"/>
      <c r="CW125" s="106"/>
      <c r="CX125" s="106"/>
      <c r="CY125" s="106"/>
      <c r="CZ125" s="106"/>
      <c r="DA125" s="106"/>
      <c r="DB125" s="106"/>
      <c r="DC125" s="106"/>
      <c r="DD125" s="106"/>
      <c r="DE125" s="106"/>
      <c r="DF125" s="106"/>
      <c r="DG125" s="106"/>
      <c r="DH125" s="106"/>
      <c r="DI125" s="106"/>
      <c r="DJ125" s="106"/>
      <c r="DK125" s="106"/>
      <c r="DL125" s="106"/>
      <c r="DM125" s="106"/>
    </row>
    <row r="126" spans="2:117" x14ac:dyDescent="0.3">
      <c r="B126" s="112" t="s">
        <v>1082</v>
      </c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AZ126" s="92"/>
      <c r="BA126" s="92"/>
      <c r="BB126" s="92"/>
      <c r="BC126" s="92"/>
      <c r="BD126" s="92"/>
      <c r="BE126" s="92"/>
      <c r="BF126" s="92"/>
      <c r="BG126" s="92"/>
      <c r="BH126" s="92"/>
      <c r="BI126" s="92"/>
      <c r="BJ126" s="92"/>
      <c r="BK126" s="92"/>
      <c r="BL126" s="92"/>
      <c r="BM126" s="92"/>
      <c r="BN126" s="92"/>
      <c r="BO126" s="92"/>
      <c r="BP126" s="92"/>
      <c r="BQ126" s="92"/>
      <c r="BR126" s="92"/>
      <c r="BS126" s="92"/>
      <c r="BT126" s="92"/>
      <c r="BU126" s="92"/>
      <c r="BV126" s="92"/>
      <c r="BW126" s="92"/>
      <c r="BX126" s="92"/>
      <c r="BY126" s="92"/>
      <c r="BZ126" s="92"/>
      <c r="CA126" s="92"/>
      <c r="CB126" s="92"/>
      <c r="CC126" s="92"/>
      <c r="CD126" s="92"/>
      <c r="CE126" s="92"/>
      <c r="CF126" s="92"/>
      <c r="CG126" s="92"/>
      <c r="CH126" s="92"/>
      <c r="CI126" s="92"/>
      <c r="CJ126" s="92"/>
      <c r="CK126" s="92"/>
      <c r="CL126" s="92"/>
      <c r="CM126" s="92"/>
      <c r="CN126" s="92"/>
      <c r="CO126" s="92"/>
      <c r="CP126" s="92"/>
      <c r="CQ126" s="92"/>
      <c r="CR126" s="92"/>
      <c r="CS126" s="92"/>
      <c r="CT126" s="92">
        <v>1</v>
      </c>
      <c r="CU126" s="92"/>
      <c r="CV126" s="106"/>
      <c r="CW126" s="106"/>
      <c r="CX126" s="106"/>
      <c r="CY126" s="106"/>
      <c r="CZ126" s="106"/>
      <c r="DA126" s="106"/>
      <c r="DB126" s="106"/>
      <c r="DC126" s="106"/>
      <c r="DD126" s="106"/>
      <c r="DE126" s="106"/>
      <c r="DF126" s="106"/>
      <c r="DG126" s="106"/>
      <c r="DH126" s="106"/>
      <c r="DI126" s="106"/>
      <c r="DJ126" s="106"/>
      <c r="DK126" s="106"/>
      <c r="DL126" s="106"/>
      <c r="DM126" s="106"/>
    </row>
    <row r="127" spans="2:117" x14ac:dyDescent="0.3">
      <c r="B127" s="112" t="s">
        <v>1083</v>
      </c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  <c r="BL127" s="92"/>
      <c r="BM127" s="92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  <c r="BZ127" s="92"/>
      <c r="CA127" s="92"/>
      <c r="CB127" s="92"/>
      <c r="CC127" s="92"/>
      <c r="CD127" s="92"/>
      <c r="CE127" s="92"/>
      <c r="CF127" s="92"/>
      <c r="CG127" s="92"/>
      <c r="CH127" s="92"/>
      <c r="CI127" s="92"/>
      <c r="CJ127" s="92"/>
      <c r="CK127" s="92"/>
      <c r="CL127" s="92"/>
      <c r="CM127" s="92"/>
      <c r="CN127" s="92"/>
      <c r="CO127" s="92"/>
      <c r="CP127" s="92"/>
      <c r="CQ127" s="92"/>
      <c r="CR127" s="92"/>
      <c r="CS127" s="92"/>
      <c r="CT127" s="92"/>
      <c r="CU127" s="92">
        <v>1</v>
      </c>
      <c r="CV127" s="106"/>
      <c r="CW127" s="106"/>
      <c r="CX127" s="106"/>
      <c r="CY127" s="106"/>
      <c r="CZ127" s="106"/>
      <c r="DA127" s="106"/>
      <c r="DB127" s="106"/>
      <c r="DC127" s="106"/>
      <c r="DD127" s="106"/>
      <c r="DE127" s="106"/>
      <c r="DF127" s="106"/>
      <c r="DG127" s="106"/>
      <c r="DH127" s="106"/>
      <c r="DI127" s="106"/>
      <c r="DJ127" s="106"/>
      <c r="DK127" s="106"/>
      <c r="DL127" s="106"/>
      <c r="DM127" s="106"/>
    </row>
    <row r="128" spans="2:117" x14ac:dyDescent="0.3">
      <c r="B128" s="92" t="s">
        <v>1102</v>
      </c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92"/>
      <c r="BF128" s="92"/>
      <c r="BG128" s="92"/>
      <c r="BH128" s="92"/>
      <c r="BI128" s="92"/>
      <c r="BJ128" s="92"/>
      <c r="BK128" s="92"/>
      <c r="BL128" s="92"/>
      <c r="BM128" s="92"/>
      <c r="BN128" s="92"/>
      <c r="BO128" s="92"/>
      <c r="BP128" s="92"/>
      <c r="BQ128" s="92"/>
      <c r="BR128" s="92"/>
      <c r="BS128" s="92"/>
      <c r="BT128" s="92"/>
      <c r="BU128" s="92"/>
      <c r="BV128" s="92"/>
      <c r="BW128" s="92"/>
      <c r="BX128" s="92"/>
      <c r="BY128" s="92"/>
      <c r="BZ128" s="92"/>
      <c r="CA128" s="92"/>
      <c r="CB128" s="92"/>
      <c r="CC128" s="92"/>
      <c r="CD128" s="92">
        <v>1</v>
      </c>
      <c r="CE128" s="92"/>
      <c r="CF128" s="92"/>
      <c r="CG128" s="92"/>
      <c r="CH128" s="92"/>
      <c r="CI128" s="92"/>
      <c r="CJ128" s="92"/>
      <c r="CK128" s="92"/>
      <c r="CL128" s="92"/>
      <c r="CM128" s="92"/>
      <c r="CN128" s="92"/>
      <c r="CO128" s="92"/>
      <c r="CP128" s="92"/>
      <c r="CQ128" s="92"/>
      <c r="CR128" s="92"/>
      <c r="CS128" s="92"/>
      <c r="CT128" s="92"/>
      <c r="CU128" s="92"/>
      <c r="CV128" s="106"/>
      <c r="CW128" s="106"/>
      <c r="CX128" s="106"/>
      <c r="CY128" s="106"/>
      <c r="CZ128" s="106"/>
      <c r="DA128" s="106"/>
      <c r="DB128" s="106"/>
      <c r="DC128" s="106"/>
      <c r="DD128" s="106"/>
      <c r="DE128" s="106"/>
      <c r="DF128" s="106"/>
      <c r="DG128" s="106"/>
      <c r="DH128" s="106"/>
      <c r="DI128" s="106"/>
      <c r="DJ128" s="106"/>
      <c r="DK128" s="106"/>
      <c r="DL128" s="106"/>
      <c r="DM128" s="106"/>
    </row>
    <row r="129" spans="2:117" x14ac:dyDescent="0.3">
      <c r="B129" s="92" t="s">
        <v>1103</v>
      </c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AY129" s="92"/>
      <c r="AZ129" s="92"/>
      <c r="BA129" s="92"/>
      <c r="BB129" s="92"/>
      <c r="BC129" s="92"/>
      <c r="BD129" s="92"/>
      <c r="BE129" s="92"/>
      <c r="BF129" s="92"/>
      <c r="BG129" s="92"/>
      <c r="BH129" s="92"/>
      <c r="BI129" s="92"/>
      <c r="BJ129" s="92"/>
      <c r="BK129" s="92"/>
      <c r="BL129" s="92"/>
      <c r="BM129" s="92"/>
      <c r="BN129" s="92"/>
      <c r="BO129" s="92"/>
      <c r="BP129" s="92"/>
      <c r="BQ129" s="92"/>
      <c r="BR129" s="92"/>
      <c r="BS129" s="92"/>
      <c r="BT129" s="92"/>
      <c r="BU129" s="92"/>
      <c r="BV129" s="92"/>
      <c r="BW129" s="92"/>
      <c r="BX129" s="92"/>
      <c r="BY129" s="92"/>
      <c r="BZ129" s="92"/>
      <c r="CA129" s="92"/>
      <c r="CB129" s="92"/>
      <c r="CC129" s="92"/>
      <c r="CD129" s="92"/>
      <c r="CE129" s="92">
        <v>1</v>
      </c>
      <c r="CF129" s="92"/>
      <c r="CG129" s="92"/>
      <c r="CH129" s="92"/>
      <c r="CI129" s="92"/>
      <c r="CJ129" s="92"/>
      <c r="CK129" s="92"/>
      <c r="CL129" s="92"/>
      <c r="CM129" s="92"/>
      <c r="CN129" s="92"/>
      <c r="CO129" s="92"/>
      <c r="CP129" s="92"/>
      <c r="CQ129" s="92"/>
      <c r="CR129" s="92"/>
      <c r="CS129" s="92"/>
      <c r="CT129" s="92"/>
      <c r="CU129" s="92"/>
      <c r="CV129" s="106"/>
      <c r="CW129" s="106"/>
      <c r="CX129" s="106"/>
      <c r="CY129" s="106"/>
      <c r="CZ129" s="106"/>
      <c r="DA129" s="106"/>
      <c r="DB129" s="106"/>
      <c r="DC129" s="106"/>
      <c r="DD129" s="106"/>
      <c r="DE129" s="106"/>
      <c r="DF129" s="106"/>
      <c r="DG129" s="106"/>
      <c r="DH129" s="106"/>
      <c r="DI129" s="106"/>
      <c r="DJ129" s="106"/>
      <c r="DK129" s="106"/>
      <c r="DL129" s="106"/>
      <c r="DM129" s="106"/>
    </row>
    <row r="130" spans="2:117" x14ac:dyDescent="0.3">
      <c r="B130" s="92" t="s">
        <v>1104</v>
      </c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92"/>
      <c r="AZ130" s="92"/>
      <c r="BA130" s="92"/>
      <c r="BB130" s="92"/>
      <c r="BC130" s="92"/>
      <c r="BD130" s="92"/>
      <c r="BE130" s="92"/>
      <c r="BF130" s="92"/>
      <c r="BG130" s="92"/>
      <c r="BH130" s="92"/>
      <c r="BI130" s="92"/>
      <c r="BJ130" s="92"/>
      <c r="BK130" s="92"/>
      <c r="BL130" s="92"/>
      <c r="BM130" s="92"/>
      <c r="BN130" s="92"/>
      <c r="BO130" s="92"/>
      <c r="BP130" s="92"/>
      <c r="BQ130" s="92"/>
      <c r="BR130" s="92"/>
      <c r="BS130" s="92"/>
      <c r="BT130" s="92"/>
      <c r="BU130" s="92"/>
      <c r="BV130" s="92"/>
      <c r="BW130" s="92"/>
      <c r="BX130" s="92"/>
      <c r="BY130" s="92"/>
      <c r="BZ130" s="92"/>
      <c r="CA130" s="92"/>
      <c r="CB130" s="92"/>
      <c r="CC130" s="92"/>
      <c r="CD130" s="92"/>
      <c r="CE130" s="92"/>
      <c r="CF130" s="92">
        <v>1</v>
      </c>
      <c r="CG130" s="92"/>
      <c r="CH130" s="92"/>
      <c r="CI130" s="92"/>
      <c r="CJ130" s="92"/>
      <c r="CK130" s="92"/>
      <c r="CL130" s="92"/>
      <c r="CM130" s="92"/>
      <c r="CN130" s="92"/>
      <c r="CO130" s="92"/>
      <c r="CP130" s="92"/>
      <c r="CQ130" s="92"/>
      <c r="CR130" s="92"/>
      <c r="CS130" s="92"/>
      <c r="CT130" s="92"/>
      <c r="CU130" s="92"/>
      <c r="CV130" s="106"/>
      <c r="CW130" s="106"/>
      <c r="CX130" s="106"/>
      <c r="CY130" s="106"/>
      <c r="CZ130" s="106"/>
      <c r="DA130" s="106"/>
      <c r="DB130" s="106"/>
      <c r="DC130" s="106"/>
      <c r="DD130" s="106"/>
      <c r="DE130" s="106"/>
      <c r="DF130" s="106"/>
      <c r="DG130" s="106"/>
      <c r="DH130" s="106"/>
      <c r="DI130" s="106"/>
      <c r="DJ130" s="106"/>
      <c r="DK130" s="106"/>
      <c r="DL130" s="106"/>
      <c r="DM130" s="106"/>
    </row>
    <row r="131" spans="2:117" x14ac:dyDescent="0.3">
      <c r="B131" s="92" t="s">
        <v>1105</v>
      </c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AY131" s="92"/>
      <c r="AZ131" s="92"/>
      <c r="BA131" s="92"/>
      <c r="BB131" s="92"/>
      <c r="BC131" s="92"/>
      <c r="BD131" s="92"/>
      <c r="BE131" s="92"/>
      <c r="BF131" s="92"/>
      <c r="BG131" s="92"/>
      <c r="BH131" s="92"/>
      <c r="BI131" s="92"/>
      <c r="BJ131" s="92"/>
      <c r="BK131" s="92"/>
      <c r="BL131" s="92"/>
      <c r="BM131" s="92"/>
      <c r="BN131" s="92"/>
      <c r="BO131" s="92"/>
      <c r="BP131" s="92"/>
      <c r="BQ131" s="92"/>
      <c r="BR131" s="92"/>
      <c r="BS131" s="92"/>
      <c r="BT131" s="92"/>
      <c r="BU131" s="92"/>
      <c r="BV131" s="92"/>
      <c r="BW131" s="92"/>
      <c r="BX131" s="92"/>
      <c r="BY131" s="92"/>
      <c r="BZ131" s="92"/>
      <c r="CA131" s="92"/>
      <c r="CB131" s="92"/>
      <c r="CC131" s="92"/>
      <c r="CD131" s="92"/>
      <c r="CE131" s="92"/>
      <c r="CF131" s="92"/>
      <c r="CG131" s="92">
        <v>1</v>
      </c>
      <c r="CH131" s="92"/>
      <c r="CI131" s="92"/>
      <c r="CJ131" s="92"/>
      <c r="CK131" s="92"/>
      <c r="CL131" s="92"/>
      <c r="CM131" s="92"/>
      <c r="CN131" s="92"/>
      <c r="CO131" s="92"/>
      <c r="CP131" s="92"/>
      <c r="CQ131" s="92"/>
      <c r="CR131" s="92"/>
      <c r="CS131" s="92"/>
      <c r="CT131" s="92"/>
      <c r="CU131" s="92"/>
      <c r="CV131" s="106"/>
      <c r="CW131" s="106"/>
      <c r="CX131" s="106"/>
      <c r="CY131" s="106"/>
      <c r="CZ131" s="106"/>
      <c r="DA131" s="106"/>
      <c r="DB131" s="106"/>
      <c r="DC131" s="106"/>
      <c r="DD131" s="106"/>
      <c r="DE131" s="106"/>
      <c r="DF131" s="106"/>
      <c r="DG131" s="106"/>
      <c r="DH131" s="106"/>
      <c r="DI131" s="106"/>
      <c r="DJ131" s="106"/>
      <c r="DK131" s="106"/>
      <c r="DL131" s="106"/>
      <c r="DM131" s="106"/>
    </row>
    <row r="132" spans="2:117" x14ac:dyDescent="0.3">
      <c r="B132" s="92" t="s">
        <v>1106</v>
      </c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92"/>
      <c r="BE132" s="92"/>
      <c r="BF132" s="92"/>
      <c r="BG132" s="92"/>
      <c r="BH132" s="92"/>
      <c r="BI132" s="92"/>
      <c r="BJ132" s="92"/>
      <c r="BK132" s="92"/>
      <c r="BL132" s="92"/>
      <c r="BM132" s="92"/>
      <c r="BN132" s="92"/>
      <c r="BO132" s="92"/>
      <c r="BP132" s="92"/>
      <c r="BQ132" s="92"/>
      <c r="BR132" s="92"/>
      <c r="BS132" s="92"/>
      <c r="BT132" s="92"/>
      <c r="BU132" s="92"/>
      <c r="BV132" s="92"/>
      <c r="BW132" s="92"/>
      <c r="BX132" s="92"/>
      <c r="BY132" s="92"/>
      <c r="BZ132" s="92"/>
      <c r="CA132" s="92"/>
      <c r="CB132" s="92"/>
      <c r="CC132" s="92"/>
      <c r="CD132" s="92"/>
      <c r="CE132" s="92"/>
      <c r="CF132" s="92"/>
      <c r="CG132" s="92"/>
      <c r="CH132" s="92">
        <v>1</v>
      </c>
      <c r="CI132" s="92"/>
      <c r="CJ132" s="92"/>
      <c r="CK132" s="92"/>
      <c r="CL132" s="92"/>
      <c r="CM132" s="92"/>
      <c r="CN132" s="92"/>
      <c r="CO132" s="92"/>
      <c r="CP132" s="92"/>
      <c r="CQ132" s="92"/>
      <c r="CR132" s="92"/>
      <c r="CS132" s="92"/>
      <c r="CT132" s="92"/>
      <c r="CU132" s="92"/>
      <c r="CV132" s="106"/>
      <c r="CW132" s="106"/>
      <c r="CX132" s="106"/>
      <c r="CY132" s="106"/>
      <c r="CZ132" s="106"/>
      <c r="DA132" s="106"/>
      <c r="DB132" s="106"/>
      <c r="DC132" s="106"/>
      <c r="DD132" s="106"/>
      <c r="DE132" s="106"/>
      <c r="DF132" s="106"/>
      <c r="DG132" s="106"/>
      <c r="DH132" s="106"/>
      <c r="DI132" s="106"/>
      <c r="DJ132" s="106"/>
      <c r="DK132" s="106"/>
      <c r="DL132" s="106"/>
      <c r="DM132" s="106"/>
    </row>
    <row r="133" spans="2:117" x14ac:dyDescent="0.3">
      <c r="B133" s="92" t="s">
        <v>1107</v>
      </c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AY133" s="92"/>
      <c r="AZ133" s="92"/>
      <c r="BA133" s="92"/>
      <c r="BB133" s="92"/>
      <c r="BC133" s="92"/>
      <c r="BD133" s="92"/>
      <c r="BE133" s="92"/>
      <c r="BF133" s="92"/>
      <c r="BG133" s="92"/>
      <c r="BH133" s="92"/>
      <c r="BI133" s="92"/>
      <c r="BJ133" s="92"/>
      <c r="BK133" s="92"/>
      <c r="BL133" s="92"/>
      <c r="BM133" s="92"/>
      <c r="BN133" s="92"/>
      <c r="BO133" s="92"/>
      <c r="BP133" s="92"/>
      <c r="BQ133" s="92"/>
      <c r="BR133" s="92"/>
      <c r="BS133" s="92"/>
      <c r="BT133" s="92"/>
      <c r="BU133" s="92"/>
      <c r="BV133" s="92"/>
      <c r="BW133" s="92"/>
      <c r="BX133" s="92"/>
      <c r="BY133" s="92"/>
      <c r="BZ133" s="92"/>
      <c r="CA133" s="92"/>
      <c r="CB133" s="92"/>
      <c r="CC133" s="92"/>
      <c r="CD133" s="92"/>
      <c r="CE133" s="92"/>
      <c r="CF133" s="92"/>
      <c r="CG133" s="92"/>
      <c r="CH133" s="92"/>
      <c r="CI133" s="92">
        <v>1</v>
      </c>
      <c r="CJ133" s="92"/>
      <c r="CK133" s="92"/>
      <c r="CL133" s="92"/>
      <c r="CM133" s="92"/>
      <c r="CN133" s="92"/>
      <c r="CO133" s="92"/>
      <c r="CP133" s="92"/>
      <c r="CQ133" s="92"/>
      <c r="CR133" s="92"/>
      <c r="CS133" s="92"/>
      <c r="CT133" s="92"/>
      <c r="CU133" s="92"/>
      <c r="CV133" s="106"/>
      <c r="CW133" s="106"/>
      <c r="CX133" s="106"/>
      <c r="CY133" s="106"/>
      <c r="CZ133" s="106"/>
      <c r="DA133" s="106"/>
      <c r="DB133" s="106"/>
      <c r="DC133" s="106"/>
      <c r="DD133" s="106"/>
      <c r="DE133" s="106"/>
      <c r="DF133" s="106"/>
      <c r="DG133" s="106"/>
      <c r="DH133" s="106"/>
      <c r="DI133" s="106"/>
      <c r="DJ133" s="106"/>
      <c r="DK133" s="106"/>
      <c r="DL133" s="106"/>
      <c r="DM133" s="106"/>
    </row>
    <row r="134" spans="2:117" x14ac:dyDescent="0.3">
      <c r="B134" s="92" t="s">
        <v>1108</v>
      </c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AY134" s="92"/>
      <c r="AZ134" s="92"/>
      <c r="BA134" s="92"/>
      <c r="BB134" s="92"/>
      <c r="BC134" s="92"/>
      <c r="BD134" s="92"/>
      <c r="BE134" s="92"/>
      <c r="BF134" s="92"/>
      <c r="BG134" s="92"/>
      <c r="BH134" s="92"/>
      <c r="BI134" s="92"/>
      <c r="BJ134" s="92"/>
      <c r="BK134" s="92"/>
      <c r="BL134" s="92"/>
      <c r="BM134" s="92"/>
      <c r="BN134" s="92"/>
      <c r="BO134" s="92"/>
      <c r="BP134" s="92"/>
      <c r="BQ134" s="92"/>
      <c r="BR134" s="92"/>
      <c r="BS134" s="92"/>
      <c r="BT134" s="92"/>
      <c r="BU134" s="92"/>
      <c r="BV134" s="92"/>
      <c r="BW134" s="92"/>
      <c r="BX134" s="92"/>
      <c r="BY134" s="92"/>
      <c r="BZ134" s="92"/>
      <c r="CA134" s="92"/>
      <c r="CB134" s="92"/>
      <c r="CC134" s="92"/>
      <c r="CD134" s="92"/>
      <c r="CE134" s="92"/>
      <c r="CF134" s="92"/>
      <c r="CG134" s="92"/>
      <c r="CH134" s="92"/>
      <c r="CI134" s="92"/>
      <c r="CJ134" s="92">
        <v>1</v>
      </c>
      <c r="CK134" s="92"/>
      <c r="CL134" s="92"/>
      <c r="CM134" s="92"/>
      <c r="CN134" s="92"/>
      <c r="CO134" s="92"/>
      <c r="CP134" s="92"/>
      <c r="CQ134" s="92"/>
      <c r="CR134" s="92"/>
      <c r="CS134" s="92"/>
      <c r="CT134" s="92"/>
      <c r="CU134" s="92"/>
      <c r="CV134" s="106"/>
      <c r="CW134" s="106"/>
      <c r="CX134" s="106"/>
      <c r="CY134" s="106"/>
      <c r="CZ134" s="106"/>
      <c r="DA134" s="106"/>
      <c r="DB134" s="106"/>
      <c r="DC134" s="106"/>
      <c r="DD134" s="106"/>
      <c r="DE134" s="106"/>
      <c r="DF134" s="106"/>
      <c r="DG134" s="106"/>
      <c r="DH134" s="106"/>
      <c r="DI134" s="106"/>
      <c r="DJ134" s="106"/>
      <c r="DK134" s="106"/>
      <c r="DL134" s="106"/>
      <c r="DM134" s="106"/>
    </row>
    <row r="135" spans="2:117" x14ac:dyDescent="0.3">
      <c r="B135" s="92" t="s">
        <v>1109</v>
      </c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/>
      <c r="AY135" s="92"/>
      <c r="AZ135" s="92"/>
      <c r="BA135" s="92"/>
      <c r="BB135" s="92"/>
      <c r="BC135" s="92"/>
      <c r="BD135" s="92"/>
      <c r="BE135" s="92"/>
      <c r="BF135" s="92"/>
      <c r="BG135" s="92"/>
      <c r="BH135" s="92"/>
      <c r="BI135" s="92"/>
      <c r="BJ135" s="92"/>
      <c r="BK135" s="92"/>
      <c r="BL135" s="92"/>
      <c r="BM135" s="92"/>
      <c r="BN135" s="92"/>
      <c r="BO135" s="92"/>
      <c r="BP135" s="92"/>
      <c r="BQ135" s="92"/>
      <c r="BR135" s="92"/>
      <c r="BS135" s="92"/>
      <c r="BT135" s="92"/>
      <c r="BU135" s="92"/>
      <c r="BV135" s="92"/>
      <c r="BW135" s="92"/>
      <c r="BX135" s="92"/>
      <c r="BY135" s="92"/>
      <c r="BZ135" s="92"/>
      <c r="CA135" s="92"/>
      <c r="CB135" s="92"/>
      <c r="CC135" s="92"/>
      <c r="CD135" s="92"/>
      <c r="CE135" s="92"/>
      <c r="CF135" s="92"/>
      <c r="CG135" s="92"/>
      <c r="CH135" s="92"/>
      <c r="CI135" s="92"/>
      <c r="CJ135" s="92"/>
      <c r="CK135" s="92">
        <v>1</v>
      </c>
      <c r="CL135" s="92"/>
      <c r="CM135" s="92"/>
      <c r="CN135" s="92"/>
      <c r="CO135" s="92"/>
      <c r="CP135" s="92"/>
      <c r="CQ135" s="92"/>
      <c r="CR135" s="92"/>
      <c r="CS135" s="92"/>
      <c r="CT135" s="92"/>
      <c r="CU135" s="92"/>
      <c r="CV135" s="106"/>
      <c r="CW135" s="106"/>
      <c r="CX135" s="106"/>
      <c r="CY135" s="106"/>
      <c r="CZ135" s="106"/>
      <c r="DA135" s="106"/>
      <c r="DB135" s="106"/>
      <c r="DC135" s="106"/>
      <c r="DD135" s="106"/>
      <c r="DE135" s="106"/>
      <c r="DF135" s="106"/>
      <c r="DG135" s="106"/>
      <c r="DH135" s="106"/>
      <c r="DI135" s="106"/>
      <c r="DJ135" s="106"/>
      <c r="DK135" s="106"/>
      <c r="DL135" s="106"/>
      <c r="DM135" s="106"/>
    </row>
    <row r="136" spans="2:117" x14ac:dyDescent="0.3">
      <c r="B136" s="92" t="s">
        <v>1110</v>
      </c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AY136" s="92"/>
      <c r="AZ136" s="92"/>
      <c r="BA136" s="92"/>
      <c r="BB136" s="92"/>
      <c r="BC136" s="92"/>
      <c r="BD136" s="92"/>
      <c r="BE136" s="92"/>
      <c r="BF136" s="92"/>
      <c r="BG136" s="92"/>
      <c r="BH136" s="92"/>
      <c r="BI136" s="92"/>
      <c r="BJ136" s="92"/>
      <c r="BK136" s="92"/>
      <c r="BL136" s="92"/>
      <c r="BM136" s="92"/>
      <c r="BN136" s="92"/>
      <c r="BO136" s="92"/>
      <c r="BP136" s="92"/>
      <c r="BQ136" s="92"/>
      <c r="BR136" s="92"/>
      <c r="BS136" s="92"/>
      <c r="BT136" s="92"/>
      <c r="BU136" s="92"/>
      <c r="BV136" s="92"/>
      <c r="BW136" s="92"/>
      <c r="BX136" s="92"/>
      <c r="BY136" s="92"/>
      <c r="BZ136" s="92"/>
      <c r="CA136" s="92"/>
      <c r="CB136" s="92"/>
      <c r="CC136" s="92"/>
      <c r="CD136" s="92"/>
      <c r="CE136" s="92"/>
      <c r="CF136" s="92"/>
      <c r="CG136" s="92"/>
      <c r="CH136" s="92"/>
      <c r="CI136" s="92"/>
      <c r="CJ136" s="92"/>
      <c r="CK136" s="92"/>
      <c r="CL136" s="92">
        <v>1</v>
      </c>
      <c r="CM136" s="92"/>
      <c r="CN136" s="92"/>
      <c r="CO136" s="92"/>
      <c r="CP136" s="92"/>
      <c r="CQ136" s="92"/>
      <c r="CR136" s="92"/>
      <c r="CS136" s="92"/>
      <c r="CT136" s="92"/>
      <c r="CU136" s="92"/>
      <c r="CV136" s="106"/>
      <c r="CW136" s="106"/>
      <c r="CX136" s="106"/>
      <c r="CY136" s="106"/>
      <c r="CZ136" s="106"/>
      <c r="DA136" s="106"/>
      <c r="DB136" s="106"/>
      <c r="DC136" s="106"/>
      <c r="DD136" s="106"/>
      <c r="DE136" s="106"/>
      <c r="DF136" s="106"/>
      <c r="DG136" s="106"/>
      <c r="DH136" s="106"/>
      <c r="DI136" s="106"/>
      <c r="DJ136" s="106"/>
      <c r="DK136" s="106"/>
      <c r="DL136" s="106"/>
      <c r="DM136" s="106"/>
    </row>
    <row r="137" spans="2:117" x14ac:dyDescent="0.3">
      <c r="B137" s="92" t="s">
        <v>1111</v>
      </c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92"/>
      <c r="AY137" s="92"/>
      <c r="AZ137" s="92"/>
      <c r="BA137" s="92"/>
      <c r="BB137" s="92"/>
      <c r="BC137" s="92"/>
      <c r="BD137" s="92"/>
      <c r="BE137" s="92"/>
      <c r="BF137" s="92"/>
      <c r="BG137" s="92"/>
      <c r="BH137" s="92"/>
      <c r="BI137" s="92"/>
      <c r="BJ137" s="92"/>
      <c r="BK137" s="92"/>
      <c r="BL137" s="92"/>
      <c r="BM137" s="92"/>
      <c r="BN137" s="92"/>
      <c r="BO137" s="92"/>
      <c r="BP137" s="92"/>
      <c r="BQ137" s="92"/>
      <c r="BR137" s="92"/>
      <c r="BS137" s="92"/>
      <c r="BT137" s="92"/>
      <c r="BU137" s="92"/>
      <c r="BV137" s="92"/>
      <c r="BW137" s="92"/>
      <c r="BX137" s="92"/>
      <c r="BY137" s="92"/>
      <c r="BZ137" s="92"/>
      <c r="CA137" s="92"/>
      <c r="CB137" s="92"/>
      <c r="CC137" s="92"/>
      <c r="CD137" s="92"/>
      <c r="CE137" s="92"/>
      <c r="CF137" s="92"/>
      <c r="CG137" s="92"/>
      <c r="CH137" s="92"/>
      <c r="CI137" s="92"/>
      <c r="CJ137" s="92"/>
      <c r="CK137" s="92"/>
      <c r="CL137" s="92"/>
      <c r="CM137" s="92">
        <v>1</v>
      </c>
      <c r="CN137" s="92"/>
      <c r="CO137" s="92"/>
      <c r="CP137" s="92"/>
      <c r="CQ137" s="92"/>
      <c r="CR137" s="92"/>
      <c r="CS137" s="92"/>
      <c r="CT137" s="92"/>
      <c r="CU137" s="92"/>
      <c r="CV137" s="106"/>
      <c r="CW137" s="106"/>
      <c r="CX137" s="106"/>
      <c r="CY137" s="106"/>
      <c r="CZ137" s="106"/>
      <c r="DA137" s="106"/>
      <c r="DB137" s="106"/>
      <c r="DC137" s="106"/>
      <c r="DD137" s="106"/>
      <c r="DE137" s="106"/>
      <c r="DF137" s="106"/>
      <c r="DG137" s="106"/>
      <c r="DH137" s="106"/>
      <c r="DI137" s="106"/>
      <c r="DJ137" s="106"/>
      <c r="DK137" s="106"/>
      <c r="DL137" s="106"/>
      <c r="DM137" s="106"/>
    </row>
    <row r="138" spans="2:117" x14ac:dyDescent="0.3">
      <c r="B138" s="92" t="s">
        <v>1112</v>
      </c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  <c r="AU138" s="92"/>
      <c r="AV138" s="92"/>
      <c r="AW138" s="92"/>
      <c r="AX138" s="92"/>
      <c r="AY138" s="92"/>
      <c r="AZ138" s="92"/>
      <c r="BA138" s="92"/>
      <c r="BB138" s="92"/>
      <c r="BC138" s="92"/>
      <c r="BD138" s="92"/>
      <c r="BE138" s="92"/>
      <c r="BF138" s="92"/>
      <c r="BG138" s="92"/>
      <c r="BH138" s="92"/>
      <c r="BI138" s="92"/>
      <c r="BJ138" s="92"/>
      <c r="BK138" s="92"/>
      <c r="BL138" s="92"/>
      <c r="BM138" s="92"/>
      <c r="BN138" s="92"/>
      <c r="BO138" s="92"/>
      <c r="BP138" s="92"/>
      <c r="BQ138" s="92"/>
      <c r="BR138" s="92"/>
      <c r="BS138" s="92"/>
      <c r="BT138" s="92"/>
      <c r="BU138" s="92"/>
      <c r="BV138" s="92"/>
      <c r="BW138" s="92"/>
      <c r="BX138" s="92"/>
      <c r="BY138" s="92"/>
      <c r="BZ138" s="92"/>
      <c r="CA138" s="92"/>
      <c r="CB138" s="92"/>
      <c r="CC138" s="92"/>
      <c r="CD138" s="92"/>
      <c r="CE138" s="92"/>
      <c r="CF138" s="92"/>
      <c r="CG138" s="92"/>
      <c r="CH138" s="92"/>
      <c r="CI138" s="92"/>
      <c r="CJ138" s="92"/>
      <c r="CK138" s="92"/>
      <c r="CL138" s="92"/>
      <c r="CM138" s="92"/>
      <c r="CN138" s="92">
        <v>1</v>
      </c>
      <c r="CO138" s="92"/>
      <c r="CP138" s="92"/>
      <c r="CQ138" s="92"/>
      <c r="CR138" s="92"/>
      <c r="CS138" s="92"/>
      <c r="CT138" s="92"/>
      <c r="CU138" s="92"/>
      <c r="CV138" s="106"/>
      <c r="CW138" s="106"/>
      <c r="CX138" s="106"/>
      <c r="CY138" s="106"/>
      <c r="CZ138" s="106"/>
      <c r="DA138" s="106"/>
      <c r="DB138" s="106"/>
      <c r="DC138" s="106"/>
      <c r="DD138" s="106"/>
      <c r="DE138" s="106"/>
      <c r="DF138" s="106"/>
      <c r="DG138" s="106"/>
      <c r="DH138" s="106"/>
      <c r="DI138" s="106"/>
      <c r="DJ138" s="106"/>
      <c r="DK138" s="106"/>
      <c r="DL138" s="106"/>
      <c r="DM138" s="106"/>
    </row>
    <row r="139" spans="2:117" x14ac:dyDescent="0.3">
      <c r="B139" s="92" t="s">
        <v>1113</v>
      </c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92"/>
      <c r="AV139" s="92"/>
      <c r="AW139" s="92"/>
      <c r="AX139" s="92"/>
      <c r="AY139" s="92"/>
      <c r="AZ139" s="92"/>
      <c r="BA139" s="92"/>
      <c r="BB139" s="92"/>
      <c r="BC139" s="92"/>
      <c r="BD139" s="92"/>
      <c r="BE139" s="92"/>
      <c r="BF139" s="92"/>
      <c r="BG139" s="92"/>
      <c r="BH139" s="92"/>
      <c r="BI139" s="92"/>
      <c r="BJ139" s="92"/>
      <c r="BK139" s="92"/>
      <c r="BL139" s="92"/>
      <c r="BM139" s="92"/>
      <c r="BN139" s="92"/>
      <c r="BO139" s="92"/>
      <c r="BP139" s="92"/>
      <c r="BQ139" s="92"/>
      <c r="BR139" s="92"/>
      <c r="BS139" s="92"/>
      <c r="BT139" s="92"/>
      <c r="BU139" s="92"/>
      <c r="BV139" s="92"/>
      <c r="BW139" s="92"/>
      <c r="BX139" s="92"/>
      <c r="BY139" s="92"/>
      <c r="BZ139" s="92"/>
      <c r="CA139" s="92"/>
      <c r="CB139" s="92"/>
      <c r="CC139" s="92"/>
      <c r="CD139" s="92"/>
      <c r="CE139" s="92"/>
      <c r="CF139" s="92"/>
      <c r="CG139" s="92"/>
      <c r="CH139" s="92"/>
      <c r="CI139" s="92"/>
      <c r="CJ139" s="92"/>
      <c r="CK139" s="92"/>
      <c r="CL139" s="92"/>
      <c r="CM139" s="92"/>
      <c r="CN139" s="92"/>
      <c r="CO139" s="92">
        <v>1</v>
      </c>
      <c r="CP139" s="92"/>
      <c r="CQ139" s="92"/>
      <c r="CR139" s="92"/>
      <c r="CS139" s="92"/>
      <c r="CT139" s="92"/>
      <c r="CU139" s="92"/>
      <c r="CV139" s="106"/>
      <c r="CW139" s="106"/>
      <c r="CX139" s="106"/>
      <c r="CY139" s="106"/>
      <c r="CZ139" s="106"/>
      <c r="DA139" s="106"/>
      <c r="DB139" s="106"/>
      <c r="DC139" s="106"/>
      <c r="DD139" s="106"/>
      <c r="DE139" s="106"/>
      <c r="DF139" s="106"/>
      <c r="DG139" s="106"/>
      <c r="DH139" s="106"/>
      <c r="DI139" s="106"/>
      <c r="DJ139" s="106"/>
      <c r="DK139" s="106"/>
      <c r="DL139" s="106"/>
      <c r="DM139" s="106"/>
    </row>
    <row r="140" spans="2:117" x14ac:dyDescent="0.3">
      <c r="B140" s="92" t="s">
        <v>1114</v>
      </c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AZ140" s="92"/>
      <c r="BA140" s="92"/>
      <c r="BB140" s="92"/>
      <c r="BC140" s="92"/>
      <c r="BD140" s="92"/>
      <c r="BE140" s="92"/>
      <c r="BF140" s="92"/>
      <c r="BG140" s="92"/>
      <c r="BH140" s="92"/>
      <c r="BI140" s="92"/>
      <c r="BJ140" s="92"/>
      <c r="BK140" s="92"/>
      <c r="BL140" s="92"/>
      <c r="BM140" s="92"/>
      <c r="BN140" s="92"/>
      <c r="BO140" s="92"/>
      <c r="BP140" s="92"/>
      <c r="BQ140" s="92"/>
      <c r="BR140" s="92"/>
      <c r="BS140" s="92"/>
      <c r="BT140" s="92"/>
      <c r="BU140" s="92"/>
      <c r="BV140" s="92"/>
      <c r="BW140" s="92"/>
      <c r="BX140" s="92"/>
      <c r="BY140" s="92"/>
      <c r="BZ140" s="92"/>
      <c r="CA140" s="92"/>
      <c r="CB140" s="92"/>
      <c r="CC140" s="92"/>
      <c r="CD140" s="92"/>
      <c r="CE140" s="92"/>
      <c r="CF140" s="92"/>
      <c r="CG140" s="92"/>
      <c r="CH140" s="92"/>
      <c r="CI140" s="92"/>
      <c r="CJ140" s="92"/>
      <c r="CK140" s="92"/>
      <c r="CL140" s="92"/>
      <c r="CM140" s="92"/>
      <c r="CN140" s="92"/>
      <c r="CO140" s="92"/>
      <c r="CP140" s="92">
        <v>1</v>
      </c>
      <c r="CQ140" s="92"/>
      <c r="CR140" s="92"/>
      <c r="CS140" s="92"/>
      <c r="CT140" s="92"/>
      <c r="CU140" s="92"/>
      <c r="CV140" s="106"/>
      <c r="CW140" s="106"/>
      <c r="CX140" s="106"/>
      <c r="CY140" s="106"/>
      <c r="CZ140" s="106"/>
      <c r="DA140" s="106"/>
      <c r="DB140" s="106"/>
      <c r="DC140" s="106"/>
      <c r="DD140" s="106"/>
      <c r="DE140" s="106"/>
      <c r="DF140" s="106"/>
      <c r="DG140" s="106"/>
      <c r="DH140" s="106"/>
      <c r="DI140" s="106"/>
      <c r="DJ140" s="106"/>
      <c r="DK140" s="106"/>
      <c r="DL140" s="106"/>
      <c r="DM140" s="106"/>
    </row>
    <row r="141" spans="2:117" x14ac:dyDescent="0.3">
      <c r="B141" s="92" t="s">
        <v>1115</v>
      </c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  <c r="AW141" s="92"/>
      <c r="AX141" s="92"/>
      <c r="AY141" s="92"/>
      <c r="AZ141" s="92"/>
      <c r="BA141" s="92"/>
      <c r="BB141" s="92"/>
      <c r="BC141" s="92"/>
      <c r="BD141" s="92"/>
      <c r="BE141" s="92"/>
      <c r="BF141" s="92"/>
      <c r="BG141" s="92"/>
      <c r="BH141" s="92"/>
      <c r="BI141" s="92"/>
      <c r="BJ141" s="92"/>
      <c r="BK141" s="92"/>
      <c r="BL141" s="92"/>
      <c r="BM141" s="92"/>
      <c r="BN141" s="92"/>
      <c r="BO141" s="92"/>
      <c r="BP141" s="92"/>
      <c r="BQ141" s="92"/>
      <c r="BR141" s="92"/>
      <c r="BS141" s="92"/>
      <c r="BT141" s="92"/>
      <c r="BU141" s="92"/>
      <c r="BV141" s="92"/>
      <c r="BW141" s="92"/>
      <c r="BX141" s="92"/>
      <c r="BY141" s="92"/>
      <c r="BZ141" s="92"/>
      <c r="CA141" s="92"/>
      <c r="CB141" s="92"/>
      <c r="CC141" s="92"/>
      <c r="CD141" s="92"/>
      <c r="CE141" s="92"/>
      <c r="CF141" s="92"/>
      <c r="CG141" s="92"/>
      <c r="CH141" s="92"/>
      <c r="CI141" s="92"/>
      <c r="CJ141" s="92"/>
      <c r="CK141" s="92"/>
      <c r="CL141" s="92"/>
      <c r="CM141" s="92"/>
      <c r="CN141" s="92"/>
      <c r="CO141" s="92"/>
      <c r="CP141" s="92"/>
      <c r="CQ141" s="92">
        <v>1</v>
      </c>
      <c r="CR141" s="92"/>
      <c r="CS141" s="92"/>
      <c r="CT141" s="92"/>
      <c r="CU141" s="92"/>
      <c r="CV141" s="106"/>
      <c r="CW141" s="106"/>
      <c r="CX141" s="106"/>
      <c r="CY141" s="106"/>
      <c r="CZ141" s="106"/>
      <c r="DA141" s="106"/>
      <c r="DB141" s="106"/>
      <c r="DC141" s="106"/>
      <c r="DD141" s="106"/>
      <c r="DE141" s="106"/>
      <c r="DF141" s="106"/>
      <c r="DG141" s="106"/>
      <c r="DH141" s="106"/>
      <c r="DI141" s="106"/>
      <c r="DJ141" s="106"/>
      <c r="DK141" s="106"/>
      <c r="DL141" s="106"/>
      <c r="DM141" s="106"/>
    </row>
    <row r="142" spans="2:117" x14ac:dyDescent="0.3">
      <c r="B142" s="92" t="s">
        <v>1116</v>
      </c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  <c r="BB142" s="92"/>
      <c r="BC142" s="92"/>
      <c r="BD142" s="92"/>
      <c r="BE142" s="92"/>
      <c r="BF142" s="92"/>
      <c r="BG142" s="92"/>
      <c r="BH142" s="92"/>
      <c r="BI142" s="92"/>
      <c r="BJ142" s="92"/>
      <c r="BK142" s="92"/>
      <c r="BL142" s="92"/>
      <c r="BM142" s="92"/>
      <c r="BN142" s="92"/>
      <c r="BO142" s="92"/>
      <c r="BP142" s="92"/>
      <c r="BQ142" s="92"/>
      <c r="BR142" s="92"/>
      <c r="BS142" s="92"/>
      <c r="BT142" s="92"/>
      <c r="BU142" s="92"/>
      <c r="BV142" s="92"/>
      <c r="BW142" s="92"/>
      <c r="BX142" s="92"/>
      <c r="BY142" s="92"/>
      <c r="BZ142" s="92"/>
      <c r="CA142" s="92"/>
      <c r="CB142" s="92"/>
      <c r="CC142" s="92"/>
      <c r="CD142" s="92"/>
      <c r="CE142" s="92"/>
      <c r="CF142" s="92"/>
      <c r="CG142" s="92"/>
      <c r="CH142" s="92"/>
      <c r="CI142" s="92"/>
      <c r="CJ142" s="92"/>
      <c r="CK142" s="92"/>
      <c r="CL142" s="92"/>
      <c r="CM142" s="92"/>
      <c r="CN142" s="92"/>
      <c r="CO142" s="92"/>
      <c r="CP142" s="92"/>
      <c r="CQ142" s="92"/>
      <c r="CR142" s="92">
        <v>1</v>
      </c>
      <c r="CS142" s="92"/>
      <c r="CT142" s="92"/>
      <c r="CU142" s="92"/>
      <c r="CV142" s="106"/>
      <c r="CW142" s="106"/>
      <c r="CX142" s="106"/>
      <c r="CY142" s="106"/>
      <c r="CZ142" s="106"/>
      <c r="DA142" s="106"/>
      <c r="DB142" s="106"/>
      <c r="DC142" s="106"/>
      <c r="DD142" s="106"/>
      <c r="DE142" s="106"/>
      <c r="DF142" s="106"/>
      <c r="DG142" s="106"/>
      <c r="DH142" s="106"/>
      <c r="DI142" s="106"/>
      <c r="DJ142" s="106"/>
      <c r="DK142" s="106"/>
      <c r="DL142" s="106"/>
      <c r="DM142" s="106"/>
    </row>
    <row r="143" spans="2:117" x14ac:dyDescent="0.3">
      <c r="B143" s="92" t="s">
        <v>1117</v>
      </c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AZ143" s="92"/>
      <c r="BA143" s="92"/>
      <c r="BB143" s="92"/>
      <c r="BC143" s="92"/>
      <c r="BD143" s="92"/>
      <c r="BE143" s="92"/>
      <c r="BF143" s="92"/>
      <c r="BG143" s="92"/>
      <c r="BH143" s="92"/>
      <c r="BI143" s="92"/>
      <c r="BJ143" s="92"/>
      <c r="BK143" s="92"/>
      <c r="BL143" s="92"/>
      <c r="BM143" s="92"/>
      <c r="BN143" s="92"/>
      <c r="BO143" s="92"/>
      <c r="BP143" s="92"/>
      <c r="BQ143" s="92"/>
      <c r="BR143" s="92"/>
      <c r="BS143" s="92"/>
      <c r="BT143" s="92"/>
      <c r="BU143" s="92"/>
      <c r="BV143" s="92"/>
      <c r="BW143" s="92"/>
      <c r="BX143" s="92"/>
      <c r="BY143" s="92"/>
      <c r="BZ143" s="92"/>
      <c r="CA143" s="92"/>
      <c r="CB143" s="92"/>
      <c r="CC143" s="92"/>
      <c r="CD143" s="92"/>
      <c r="CE143" s="92"/>
      <c r="CF143" s="92"/>
      <c r="CG143" s="92"/>
      <c r="CH143" s="92"/>
      <c r="CI143" s="92"/>
      <c r="CJ143" s="92"/>
      <c r="CK143" s="92"/>
      <c r="CL143" s="92"/>
      <c r="CM143" s="92"/>
      <c r="CN143" s="92"/>
      <c r="CO143" s="92"/>
      <c r="CP143" s="92"/>
      <c r="CQ143" s="92"/>
      <c r="CR143" s="92"/>
      <c r="CS143" s="92">
        <v>1</v>
      </c>
      <c r="CT143" s="92"/>
      <c r="CU143" s="92"/>
      <c r="CV143" s="106"/>
      <c r="CW143" s="106"/>
      <c r="CX143" s="106"/>
      <c r="CY143" s="106"/>
      <c r="CZ143" s="106"/>
      <c r="DA143" s="106"/>
      <c r="DB143" s="106"/>
      <c r="DC143" s="106"/>
      <c r="DD143" s="106"/>
      <c r="DE143" s="106"/>
      <c r="DF143" s="106"/>
      <c r="DG143" s="106"/>
      <c r="DH143" s="106"/>
      <c r="DI143" s="106"/>
      <c r="DJ143" s="106"/>
      <c r="DK143" s="106"/>
      <c r="DL143" s="106"/>
      <c r="DM143" s="106"/>
    </row>
    <row r="144" spans="2:117" x14ac:dyDescent="0.3">
      <c r="B144" s="92" t="s">
        <v>1118</v>
      </c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  <c r="AW144" s="92"/>
      <c r="AX144" s="92"/>
      <c r="AY144" s="92"/>
      <c r="AZ144" s="92"/>
      <c r="BA144" s="92"/>
      <c r="BB144" s="92"/>
      <c r="BC144" s="92"/>
      <c r="BD144" s="92"/>
      <c r="BE144" s="92"/>
      <c r="BF144" s="92"/>
      <c r="BG144" s="92"/>
      <c r="BH144" s="92"/>
      <c r="BI144" s="92"/>
      <c r="BJ144" s="92"/>
      <c r="BK144" s="92"/>
      <c r="BL144" s="92"/>
      <c r="BM144" s="92"/>
      <c r="BN144" s="92"/>
      <c r="BO144" s="92"/>
      <c r="BP144" s="92"/>
      <c r="BQ144" s="92"/>
      <c r="BR144" s="92"/>
      <c r="BS144" s="92"/>
      <c r="BT144" s="92"/>
      <c r="BU144" s="92"/>
      <c r="BV144" s="92"/>
      <c r="BW144" s="92"/>
      <c r="BX144" s="92"/>
      <c r="BY144" s="92"/>
      <c r="BZ144" s="92"/>
      <c r="CA144" s="92"/>
      <c r="CB144" s="92"/>
      <c r="CC144" s="92"/>
      <c r="CD144" s="92"/>
      <c r="CE144" s="92"/>
      <c r="CF144" s="92"/>
      <c r="CG144" s="92"/>
      <c r="CH144" s="92"/>
      <c r="CI144" s="92"/>
      <c r="CJ144" s="92"/>
      <c r="CK144" s="92"/>
      <c r="CL144" s="92"/>
      <c r="CM144" s="92"/>
      <c r="CN144" s="92"/>
      <c r="CO144" s="92"/>
      <c r="CP144" s="92"/>
      <c r="CQ144" s="92"/>
      <c r="CR144" s="92"/>
      <c r="CS144" s="92"/>
      <c r="CT144" s="92">
        <v>1</v>
      </c>
      <c r="CU144" s="92"/>
      <c r="CV144" s="106"/>
      <c r="CW144" s="106"/>
      <c r="CX144" s="106"/>
      <c r="CY144" s="106"/>
      <c r="CZ144" s="106"/>
      <c r="DA144" s="106"/>
      <c r="DB144" s="106"/>
      <c r="DC144" s="106"/>
      <c r="DD144" s="106"/>
      <c r="DE144" s="106"/>
      <c r="DF144" s="106"/>
      <c r="DG144" s="106"/>
      <c r="DH144" s="106"/>
      <c r="DI144" s="106"/>
      <c r="DJ144" s="106"/>
      <c r="DK144" s="106"/>
      <c r="DL144" s="106"/>
      <c r="DM144" s="106"/>
    </row>
    <row r="145" spans="2:117" x14ac:dyDescent="0.3">
      <c r="B145" s="92" t="s">
        <v>1119</v>
      </c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AY145" s="92"/>
      <c r="AZ145" s="92"/>
      <c r="BA145" s="92"/>
      <c r="BB145" s="92"/>
      <c r="BC145" s="92"/>
      <c r="BD145" s="92"/>
      <c r="BE145" s="92"/>
      <c r="BF145" s="92"/>
      <c r="BG145" s="92"/>
      <c r="BH145" s="92"/>
      <c r="BI145" s="92"/>
      <c r="BJ145" s="92"/>
      <c r="BK145" s="92"/>
      <c r="BL145" s="92"/>
      <c r="BM145" s="92"/>
      <c r="BN145" s="92"/>
      <c r="BO145" s="92"/>
      <c r="BP145" s="92"/>
      <c r="BQ145" s="92"/>
      <c r="BR145" s="92"/>
      <c r="BS145" s="92"/>
      <c r="BT145" s="92"/>
      <c r="BU145" s="92"/>
      <c r="BV145" s="92"/>
      <c r="BW145" s="92"/>
      <c r="BX145" s="92"/>
      <c r="BY145" s="92"/>
      <c r="BZ145" s="92"/>
      <c r="CA145" s="92"/>
      <c r="CB145" s="92"/>
      <c r="CC145" s="92"/>
      <c r="CD145" s="92"/>
      <c r="CE145" s="92"/>
      <c r="CF145" s="92"/>
      <c r="CG145" s="92"/>
      <c r="CH145" s="92"/>
      <c r="CI145" s="92"/>
      <c r="CJ145" s="92"/>
      <c r="CK145" s="92"/>
      <c r="CL145" s="92"/>
      <c r="CM145" s="92"/>
      <c r="CN145" s="92"/>
      <c r="CO145" s="92"/>
      <c r="CP145" s="92"/>
      <c r="CQ145" s="92"/>
      <c r="CR145" s="92"/>
      <c r="CS145" s="92"/>
      <c r="CT145" s="92"/>
      <c r="CU145" s="92">
        <v>1</v>
      </c>
      <c r="CV145" s="106"/>
      <c r="CW145" s="106"/>
      <c r="CX145" s="106"/>
      <c r="CY145" s="106"/>
      <c r="CZ145" s="106"/>
      <c r="DA145" s="106"/>
      <c r="DB145" s="106"/>
      <c r="DC145" s="106"/>
      <c r="DD145" s="106"/>
      <c r="DE145" s="106"/>
      <c r="DF145" s="106"/>
      <c r="DG145" s="106"/>
      <c r="DH145" s="106"/>
      <c r="DI145" s="106"/>
      <c r="DJ145" s="106"/>
      <c r="DK145" s="106"/>
      <c r="DL145" s="106"/>
      <c r="DM145" s="106"/>
    </row>
    <row r="146" spans="2:117" x14ac:dyDescent="0.3">
      <c r="B146" s="106" t="s">
        <v>1084</v>
      </c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06"/>
      <c r="BC146" s="106"/>
      <c r="BD146" s="106"/>
      <c r="BE146" s="106"/>
      <c r="BF146" s="106"/>
      <c r="BG146" s="106"/>
      <c r="BH146" s="106"/>
      <c r="BI146" s="106"/>
      <c r="BJ146" s="106"/>
      <c r="BK146" s="106"/>
      <c r="BL146" s="106"/>
      <c r="BM146" s="106"/>
      <c r="BN146" s="106"/>
      <c r="BO146" s="106"/>
      <c r="BP146" s="106"/>
      <c r="BQ146" s="106"/>
      <c r="BR146" s="106"/>
      <c r="BS146" s="106"/>
      <c r="BT146" s="106"/>
      <c r="BU146" s="106"/>
      <c r="BV146" s="106"/>
      <c r="BW146" s="106"/>
      <c r="BX146" s="106"/>
      <c r="BY146" s="106"/>
      <c r="BZ146" s="106"/>
      <c r="CA146" s="106"/>
      <c r="CB146" s="106"/>
      <c r="CC146" s="106"/>
      <c r="CD146" s="106"/>
      <c r="CE146" s="106"/>
      <c r="CF146" s="106"/>
      <c r="CG146" s="106"/>
      <c r="CH146" s="106"/>
      <c r="CI146" s="106"/>
      <c r="CJ146" s="106"/>
      <c r="CK146" s="106"/>
      <c r="CL146" s="106"/>
      <c r="CM146" s="106"/>
      <c r="CN146" s="106"/>
      <c r="CO146" s="106"/>
      <c r="CP146" s="106"/>
      <c r="CQ146" s="106"/>
      <c r="CR146" s="106"/>
      <c r="CS146" s="106"/>
      <c r="CT146" s="106"/>
      <c r="CU146" s="106"/>
      <c r="CV146" s="106">
        <v>1</v>
      </c>
      <c r="CW146" s="106"/>
      <c r="CX146" s="106"/>
      <c r="CY146" s="106"/>
      <c r="CZ146" s="106"/>
      <c r="DA146" s="106"/>
      <c r="DB146" s="106"/>
      <c r="DC146" s="106"/>
      <c r="DD146" s="106"/>
      <c r="DE146" s="106"/>
      <c r="DF146" s="106"/>
      <c r="DG146" s="106"/>
      <c r="DH146" s="106"/>
      <c r="DI146" s="106"/>
      <c r="DJ146" s="106"/>
      <c r="DK146" s="106"/>
      <c r="DL146" s="106"/>
      <c r="DM146" s="106"/>
    </row>
    <row r="147" spans="2:117" x14ac:dyDescent="0.3">
      <c r="B147" s="106" t="s">
        <v>1085</v>
      </c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06"/>
      <c r="BC147" s="106"/>
      <c r="BD147" s="106"/>
      <c r="BE147" s="106"/>
      <c r="BF147" s="106"/>
      <c r="BG147" s="106"/>
      <c r="BH147" s="106"/>
      <c r="BI147" s="106"/>
      <c r="BJ147" s="106"/>
      <c r="BK147" s="106"/>
      <c r="BL147" s="106"/>
      <c r="BM147" s="106"/>
      <c r="BN147" s="106"/>
      <c r="BO147" s="106"/>
      <c r="BP147" s="106"/>
      <c r="BQ147" s="106"/>
      <c r="BR147" s="106"/>
      <c r="BS147" s="106"/>
      <c r="BT147" s="106"/>
      <c r="BU147" s="106"/>
      <c r="BV147" s="106"/>
      <c r="BW147" s="106"/>
      <c r="BX147" s="106"/>
      <c r="BY147" s="106"/>
      <c r="BZ147" s="106"/>
      <c r="CA147" s="106"/>
      <c r="CB147" s="106"/>
      <c r="CC147" s="106"/>
      <c r="CD147" s="106"/>
      <c r="CE147" s="106"/>
      <c r="CF147" s="106"/>
      <c r="CG147" s="106"/>
      <c r="CH147" s="106"/>
      <c r="CI147" s="106"/>
      <c r="CJ147" s="106"/>
      <c r="CK147" s="106"/>
      <c r="CL147" s="106"/>
      <c r="CM147" s="106"/>
      <c r="CN147" s="106"/>
      <c r="CO147" s="106"/>
      <c r="CP147" s="106"/>
      <c r="CQ147" s="106"/>
      <c r="CR147" s="106"/>
      <c r="CS147" s="106"/>
      <c r="CT147" s="106"/>
      <c r="CU147" s="106"/>
      <c r="CV147" s="106"/>
      <c r="CW147" s="106">
        <v>1</v>
      </c>
      <c r="CX147" s="106"/>
      <c r="CY147" s="106"/>
      <c r="CZ147" s="106"/>
      <c r="DA147" s="106"/>
      <c r="DB147" s="106"/>
      <c r="DC147" s="106"/>
      <c r="DD147" s="106"/>
      <c r="DE147" s="106"/>
      <c r="DF147" s="106"/>
      <c r="DG147" s="106"/>
      <c r="DH147" s="106"/>
      <c r="DI147" s="106"/>
      <c r="DJ147" s="106"/>
      <c r="DK147" s="106"/>
      <c r="DL147" s="106"/>
      <c r="DM147" s="106"/>
    </row>
    <row r="148" spans="2:117" x14ac:dyDescent="0.3">
      <c r="B148" s="106" t="s">
        <v>1086</v>
      </c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06"/>
      <c r="BC148" s="106"/>
      <c r="BD148" s="106"/>
      <c r="BE148" s="106"/>
      <c r="BF148" s="106"/>
      <c r="BG148" s="106"/>
      <c r="BH148" s="106"/>
      <c r="BI148" s="106"/>
      <c r="BJ148" s="106"/>
      <c r="BK148" s="106"/>
      <c r="BL148" s="106"/>
      <c r="BM148" s="106"/>
      <c r="BN148" s="106"/>
      <c r="BO148" s="106"/>
      <c r="BP148" s="106"/>
      <c r="BQ148" s="106"/>
      <c r="BR148" s="106"/>
      <c r="BS148" s="106"/>
      <c r="BT148" s="106"/>
      <c r="BU148" s="106"/>
      <c r="BV148" s="106"/>
      <c r="BW148" s="106"/>
      <c r="BX148" s="106"/>
      <c r="BY148" s="106"/>
      <c r="BZ148" s="106"/>
      <c r="CA148" s="106"/>
      <c r="CB148" s="106"/>
      <c r="CC148" s="106"/>
      <c r="CD148" s="106"/>
      <c r="CE148" s="106"/>
      <c r="CF148" s="106"/>
      <c r="CG148" s="106"/>
      <c r="CH148" s="106"/>
      <c r="CI148" s="106"/>
      <c r="CJ148" s="106"/>
      <c r="CK148" s="106"/>
      <c r="CL148" s="106"/>
      <c r="CM148" s="106"/>
      <c r="CN148" s="106"/>
      <c r="CO148" s="106"/>
      <c r="CP148" s="106"/>
      <c r="CQ148" s="106"/>
      <c r="CR148" s="106"/>
      <c r="CS148" s="106"/>
      <c r="CT148" s="106"/>
      <c r="CU148" s="106"/>
      <c r="CV148" s="106"/>
      <c r="CW148" s="106"/>
      <c r="CX148" s="106">
        <v>1</v>
      </c>
      <c r="CY148" s="106"/>
      <c r="CZ148" s="106"/>
      <c r="DA148" s="106"/>
      <c r="DB148" s="106"/>
      <c r="DC148" s="106"/>
      <c r="DD148" s="106"/>
      <c r="DE148" s="106"/>
      <c r="DF148" s="106"/>
      <c r="DG148" s="106"/>
      <c r="DH148" s="106"/>
      <c r="DI148" s="106"/>
      <c r="DJ148" s="106"/>
      <c r="DK148" s="106"/>
      <c r="DL148" s="106"/>
      <c r="DM148" s="106"/>
    </row>
    <row r="149" spans="2:117" x14ac:dyDescent="0.3">
      <c r="B149" s="106" t="s">
        <v>1087</v>
      </c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  <c r="BC149" s="106"/>
      <c r="BD149" s="106"/>
      <c r="BE149" s="106"/>
      <c r="BF149" s="106"/>
      <c r="BG149" s="106"/>
      <c r="BH149" s="106"/>
      <c r="BI149" s="106"/>
      <c r="BJ149" s="106"/>
      <c r="BK149" s="106"/>
      <c r="BL149" s="106"/>
      <c r="BM149" s="106"/>
      <c r="BN149" s="106"/>
      <c r="BO149" s="106"/>
      <c r="BP149" s="106"/>
      <c r="BQ149" s="106"/>
      <c r="BR149" s="106"/>
      <c r="BS149" s="106"/>
      <c r="BT149" s="106"/>
      <c r="BU149" s="106"/>
      <c r="BV149" s="106"/>
      <c r="BW149" s="106"/>
      <c r="BX149" s="106"/>
      <c r="BY149" s="106"/>
      <c r="BZ149" s="106"/>
      <c r="CA149" s="106"/>
      <c r="CB149" s="106"/>
      <c r="CC149" s="106"/>
      <c r="CD149" s="106"/>
      <c r="CE149" s="106"/>
      <c r="CF149" s="106"/>
      <c r="CG149" s="106"/>
      <c r="CH149" s="106"/>
      <c r="CI149" s="106"/>
      <c r="CJ149" s="106"/>
      <c r="CK149" s="106"/>
      <c r="CL149" s="106"/>
      <c r="CM149" s="106"/>
      <c r="CN149" s="106"/>
      <c r="CO149" s="106"/>
      <c r="CP149" s="106"/>
      <c r="CQ149" s="106"/>
      <c r="CR149" s="106"/>
      <c r="CS149" s="106"/>
      <c r="CT149" s="106"/>
      <c r="CU149" s="106"/>
      <c r="CV149" s="106"/>
      <c r="CW149" s="106"/>
      <c r="CX149" s="106"/>
      <c r="CY149" s="106">
        <v>1</v>
      </c>
      <c r="CZ149" s="106"/>
      <c r="DA149" s="106"/>
      <c r="DB149" s="106"/>
      <c r="DC149" s="106"/>
      <c r="DD149" s="106"/>
      <c r="DE149" s="106"/>
      <c r="DF149" s="106"/>
      <c r="DG149" s="106"/>
      <c r="DH149" s="106"/>
      <c r="DI149" s="106"/>
      <c r="DJ149" s="106"/>
      <c r="DK149" s="106"/>
      <c r="DL149" s="106"/>
      <c r="DM149" s="106"/>
    </row>
    <row r="150" spans="2:117" x14ac:dyDescent="0.3">
      <c r="B150" s="106" t="s">
        <v>1088</v>
      </c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06"/>
      <c r="BC150" s="106"/>
      <c r="BD150" s="106"/>
      <c r="BE150" s="106"/>
      <c r="BF150" s="106"/>
      <c r="BG150" s="106"/>
      <c r="BH150" s="106"/>
      <c r="BI150" s="106"/>
      <c r="BJ150" s="106"/>
      <c r="BK150" s="106"/>
      <c r="BL150" s="106"/>
      <c r="BM150" s="106"/>
      <c r="BN150" s="106"/>
      <c r="BO150" s="106"/>
      <c r="BP150" s="106"/>
      <c r="BQ150" s="106"/>
      <c r="BR150" s="106"/>
      <c r="BS150" s="106"/>
      <c r="BT150" s="106"/>
      <c r="BU150" s="106"/>
      <c r="BV150" s="106"/>
      <c r="BW150" s="106"/>
      <c r="BX150" s="106"/>
      <c r="BY150" s="106"/>
      <c r="BZ150" s="106"/>
      <c r="CA150" s="106"/>
      <c r="CB150" s="106"/>
      <c r="CC150" s="106"/>
      <c r="CD150" s="106"/>
      <c r="CE150" s="106"/>
      <c r="CF150" s="106"/>
      <c r="CG150" s="106"/>
      <c r="CH150" s="106"/>
      <c r="CI150" s="106"/>
      <c r="CJ150" s="106"/>
      <c r="CK150" s="106"/>
      <c r="CL150" s="106"/>
      <c r="CM150" s="106"/>
      <c r="CN150" s="106"/>
      <c r="CO150" s="106"/>
      <c r="CP150" s="106"/>
      <c r="CQ150" s="106"/>
      <c r="CR150" s="106"/>
      <c r="CS150" s="106"/>
      <c r="CT150" s="106"/>
      <c r="CU150" s="106"/>
      <c r="CV150" s="106"/>
      <c r="CW150" s="106"/>
      <c r="CX150" s="106"/>
      <c r="CY150" s="106"/>
      <c r="CZ150" s="106">
        <v>1</v>
      </c>
      <c r="DA150" s="106"/>
      <c r="DB150" s="106"/>
      <c r="DC150" s="106"/>
      <c r="DD150" s="106"/>
      <c r="DE150" s="106"/>
      <c r="DF150" s="106"/>
      <c r="DG150" s="106"/>
      <c r="DH150" s="106"/>
      <c r="DI150" s="106"/>
      <c r="DJ150" s="106"/>
      <c r="DK150" s="106"/>
      <c r="DL150" s="106"/>
      <c r="DM150" s="106"/>
    </row>
    <row r="151" spans="2:117" x14ac:dyDescent="0.3">
      <c r="B151" s="106" t="s">
        <v>1089</v>
      </c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  <c r="BM151" s="106"/>
      <c r="BN151" s="106"/>
      <c r="BO151" s="106"/>
      <c r="BP151" s="106"/>
      <c r="BQ151" s="106"/>
      <c r="BR151" s="106"/>
      <c r="BS151" s="106"/>
      <c r="BT151" s="106"/>
      <c r="BU151" s="106"/>
      <c r="BV151" s="106"/>
      <c r="BW151" s="106"/>
      <c r="BX151" s="106"/>
      <c r="BY151" s="106"/>
      <c r="BZ151" s="106"/>
      <c r="CA151" s="106"/>
      <c r="CB151" s="106"/>
      <c r="CC151" s="106"/>
      <c r="CD151" s="106"/>
      <c r="CE151" s="106"/>
      <c r="CF151" s="106"/>
      <c r="CG151" s="106"/>
      <c r="CH151" s="106"/>
      <c r="CI151" s="106"/>
      <c r="CJ151" s="106"/>
      <c r="CK151" s="106"/>
      <c r="CL151" s="106"/>
      <c r="CM151" s="106"/>
      <c r="CN151" s="106"/>
      <c r="CO151" s="106"/>
      <c r="CP151" s="106"/>
      <c r="CQ151" s="106"/>
      <c r="CR151" s="106"/>
      <c r="CS151" s="106"/>
      <c r="CT151" s="106"/>
      <c r="CU151" s="106"/>
      <c r="CV151" s="106"/>
      <c r="CW151" s="106"/>
      <c r="CX151" s="106"/>
      <c r="CY151" s="106"/>
      <c r="CZ151" s="106"/>
      <c r="DA151" s="106">
        <v>1</v>
      </c>
      <c r="DB151" s="106"/>
      <c r="DC151" s="106"/>
      <c r="DD151" s="106"/>
      <c r="DE151" s="106"/>
      <c r="DF151" s="106"/>
      <c r="DG151" s="106"/>
      <c r="DH151" s="106"/>
      <c r="DI151" s="106"/>
      <c r="DJ151" s="106"/>
      <c r="DK151" s="106"/>
      <c r="DL151" s="106"/>
      <c r="DM151" s="106"/>
    </row>
    <row r="152" spans="2:117" x14ac:dyDescent="0.3">
      <c r="B152" s="106" t="s">
        <v>1090</v>
      </c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  <c r="BM152" s="106"/>
      <c r="BN152" s="106"/>
      <c r="BO152" s="106"/>
      <c r="BP152" s="106"/>
      <c r="BQ152" s="106"/>
      <c r="BR152" s="106"/>
      <c r="BS152" s="106"/>
      <c r="BT152" s="106"/>
      <c r="BU152" s="106"/>
      <c r="BV152" s="106"/>
      <c r="BW152" s="106"/>
      <c r="BX152" s="106"/>
      <c r="BY152" s="106"/>
      <c r="BZ152" s="106"/>
      <c r="CA152" s="106"/>
      <c r="CB152" s="106"/>
      <c r="CC152" s="106"/>
      <c r="CD152" s="106"/>
      <c r="CE152" s="106"/>
      <c r="CF152" s="106"/>
      <c r="CG152" s="106"/>
      <c r="CH152" s="106"/>
      <c r="CI152" s="106"/>
      <c r="CJ152" s="106"/>
      <c r="CK152" s="106"/>
      <c r="CL152" s="106"/>
      <c r="CM152" s="106"/>
      <c r="CN152" s="106"/>
      <c r="CO152" s="106"/>
      <c r="CP152" s="106"/>
      <c r="CQ152" s="106"/>
      <c r="CR152" s="106"/>
      <c r="CS152" s="106"/>
      <c r="CT152" s="106"/>
      <c r="CU152" s="106"/>
      <c r="CV152" s="106"/>
      <c r="CW152" s="106"/>
      <c r="CX152" s="106"/>
      <c r="CY152" s="106"/>
      <c r="CZ152" s="106"/>
      <c r="DA152" s="106"/>
      <c r="DB152" s="106">
        <v>1</v>
      </c>
      <c r="DC152" s="106"/>
      <c r="DD152" s="106"/>
      <c r="DE152" s="106"/>
      <c r="DF152" s="106"/>
      <c r="DG152" s="106"/>
      <c r="DH152" s="106"/>
      <c r="DI152" s="106"/>
      <c r="DJ152" s="106"/>
      <c r="DK152" s="106"/>
      <c r="DL152" s="106"/>
      <c r="DM152" s="106"/>
    </row>
    <row r="153" spans="2:117" x14ac:dyDescent="0.3">
      <c r="B153" s="106" t="s">
        <v>1091</v>
      </c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06"/>
      <c r="BC153" s="106"/>
      <c r="BD153" s="106"/>
      <c r="BE153" s="106"/>
      <c r="BF153" s="106"/>
      <c r="BG153" s="106"/>
      <c r="BH153" s="106"/>
      <c r="BI153" s="106"/>
      <c r="BJ153" s="106"/>
      <c r="BK153" s="106"/>
      <c r="BL153" s="106"/>
      <c r="BM153" s="106"/>
      <c r="BN153" s="106"/>
      <c r="BO153" s="106"/>
      <c r="BP153" s="106"/>
      <c r="BQ153" s="106"/>
      <c r="BR153" s="106"/>
      <c r="BS153" s="106"/>
      <c r="BT153" s="106"/>
      <c r="BU153" s="106"/>
      <c r="BV153" s="106"/>
      <c r="BW153" s="106"/>
      <c r="BX153" s="106"/>
      <c r="BY153" s="106"/>
      <c r="BZ153" s="106"/>
      <c r="CA153" s="106"/>
      <c r="CB153" s="106"/>
      <c r="CC153" s="106"/>
      <c r="CD153" s="106"/>
      <c r="CE153" s="106"/>
      <c r="CF153" s="106"/>
      <c r="CG153" s="106"/>
      <c r="CH153" s="106"/>
      <c r="CI153" s="106"/>
      <c r="CJ153" s="106"/>
      <c r="CK153" s="106"/>
      <c r="CL153" s="106"/>
      <c r="CM153" s="106"/>
      <c r="CN153" s="106"/>
      <c r="CO153" s="106"/>
      <c r="CP153" s="106"/>
      <c r="CQ153" s="106"/>
      <c r="CR153" s="106"/>
      <c r="CS153" s="106"/>
      <c r="CT153" s="106"/>
      <c r="CU153" s="106"/>
      <c r="CV153" s="106"/>
      <c r="CW153" s="106"/>
      <c r="CX153" s="106"/>
      <c r="CY153" s="106"/>
      <c r="CZ153" s="106"/>
      <c r="DA153" s="106"/>
      <c r="DB153" s="106"/>
      <c r="DC153" s="106">
        <v>1</v>
      </c>
      <c r="DD153" s="106"/>
      <c r="DE153" s="106"/>
      <c r="DF153" s="106"/>
      <c r="DG153" s="106"/>
      <c r="DH153" s="106"/>
      <c r="DI153" s="106"/>
      <c r="DJ153" s="106"/>
      <c r="DK153" s="106"/>
      <c r="DL153" s="106"/>
      <c r="DM153" s="106"/>
    </row>
    <row r="154" spans="2:117" x14ac:dyDescent="0.3">
      <c r="B154" s="106" t="s">
        <v>1092</v>
      </c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6"/>
      <c r="BH154" s="106"/>
      <c r="BI154" s="106"/>
      <c r="BJ154" s="106"/>
      <c r="BK154" s="106"/>
      <c r="BL154" s="106"/>
      <c r="BM154" s="106"/>
      <c r="BN154" s="106"/>
      <c r="BO154" s="106"/>
      <c r="BP154" s="106"/>
      <c r="BQ154" s="106"/>
      <c r="BR154" s="106"/>
      <c r="BS154" s="106"/>
      <c r="BT154" s="106"/>
      <c r="BU154" s="106"/>
      <c r="BV154" s="106"/>
      <c r="BW154" s="106"/>
      <c r="BX154" s="106"/>
      <c r="BY154" s="106"/>
      <c r="BZ154" s="106"/>
      <c r="CA154" s="106"/>
      <c r="CB154" s="106"/>
      <c r="CC154" s="106"/>
      <c r="CD154" s="106"/>
      <c r="CE154" s="106"/>
      <c r="CF154" s="106"/>
      <c r="CG154" s="106"/>
      <c r="CH154" s="106"/>
      <c r="CI154" s="106"/>
      <c r="CJ154" s="106"/>
      <c r="CK154" s="106"/>
      <c r="CL154" s="106"/>
      <c r="CM154" s="106"/>
      <c r="CN154" s="106"/>
      <c r="CO154" s="106"/>
      <c r="CP154" s="106"/>
      <c r="CQ154" s="106"/>
      <c r="CR154" s="106"/>
      <c r="CS154" s="106"/>
      <c r="CT154" s="106"/>
      <c r="CU154" s="106"/>
      <c r="CV154" s="106"/>
      <c r="CW154" s="106"/>
      <c r="CX154" s="106"/>
      <c r="CY154" s="106"/>
      <c r="CZ154" s="106"/>
      <c r="DA154" s="106"/>
      <c r="DB154" s="106"/>
      <c r="DC154" s="106"/>
      <c r="DD154" s="106">
        <v>1</v>
      </c>
      <c r="DE154" s="106"/>
      <c r="DF154" s="106"/>
      <c r="DG154" s="106"/>
      <c r="DH154" s="106"/>
      <c r="DI154" s="106"/>
      <c r="DJ154" s="106"/>
      <c r="DK154" s="106"/>
      <c r="DL154" s="106"/>
      <c r="DM154" s="106"/>
    </row>
    <row r="155" spans="2:117" x14ac:dyDescent="0.3">
      <c r="B155" s="106" t="s">
        <v>1093</v>
      </c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06"/>
      <c r="BE155" s="106"/>
      <c r="BF155" s="106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06"/>
      <c r="BS155" s="106"/>
      <c r="BT155" s="106"/>
      <c r="BU155" s="106"/>
      <c r="BV155" s="106"/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106"/>
      <c r="CG155" s="106"/>
      <c r="CH155" s="106"/>
      <c r="CI155" s="106"/>
      <c r="CJ155" s="106"/>
      <c r="CK155" s="106"/>
      <c r="CL155" s="106"/>
      <c r="CM155" s="106"/>
      <c r="CN155" s="106"/>
      <c r="CO155" s="106"/>
      <c r="CP155" s="106"/>
      <c r="CQ155" s="106"/>
      <c r="CR155" s="106"/>
      <c r="CS155" s="106"/>
      <c r="CT155" s="106"/>
      <c r="CU155" s="106"/>
      <c r="CV155" s="106"/>
      <c r="CW155" s="106"/>
      <c r="CX155" s="106"/>
      <c r="CY155" s="106"/>
      <c r="CZ155" s="106"/>
      <c r="DA155" s="106"/>
      <c r="DB155" s="106"/>
      <c r="DC155" s="106"/>
      <c r="DD155" s="106"/>
      <c r="DE155" s="106">
        <v>1</v>
      </c>
      <c r="DF155" s="106"/>
      <c r="DG155" s="106"/>
      <c r="DH155" s="106"/>
      <c r="DI155" s="106"/>
      <c r="DJ155" s="106"/>
      <c r="DK155" s="106"/>
      <c r="DL155" s="106"/>
      <c r="DM155" s="106"/>
    </row>
    <row r="156" spans="2:117" x14ac:dyDescent="0.3">
      <c r="B156" s="106" t="s">
        <v>1094</v>
      </c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  <c r="BM156" s="106"/>
      <c r="BN156" s="106"/>
      <c r="BO156" s="106"/>
      <c r="BP156" s="106"/>
      <c r="BQ156" s="106"/>
      <c r="BR156" s="106"/>
      <c r="BS156" s="106"/>
      <c r="BT156" s="106"/>
      <c r="BU156" s="106"/>
      <c r="BV156" s="106"/>
      <c r="BW156" s="106"/>
      <c r="BX156" s="106"/>
      <c r="BY156" s="106"/>
      <c r="BZ156" s="106"/>
      <c r="CA156" s="106"/>
      <c r="CB156" s="106"/>
      <c r="CC156" s="106"/>
      <c r="CD156" s="106"/>
      <c r="CE156" s="106"/>
      <c r="CF156" s="106"/>
      <c r="CG156" s="106"/>
      <c r="CH156" s="106"/>
      <c r="CI156" s="106"/>
      <c r="CJ156" s="106"/>
      <c r="CK156" s="106"/>
      <c r="CL156" s="106"/>
      <c r="CM156" s="106"/>
      <c r="CN156" s="106"/>
      <c r="CO156" s="106"/>
      <c r="CP156" s="106"/>
      <c r="CQ156" s="106"/>
      <c r="CR156" s="106"/>
      <c r="CS156" s="106"/>
      <c r="CT156" s="106"/>
      <c r="CU156" s="106"/>
      <c r="CV156" s="106"/>
      <c r="CW156" s="106"/>
      <c r="CX156" s="106"/>
      <c r="CY156" s="106"/>
      <c r="CZ156" s="106"/>
      <c r="DA156" s="106"/>
      <c r="DB156" s="106"/>
      <c r="DC156" s="106"/>
      <c r="DD156" s="106"/>
      <c r="DE156" s="106"/>
      <c r="DF156" s="106">
        <v>1</v>
      </c>
      <c r="DG156" s="106"/>
      <c r="DH156" s="106"/>
      <c r="DI156" s="106"/>
      <c r="DJ156" s="106"/>
      <c r="DK156" s="106"/>
      <c r="DL156" s="106"/>
      <c r="DM156" s="106"/>
    </row>
    <row r="157" spans="2:117" x14ac:dyDescent="0.3">
      <c r="B157" s="106" t="s">
        <v>1095</v>
      </c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06"/>
      <c r="BD157" s="106"/>
      <c r="BE157" s="106"/>
      <c r="BF157" s="106"/>
      <c r="BG157" s="106"/>
      <c r="BH157" s="106"/>
      <c r="BI157" s="106"/>
      <c r="BJ157" s="106"/>
      <c r="BK157" s="106"/>
      <c r="BL157" s="106"/>
      <c r="BM157" s="106"/>
      <c r="BN157" s="106"/>
      <c r="BO157" s="106"/>
      <c r="BP157" s="106"/>
      <c r="BQ157" s="106"/>
      <c r="BR157" s="106"/>
      <c r="BS157" s="106"/>
      <c r="BT157" s="106"/>
      <c r="BU157" s="106"/>
      <c r="BV157" s="106"/>
      <c r="BW157" s="106"/>
      <c r="BX157" s="106"/>
      <c r="BY157" s="106"/>
      <c r="BZ157" s="106"/>
      <c r="CA157" s="106"/>
      <c r="CB157" s="106"/>
      <c r="CC157" s="106"/>
      <c r="CD157" s="106"/>
      <c r="CE157" s="106"/>
      <c r="CF157" s="106"/>
      <c r="CG157" s="106"/>
      <c r="CH157" s="106"/>
      <c r="CI157" s="106"/>
      <c r="CJ157" s="106"/>
      <c r="CK157" s="106"/>
      <c r="CL157" s="106"/>
      <c r="CM157" s="106"/>
      <c r="CN157" s="106"/>
      <c r="CO157" s="106"/>
      <c r="CP157" s="106"/>
      <c r="CQ157" s="106"/>
      <c r="CR157" s="106"/>
      <c r="CS157" s="106"/>
      <c r="CT157" s="106"/>
      <c r="CU157" s="106"/>
      <c r="CV157" s="106"/>
      <c r="CW157" s="106"/>
      <c r="CX157" s="106"/>
      <c r="CY157" s="106"/>
      <c r="CZ157" s="106"/>
      <c r="DA157" s="106"/>
      <c r="DB157" s="106"/>
      <c r="DC157" s="106"/>
      <c r="DD157" s="106"/>
      <c r="DE157" s="106"/>
      <c r="DF157" s="106"/>
      <c r="DG157" s="106">
        <v>1</v>
      </c>
      <c r="DH157" s="106"/>
      <c r="DI157" s="106"/>
      <c r="DJ157" s="106"/>
      <c r="DK157" s="106"/>
      <c r="DL157" s="106"/>
      <c r="DM157" s="106"/>
    </row>
    <row r="158" spans="2:117" x14ac:dyDescent="0.3">
      <c r="B158" s="106" t="s">
        <v>1096</v>
      </c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  <c r="BM158" s="106"/>
      <c r="BN158" s="106"/>
      <c r="BO158" s="106"/>
      <c r="BP158" s="106"/>
      <c r="BQ158" s="106"/>
      <c r="BR158" s="106"/>
      <c r="BS158" s="106"/>
      <c r="BT158" s="106"/>
      <c r="BU158" s="106"/>
      <c r="BV158" s="106"/>
      <c r="BW158" s="106"/>
      <c r="BX158" s="106"/>
      <c r="BY158" s="106"/>
      <c r="BZ158" s="106"/>
      <c r="CA158" s="106"/>
      <c r="CB158" s="106"/>
      <c r="CC158" s="106"/>
      <c r="CD158" s="106"/>
      <c r="CE158" s="106"/>
      <c r="CF158" s="106"/>
      <c r="CG158" s="106"/>
      <c r="CH158" s="106"/>
      <c r="CI158" s="106"/>
      <c r="CJ158" s="106"/>
      <c r="CK158" s="106"/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>
        <v>1</v>
      </c>
      <c r="DI158" s="106"/>
      <c r="DJ158" s="106"/>
      <c r="DK158" s="106"/>
      <c r="DL158" s="106"/>
      <c r="DM158" s="106"/>
    </row>
    <row r="159" spans="2:117" x14ac:dyDescent="0.3">
      <c r="B159" s="106" t="s">
        <v>1097</v>
      </c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06"/>
      <c r="BD159" s="106"/>
      <c r="BE159" s="106"/>
      <c r="BF159" s="106"/>
      <c r="BG159" s="106"/>
      <c r="BH159" s="106"/>
      <c r="BI159" s="106"/>
      <c r="BJ159" s="106"/>
      <c r="BK159" s="106"/>
      <c r="BL159" s="106"/>
      <c r="BM159" s="106"/>
      <c r="BN159" s="106"/>
      <c r="BO159" s="106"/>
      <c r="BP159" s="106"/>
      <c r="BQ159" s="106"/>
      <c r="BR159" s="106"/>
      <c r="BS159" s="106"/>
      <c r="BT159" s="106"/>
      <c r="BU159" s="106"/>
      <c r="BV159" s="106"/>
      <c r="BW159" s="106"/>
      <c r="BX159" s="106"/>
      <c r="BY159" s="106"/>
      <c r="BZ159" s="106"/>
      <c r="CA159" s="106"/>
      <c r="CB159" s="106"/>
      <c r="CC159" s="106"/>
      <c r="CD159" s="106"/>
      <c r="CE159" s="106"/>
      <c r="CF159" s="106"/>
      <c r="CG159" s="106"/>
      <c r="CH159" s="106"/>
      <c r="CI159" s="106"/>
      <c r="CJ159" s="106"/>
      <c r="CK159" s="106"/>
      <c r="CL159" s="106"/>
      <c r="CM159" s="106"/>
      <c r="CN159" s="106"/>
      <c r="CO159" s="106"/>
      <c r="CP159" s="106"/>
      <c r="CQ159" s="106"/>
      <c r="CR159" s="106"/>
      <c r="CS159" s="106"/>
      <c r="CT159" s="106"/>
      <c r="CU159" s="106"/>
      <c r="CV159" s="106"/>
      <c r="CW159" s="106"/>
      <c r="CX159" s="106"/>
      <c r="CY159" s="106"/>
      <c r="CZ159" s="106"/>
      <c r="DA159" s="106"/>
      <c r="DB159" s="106"/>
      <c r="DC159" s="106"/>
      <c r="DD159" s="106"/>
      <c r="DE159" s="106"/>
      <c r="DF159" s="106"/>
      <c r="DG159" s="106"/>
      <c r="DH159" s="106"/>
      <c r="DI159" s="106">
        <v>1</v>
      </c>
      <c r="DJ159" s="106"/>
      <c r="DK159" s="106"/>
      <c r="DL159" s="106"/>
      <c r="DM159" s="106"/>
    </row>
    <row r="160" spans="2:117" x14ac:dyDescent="0.3">
      <c r="B160" s="106" t="s">
        <v>1098</v>
      </c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106"/>
      <c r="BJ160" s="106"/>
      <c r="BK160" s="106"/>
      <c r="BL160" s="106"/>
      <c r="BM160" s="106"/>
      <c r="BN160" s="106"/>
      <c r="BO160" s="106"/>
      <c r="BP160" s="106"/>
      <c r="BQ160" s="106"/>
      <c r="BR160" s="106"/>
      <c r="BS160" s="106"/>
      <c r="BT160" s="106"/>
      <c r="BU160" s="106"/>
      <c r="BV160" s="106"/>
      <c r="BW160" s="106"/>
      <c r="BX160" s="106"/>
      <c r="BY160" s="106"/>
      <c r="BZ160" s="106"/>
      <c r="CA160" s="106"/>
      <c r="CB160" s="106"/>
      <c r="CC160" s="106"/>
      <c r="CD160" s="106"/>
      <c r="CE160" s="106"/>
      <c r="CF160" s="106"/>
      <c r="CG160" s="106"/>
      <c r="CH160" s="106"/>
      <c r="CI160" s="106"/>
      <c r="CJ160" s="106"/>
      <c r="CK160" s="106"/>
      <c r="CL160" s="106"/>
      <c r="CM160" s="106"/>
      <c r="CN160" s="106"/>
      <c r="CO160" s="106"/>
      <c r="CP160" s="106"/>
      <c r="CQ160" s="106"/>
      <c r="CR160" s="106"/>
      <c r="CS160" s="106"/>
      <c r="CT160" s="106"/>
      <c r="CU160" s="106"/>
      <c r="CV160" s="106"/>
      <c r="CW160" s="106"/>
      <c r="CX160" s="106"/>
      <c r="CY160" s="106"/>
      <c r="CZ160" s="106"/>
      <c r="DA160" s="106"/>
      <c r="DB160" s="106"/>
      <c r="DC160" s="106"/>
      <c r="DD160" s="106"/>
      <c r="DE160" s="106"/>
      <c r="DF160" s="106"/>
      <c r="DG160" s="106"/>
      <c r="DH160" s="106"/>
      <c r="DI160" s="106"/>
      <c r="DJ160" s="106">
        <v>1</v>
      </c>
      <c r="DK160" s="106"/>
      <c r="DL160" s="106"/>
      <c r="DM160" s="106"/>
    </row>
    <row r="161" spans="2:117" x14ac:dyDescent="0.3">
      <c r="B161" s="106" t="s">
        <v>1099</v>
      </c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  <c r="BM161" s="106"/>
      <c r="BN161" s="106"/>
      <c r="BO161" s="106"/>
      <c r="BP161" s="106"/>
      <c r="BQ161" s="106"/>
      <c r="BR161" s="106"/>
      <c r="BS161" s="106"/>
      <c r="BT161" s="106"/>
      <c r="BU161" s="106"/>
      <c r="BV161" s="106"/>
      <c r="BW161" s="106"/>
      <c r="BX161" s="106"/>
      <c r="BY161" s="106"/>
      <c r="BZ161" s="106"/>
      <c r="CA161" s="106"/>
      <c r="CB161" s="106"/>
      <c r="CC161" s="106"/>
      <c r="CD161" s="106"/>
      <c r="CE161" s="106"/>
      <c r="CF161" s="106"/>
      <c r="CG161" s="106"/>
      <c r="CH161" s="106"/>
      <c r="CI161" s="106"/>
      <c r="CJ161" s="106"/>
      <c r="CK161" s="106"/>
      <c r="CL161" s="106"/>
      <c r="CM161" s="106"/>
      <c r="CN161" s="106"/>
      <c r="CO161" s="106"/>
      <c r="CP161" s="106"/>
      <c r="CQ161" s="106"/>
      <c r="CR161" s="106"/>
      <c r="CS161" s="106"/>
      <c r="CT161" s="106"/>
      <c r="CU161" s="106"/>
      <c r="CV161" s="106"/>
      <c r="CW161" s="106"/>
      <c r="CX161" s="106"/>
      <c r="CY161" s="106"/>
      <c r="CZ161" s="106"/>
      <c r="DA161" s="106"/>
      <c r="DB161" s="106"/>
      <c r="DC161" s="106"/>
      <c r="DD161" s="106"/>
      <c r="DE161" s="106"/>
      <c r="DF161" s="106"/>
      <c r="DG161" s="106"/>
      <c r="DH161" s="106"/>
      <c r="DI161" s="106"/>
      <c r="DJ161" s="106"/>
      <c r="DK161" s="106">
        <v>1</v>
      </c>
      <c r="DL161" s="106"/>
      <c r="DM161" s="106"/>
    </row>
    <row r="162" spans="2:117" x14ac:dyDescent="0.3">
      <c r="B162" s="106" t="s">
        <v>1100</v>
      </c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06"/>
      <c r="BD162" s="106"/>
      <c r="BE162" s="106"/>
      <c r="BF162" s="106"/>
      <c r="BG162" s="106"/>
      <c r="BH162" s="106"/>
      <c r="BI162" s="106"/>
      <c r="BJ162" s="106"/>
      <c r="BK162" s="106"/>
      <c r="BL162" s="106"/>
      <c r="BM162" s="106"/>
      <c r="BN162" s="106"/>
      <c r="BO162" s="106"/>
      <c r="BP162" s="106"/>
      <c r="BQ162" s="106"/>
      <c r="BR162" s="106"/>
      <c r="BS162" s="106"/>
      <c r="BT162" s="106"/>
      <c r="BU162" s="106"/>
      <c r="BV162" s="106"/>
      <c r="BW162" s="106"/>
      <c r="BX162" s="106"/>
      <c r="BY162" s="106"/>
      <c r="BZ162" s="106"/>
      <c r="CA162" s="106"/>
      <c r="CB162" s="106"/>
      <c r="CC162" s="106"/>
      <c r="CD162" s="106"/>
      <c r="CE162" s="106"/>
      <c r="CF162" s="106"/>
      <c r="CG162" s="106"/>
      <c r="CH162" s="106"/>
      <c r="CI162" s="106"/>
      <c r="CJ162" s="106"/>
      <c r="CK162" s="106"/>
      <c r="CL162" s="106"/>
      <c r="CM162" s="106"/>
      <c r="CN162" s="106"/>
      <c r="CO162" s="106"/>
      <c r="CP162" s="106"/>
      <c r="CQ162" s="106"/>
      <c r="CR162" s="106"/>
      <c r="CS162" s="106"/>
      <c r="CT162" s="106"/>
      <c r="CU162" s="106"/>
      <c r="CV162" s="106"/>
      <c r="CW162" s="106"/>
      <c r="CX162" s="106"/>
      <c r="CY162" s="106"/>
      <c r="CZ162" s="106"/>
      <c r="DA162" s="106"/>
      <c r="DB162" s="106"/>
      <c r="DC162" s="106"/>
      <c r="DD162" s="106"/>
      <c r="DE162" s="106"/>
      <c r="DF162" s="106"/>
      <c r="DG162" s="106"/>
      <c r="DH162" s="106"/>
      <c r="DI162" s="106"/>
      <c r="DJ162" s="106"/>
      <c r="DK162" s="106"/>
      <c r="DL162" s="106">
        <v>1</v>
      </c>
      <c r="DM162" s="106"/>
    </row>
    <row r="163" spans="2:117" x14ac:dyDescent="0.3">
      <c r="B163" s="106" t="s">
        <v>1101</v>
      </c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06"/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106"/>
      <c r="CG163" s="106"/>
      <c r="CH163" s="106"/>
      <c r="CI163" s="106"/>
      <c r="CJ163" s="106"/>
      <c r="CK163" s="106"/>
      <c r="CL163" s="106"/>
      <c r="CM163" s="106"/>
      <c r="CN163" s="106"/>
      <c r="CO163" s="106"/>
      <c r="CP163" s="106"/>
      <c r="CQ163" s="106"/>
      <c r="CR163" s="106"/>
      <c r="CS163" s="106"/>
      <c r="CT163" s="106"/>
      <c r="CU163" s="106"/>
      <c r="CV163" s="106"/>
      <c r="CW163" s="106"/>
      <c r="CX163" s="106"/>
      <c r="CY163" s="106"/>
      <c r="CZ163" s="106"/>
      <c r="DA163" s="106"/>
      <c r="DB163" s="106"/>
      <c r="DC163" s="106"/>
      <c r="DD163" s="106"/>
      <c r="DE163" s="106"/>
      <c r="DF163" s="106"/>
      <c r="DG163" s="106"/>
      <c r="DH163" s="106"/>
      <c r="DI163" s="106"/>
      <c r="DJ163" s="106"/>
      <c r="DK163" s="106"/>
      <c r="DL163" s="106"/>
      <c r="DM163" s="106">
        <v>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1"/>
  <sheetViews>
    <sheetView workbookViewId="0">
      <selection activeCell="I3" sqref="I3"/>
    </sheetView>
  </sheetViews>
  <sheetFormatPr baseColWidth="10" defaultColWidth="8.88671875" defaultRowHeight="14.4" x14ac:dyDescent="0.3"/>
  <cols>
    <col min="4" max="4" width="20" customWidth="1"/>
    <col min="5" max="5" width="20.109375" customWidth="1"/>
  </cols>
  <sheetData>
    <row r="1" spans="1:10" s="42" customFormat="1" x14ac:dyDescent="0.3">
      <c r="B1" s="113" t="s">
        <v>1</v>
      </c>
      <c r="C1" s="113" t="s">
        <v>345</v>
      </c>
      <c r="D1" s="113" t="s">
        <v>345</v>
      </c>
      <c r="E1" s="113" t="s">
        <v>1257</v>
      </c>
      <c r="F1" s="4" t="s">
        <v>1257</v>
      </c>
      <c r="G1" s="4" t="s">
        <v>1193</v>
      </c>
      <c r="H1" s="114" t="s">
        <v>1259</v>
      </c>
      <c r="I1" s="114" t="s">
        <v>1430</v>
      </c>
      <c r="J1" s="114" t="s">
        <v>289</v>
      </c>
    </row>
    <row r="2" spans="1:10" x14ac:dyDescent="0.3">
      <c r="B2" s="4" t="s">
        <v>1431</v>
      </c>
      <c r="C2" s="4" t="s">
        <v>9</v>
      </c>
      <c r="D2" s="4" t="s">
        <v>10</v>
      </c>
      <c r="E2" s="4" t="s">
        <v>9</v>
      </c>
      <c r="F2" s="4" t="s">
        <v>10</v>
      </c>
      <c r="G2" s="4" t="s">
        <v>1260</v>
      </c>
      <c r="H2" s="4" t="s">
        <v>1260</v>
      </c>
      <c r="I2" s="4" t="s">
        <v>1431</v>
      </c>
      <c r="J2" s="4" t="s">
        <v>1260</v>
      </c>
    </row>
    <row r="3" spans="1:10" x14ac:dyDescent="0.3">
      <c r="A3" s="4" t="s">
        <v>1261</v>
      </c>
      <c r="B3">
        <v>0.05</v>
      </c>
      <c r="C3">
        <v>0.19580400000000003</v>
      </c>
      <c r="D3">
        <v>0.52214400000000005</v>
      </c>
      <c r="E3">
        <v>0.1</v>
      </c>
      <c r="F3">
        <v>0.8</v>
      </c>
      <c r="G3" s="2">
        <v>3.9388124892429988E-2</v>
      </c>
      <c r="H3">
        <v>0.31613999999999998</v>
      </c>
      <c r="I3">
        <v>0.1</v>
      </c>
    </row>
    <row r="4" spans="1:10" x14ac:dyDescent="0.3">
      <c r="A4" s="4" t="s">
        <v>1262</v>
      </c>
      <c r="B4">
        <v>0.05</v>
      </c>
      <c r="C4">
        <v>0.19580400000000003</v>
      </c>
      <c r="D4">
        <v>0.52214400000000005</v>
      </c>
      <c r="E4">
        <v>0.1</v>
      </c>
      <c r="F4">
        <v>0.8</v>
      </c>
      <c r="G4" s="2">
        <v>3.9388124892429988E-2</v>
      </c>
      <c r="H4">
        <v>2436.5030000000002</v>
      </c>
      <c r="I4">
        <v>0.1</v>
      </c>
    </row>
    <row r="5" spans="1:10" x14ac:dyDescent="0.3">
      <c r="A5" s="4" t="s">
        <v>1263</v>
      </c>
      <c r="B5">
        <v>0.05</v>
      </c>
      <c r="C5">
        <v>0.19580400000000003</v>
      </c>
      <c r="D5">
        <v>0.52214400000000005</v>
      </c>
      <c r="E5">
        <v>0.1</v>
      </c>
      <c r="F5">
        <v>0.8</v>
      </c>
      <c r="G5" s="2">
        <v>3.9388124892429988E-2</v>
      </c>
      <c r="H5">
        <v>1041.3209999999999</v>
      </c>
      <c r="I5">
        <v>0.1</v>
      </c>
    </row>
    <row r="6" spans="1:10" x14ac:dyDescent="0.3">
      <c r="A6" s="4" t="s">
        <v>1264</v>
      </c>
      <c r="B6">
        <v>0.05</v>
      </c>
      <c r="C6">
        <v>0.19580400000000003</v>
      </c>
      <c r="D6">
        <v>0.52214400000000005</v>
      </c>
      <c r="E6">
        <v>0.1</v>
      </c>
      <c r="F6">
        <v>0.8</v>
      </c>
      <c r="G6" s="2">
        <v>3.9388124892429988E-2</v>
      </c>
      <c r="I6">
        <v>0.1</v>
      </c>
    </row>
    <row r="7" spans="1:10" x14ac:dyDescent="0.3">
      <c r="A7" s="4" t="s">
        <v>1265</v>
      </c>
      <c r="B7">
        <v>0.05</v>
      </c>
      <c r="C7">
        <v>0.19580400000000003</v>
      </c>
      <c r="D7">
        <v>0.52214400000000005</v>
      </c>
      <c r="E7">
        <v>0.1</v>
      </c>
      <c r="F7">
        <v>0.8</v>
      </c>
      <c r="G7" s="2">
        <v>3.9388124892429988E-2</v>
      </c>
      <c r="I7">
        <v>0.1</v>
      </c>
    </row>
    <row r="8" spans="1:10" x14ac:dyDescent="0.3">
      <c r="A8" s="4" t="s">
        <v>1266</v>
      </c>
      <c r="B8">
        <v>0.05</v>
      </c>
      <c r="C8">
        <v>0.19580400000000003</v>
      </c>
      <c r="D8">
        <v>0.52214400000000005</v>
      </c>
      <c r="E8">
        <v>0.1</v>
      </c>
      <c r="F8">
        <v>0.8</v>
      </c>
      <c r="G8" s="2">
        <v>3.9388124892429988E-2</v>
      </c>
      <c r="I8">
        <v>0.1</v>
      </c>
    </row>
    <row r="9" spans="1:10" x14ac:dyDescent="0.3">
      <c r="A9" s="4" t="s">
        <v>1267</v>
      </c>
      <c r="B9">
        <v>0.05</v>
      </c>
      <c r="C9">
        <v>0.19580400000000003</v>
      </c>
      <c r="D9">
        <v>0.52214400000000005</v>
      </c>
      <c r="E9">
        <v>0.1</v>
      </c>
      <c r="F9">
        <v>0.8</v>
      </c>
      <c r="G9" s="2">
        <v>3.9388124892429988E-2</v>
      </c>
      <c r="H9">
        <v>2.6000000000000002E-2</v>
      </c>
      <c r="I9">
        <v>0.1</v>
      </c>
    </row>
    <row r="10" spans="1:10" x14ac:dyDescent="0.3">
      <c r="A10" s="4" t="s">
        <v>1268</v>
      </c>
      <c r="B10">
        <v>0.05</v>
      </c>
      <c r="C10">
        <v>0.19580400000000003</v>
      </c>
      <c r="D10">
        <v>0.52214400000000005</v>
      </c>
      <c r="E10">
        <v>0.1</v>
      </c>
      <c r="F10">
        <v>0.8</v>
      </c>
      <c r="G10" s="2">
        <v>3.9388124892429988E-2</v>
      </c>
      <c r="I10">
        <v>0.1</v>
      </c>
    </row>
    <row r="11" spans="1:10" x14ac:dyDescent="0.3">
      <c r="A11" s="4" t="s">
        <v>1269</v>
      </c>
      <c r="B11">
        <v>0.05</v>
      </c>
      <c r="C11">
        <v>0.19580400000000003</v>
      </c>
      <c r="D11">
        <v>0.52214400000000005</v>
      </c>
      <c r="E11">
        <v>0.1</v>
      </c>
      <c r="F11">
        <v>0.8</v>
      </c>
      <c r="G11" s="2">
        <v>9.8470312231074941E-2</v>
      </c>
      <c r="H11">
        <v>18858.30166666667</v>
      </c>
      <c r="I11">
        <v>0.1</v>
      </c>
    </row>
    <row r="12" spans="1:10" x14ac:dyDescent="0.3">
      <c r="A12" s="4" t="s">
        <v>1270</v>
      </c>
      <c r="B12">
        <v>0.05</v>
      </c>
      <c r="C12">
        <v>0.19580400000000003</v>
      </c>
      <c r="D12">
        <v>0.52214400000000005</v>
      </c>
      <c r="E12">
        <v>0.1</v>
      </c>
      <c r="F12">
        <v>0.8</v>
      </c>
      <c r="G12" s="2">
        <v>5.9082187338644968E-2</v>
      </c>
      <c r="H12">
        <v>533.41933333333338</v>
      </c>
      <c r="I12">
        <v>0.1</v>
      </c>
    </row>
    <row r="13" spans="1:10" x14ac:dyDescent="0.3">
      <c r="A13" s="4" t="s">
        <v>1271</v>
      </c>
      <c r="B13">
        <v>0.05</v>
      </c>
      <c r="C13">
        <v>0.19580400000000003</v>
      </c>
      <c r="D13">
        <v>0.52214400000000005</v>
      </c>
      <c r="E13">
        <v>0.1</v>
      </c>
      <c r="F13">
        <v>0.8</v>
      </c>
      <c r="G13" s="2">
        <v>9.8470312231074941E-2</v>
      </c>
      <c r="H13">
        <v>3595.4040800000002</v>
      </c>
      <c r="I13">
        <v>0.1</v>
      </c>
    </row>
    <row r="14" spans="1:10" x14ac:dyDescent="0.3">
      <c r="A14" s="4" t="s">
        <v>1272</v>
      </c>
      <c r="B14">
        <v>0.05</v>
      </c>
      <c r="C14">
        <v>0.19580400000000003</v>
      </c>
      <c r="D14">
        <v>0.52214400000000005</v>
      </c>
      <c r="E14">
        <v>0.1</v>
      </c>
      <c r="F14">
        <v>0.8</v>
      </c>
      <c r="G14" s="2">
        <v>9.8470312231074941E-2</v>
      </c>
      <c r="H14">
        <v>37.886499999999998</v>
      </c>
      <c r="I14">
        <v>0.1</v>
      </c>
    </row>
    <row r="15" spans="1:10" x14ac:dyDescent="0.3">
      <c r="A15" s="4" t="s">
        <v>1273</v>
      </c>
      <c r="B15">
        <v>0.05</v>
      </c>
      <c r="C15">
        <v>0.15000000000000002</v>
      </c>
      <c r="D15">
        <v>0.4</v>
      </c>
      <c r="E15">
        <v>0.1</v>
      </c>
      <c r="F15">
        <v>0.8</v>
      </c>
      <c r="G15" s="2">
        <v>3.9388124892429988E-2</v>
      </c>
      <c r="I15">
        <v>0.1</v>
      </c>
    </row>
    <row r="16" spans="1:10" x14ac:dyDescent="0.3">
      <c r="A16" s="4" t="s">
        <v>1274</v>
      </c>
      <c r="B16">
        <v>0.05</v>
      </c>
      <c r="C16">
        <v>0.15000000000000002</v>
      </c>
      <c r="D16">
        <v>0.4</v>
      </c>
      <c r="E16">
        <v>0.1</v>
      </c>
      <c r="F16">
        <v>0.8</v>
      </c>
      <c r="G16" s="2">
        <v>3.9388124892429988E-2</v>
      </c>
      <c r="I16">
        <v>0.1</v>
      </c>
    </row>
    <row r="17" spans="1:9" x14ac:dyDescent="0.3">
      <c r="A17" s="4" t="s">
        <v>1275</v>
      </c>
      <c r="B17">
        <v>0.05</v>
      </c>
      <c r="C17">
        <v>0.15000000000000002</v>
      </c>
      <c r="D17">
        <v>0.4</v>
      </c>
      <c r="E17">
        <v>0.1</v>
      </c>
      <c r="F17">
        <v>0.8</v>
      </c>
      <c r="G17" s="2">
        <v>3.9388124892429988E-2</v>
      </c>
      <c r="I17">
        <v>0.1</v>
      </c>
    </row>
    <row r="18" spans="1:9" x14ac:dyDescent="0.3">
      <c r="A18" s="4" t="s">
        <v>1276</v>
      </c>
      <c r="B18">
        <v>0.05</v>
      </c>
      <c r="C18">
        <v>0.15000000000000002</v>
      </c>
      <c r="D18">
        <v>0.4</v>
      </c>
      <c r="E18">
        <v>0.1</v>
      </c>
      <c r="F18">
        <v>0.8</v>
      </c>
      <c r="G18" s="2">
        <v>3.9388124892429988E-2</v>
      </c>
      <c r="I18">
        <v>0.1</v>
      </c>
    </row>
    <row r="19" spans="1:9" x14ac:dyDescent="0.3">
      <c r="A19" s="4" t="s">
        <v>1277</v>
      </c>
      <c r="B19">
        <v>0.05</v>
      </c>
      <c r="C19">
        <v>0.15000000000000002</v>
      </c>
      <c r="D19">
        <v>0.4</v>
      </c>
      <c r="E19">
        <v>0.1</v>
      </c>
      <c r="F19">
        <v>0.8</v>
      </c>
      <c r="G19" s="2">
        <v>3.9388124892429988E-2</v>
      </c>
      <c r="I19">
        <v>0.1</v>
      </c>
    </row>
    <row r="20" spans="1:9" x14ac:dyDescent="0.3">
      <c r="A20" s="4" t="s">
        <v>1278</v>
      </c>
      <c r="B20">
        <v>0.05</v>
      </c>
      <c r="C20">
        <v>0.15000000000000002</v>
      </c>
      <c r="D20">
        <v>0.4</v>
      </c>
      <c r="E20">
        <v>0.1</v>
      </c>
      <c r="F20">
        <v>0.8</v>
      </c>
      <c r="G20" s="2">
        <v>3.9388124892429988E-2</v>
      </c>
      <c r="I20">
        <v>0.1</v>
      </c>
    </row>
    <row r="21" spans="1:9" x14ac:dyDescent="0.3">
      <c r="A21" s="4" t="s">
        <v>1279</v>
      </c>
      <c r="B21">
        <v>0.05</v>
      </c>
      <c r="C21">
        <v>0.74</v>
      </c>
      <c r="D21">
        <v>2.2400000000000002</v>
      </c>
      <c r="E21">
        <v>0.1</v>
      </c>
      <c r="F21">
        <v>0.8</v>
      </c>
      <c r="G21" s="2">
        <v>3.9388124892429988E-2</v>
      </c>
      <c r="H21">
        <v>510.16535000000005</v>
      </c>
      <c r="I21">
        <v>0.1</v>
      </c>
    </row>
    <row r="22" spans="1:9" x14ac:dyDescent="0.3">
      <c r="A22" s="4" t="s">
        <v>1280</v>
      </c>
      <c r="B22">
        <v>0.05</v>
      </c>
      <c r="C22">
        <v>0.74</v>
      </c>
      <c r="D22">
        <v>2.2400000000000002</v>
      </c>
      <c r="E22">
        <v>0.1</v>
      </c>
      <c r="F22">
        <v>0.8</v>
      </c>
      <c r="G22" s="2">
        <v>3.9388124892429988E-2</v>
      </c>
      <c r="H22">
        <v>531.02216000000021</v>
      </c>
      <c r="I22">
        <v>0.1</v>
      </c>
    </row>
    <row r="23" spans="1:9" x14ac:dyDescent="0.3">
      <c r="A23" s="4" t="s">
        <v>1281</v>
      </c>
      <c r="B23">
        <v>0.05</v>
      </c>
      <c r="C23">
        <v>0.74</v>
      </c>
      <c r="D23">
        <v>2.2400000000000002</v>
      </c>
      <c r="E23">
        <v>0.1</v>
      </c>
      <c r="F23">
        <v>0.8</v>
      </c>
      <c r="G23" s="2">
        <v>3.9388124892429988E-2</v>
      </c>
      <c r="I23">
        <v>0.1</v>
      </c>
    </row>
    <row r="24" spans="1:9" x14ac:dyDescent="0.3">
      <c r="A24" s="4" t="s">
        <v>1282</v>
      </c>
      <c r="B24">
        <v>0.05</v>
      </c>
      <c r="C24">
        <v>0.74</v>
      </c>
      <c r="D24">
        <v>2.2400000000000002</v>
      </c>
      <c r="E24">
        <v>0.1</v>
      </c>
      <c r="F24">
        <v>0.8</v>
      </c>
      <c r="G24" s="2">
        <v>3.9388124892429988E-2</v>
      </c>
      <c r="I24">
        <v>0.1</v>
      </c>
    </row>
    <row r="25" spans="1:9" x14ac:dyDescent="0.3">
      <c r="A25" s="4" t="s">
        <v>1283</v>
      </c>
      <c r="B25">
        <v>0.05</v>
      </c>
      <c r="C25">
        <v>0.74</v>
      </c>
      <c r="D25">
        <v>2.2400000000000002</v>
      </c>
      <c r="E25">
        <v>0.1</v>
      </c>
      <c r="F25">
        <v>0.8</v>
      </c>
      <c r="G25" s="2">
        <v>3.9388124892429988E-2</v>
      </c>
      <c r="I25">
        <v>0.1</v>
      </c>
    </row>
    <row r="26" spans="1:9" x14ac:dyDescent="0.3">
      <c r="A26" s="4" t="s">
        <v>1284</v>
      </c>
      <c r="B26">
        <v>0.05</v>
      </c>
      <c r="C26">
        <v>0.74</v>
      </c>
      <c r="D26">
        <v>2.2400000000000002</v>
      </c>
      <c r="E26">
        <v>0.1</v>
      </c>
      <c r="F26">
        <v>0.8</v>
      </c>
      <c r="G26" s="2">
        <v>3.9388124892429988E-2</v>
      </c>
      <c r="I26">
        <v>0.1</v>
      </c>
    </row>
    <row r="27" spans="1:9" x14ac:dyDescent="0.3">
      <c r="A27" s="4" t="s">
        <v>1285</v>
      </c>
      <c r="B27">
        <v>0.05</v>
      </c>
      <c r="C27">
        <v>0.74</v>
      </c>
      <c r="D27">
        <v>2.2400000000000002</v>
      </c>
      <c r="E27">
        <v>0.1</v>
      </c>
      <c r="F27">
        <v>0.8</v>
      </c>
      <c r="G27" s="2">
        <v>3.9388124892429988E-2</v>
      </c>
      <c r="I27">
        <v>0.1</v>
      </c>
    </row>
    <row r="28" spans="1:9" x14ac:dyDescent="0.3">
      <c r="A28" s="4" t="s">
        <v>1286</v>
      </c>
      <c r="B28">
        <v>0.05</v>
      </c>
      <c r="C28">
        <v>0.74</v>
      </c>
      <c r="D28">
        <v>2.2400000000000002</v>
      </c>
      <c r="E28">
        <v>0.1</v>
      </c>
      <c r="F28">
        <v>0.8</v>
      </c>
      <c r="G28" s="2">
        <v>3.9388124892429988E-2</v>
      </c>
      <c r="I28">
        <v>0.1</v>
      </c>
    </row>
    <row r="29" spans="1:9" x14ac:dyDescent="0.3">
      <c r="A29" s="4" t="s">
        <v>1287</v>
      </c>
      <c r="B29">
        <v>0.05</v>
      </c>
      <c r="C29">
        <v>0.85</v>
      </c>
      <c r="D29">
        <v>2.52</v>
      </c>
      <c r="E29">
        <v>0.1</v>
      </c>
      <c r="F29">
        <v>0.8</v>
      </c>
      <c r="G29" s="2">
        <v>3.9388124892429988E-2</v>
      </c>
      <c r="I29">
        <v>0.1</v>
      </c>
    </row>
    <row r="30" spans="1:9" x14ac:dyDescent="0.3">
      <c r="A30" s="4" t="s">
        <v>1288</v>
      </c>
      <c r="B30">
        <v>0.05</v>
      </c>
      <c r="C30">
        <v>0.85</v>
      </c>
      <c r="D30">
        <v>2.52</v>
      </c>
      <c r="E30">
        <v>0.1</v>
      </c>
      <c r="F30">
        <v>0.8</v>
      </c>
      <c r="G30" s="2">
        <v>3.9388124892429988E-2</v>
      </c>
      <c r="I30">
        <v>0.1</v>
      </c>
    </row>
    <row r="31" spans="1:9" x14ac:dyDescent="0.3">
      <c r="A31" s="4" t="s">
        <v>1289</v>
      </c>
      <c r="B31">
        <v>0.05</v>
      </c>
      <c r="C31">
        <v>0.85</v>
      </c>
      <c r="D31">
        <v>2.52</v>
      </c>
      <c r="E31">
        <v>0.1</v>
      </c>
      <c r="F31">
        <v>0.8</v>
      </c>
      <c r="G31" s="2">
        <v>3.9388124892429988E-2</v>
      </c>
      <c r="I31">
        <v>0.1</v>
      </c>
    </row>
    <row r="32" spans="1:9" x14ac:dyDescent="0.3">
      <c r="A32" s="4" t="s">
        <v>1290</v>
      </c>
      <c r="B32">
        <v>0.05</v>
      </c>
      <c r="C32">
        <v>0.85</v>
      </c>
      <c r="D32">
        <v>2.52</v>
      </c>
      <c r="E32">
        <v>0.1</v>
      </c>
      <c r="F32">
        <v>0.8</v>
      </c>
      <c r="G32" s="2">
        <v>3.9388124892429988E-2</v>
      </c>
      <c r="I32">
        <v>0.1</v>
      </c>
    </row>
    <row r="33" spans="1:9" x14ac:dyDescent="0.3">
      <c r="A33" s="4" t="s">
        <v>1291</v>
      </c>
      <c r="B33">
        <v>0.05</v>
      </c>
      <c r="C33">
        <v>0.85</v>
      </c>
      <c r="D33">
        <v>2.52</v>
      </c>
      <c r="E33">
        <v>0.1</v>
      </c>
      <c r="F33">
        <v>0.8</v>
      </c>
      <c r="G33" s="2">
        <v>3.9388124892429988E-2</v>
      </c>
      <c r="I33">
        <v>0.1</v>
      </c>
    </row>
    <row r="34" spans="1:9" x14ac:dyDescent="0.3">
      <c r="A34" s="4" t="s">
        <v>1292</v>
      </c>
      <c r="B34">
        <v>0.05</v>
      </c>
      <c r="C34">
        <v>0.85</v>
      </c>
      <c r="D34">
        <v>2.52</v>
      </c>
      <c r="E34">
        <v>0.1</v>
      </c>
      <c r="F34">
        <v>0.8</v>
      </c>
      <c r="G34" s="2">
        <v>3.9388124892429988E-2</v>
      </c>
      <c r="I34">
        <v>0.1</v>
      </c>
    </row>
    <row r="35" spans="1:9" x14ac:dyDescent="0.3">
      <c r="A35" s="4" t="s">
        <v>1293</v>
      </c>
      <c r="B35">
        <v>0.05</v>
      </c>
      <c r="C35">
        <v>0.85</v>
      </c>
      <c r="D35">
        <v>2.52</v>
      </c>
      <c r="E35">
        <v>0.1</v>
      </c>
      <c r="F35">
        <v>0.8</v>
      </c>
      <c r="G35" s="2">
        <v>3.9388124892429988E-2</v>
      </c>
      <c r="I35">
        <v>0.1</v>
      </c>
    </row>
    <row r="36" spans="1:9" x14ac:dyDescent="0.3">
      <c r="A36" s="4" t="s">
        <v>1294</v>
      </c>
      <c r="B36">
        <v>0.05</v>
      </c>
      <c r="C36">
        <v>0.85</v>
      </c>
      <c r="D36">
        <v>2.52</v>
      </c>
      <c r="E36">
        <v>0.1</v>
      </c>
      <c r="F36">
        <v>0.8</v>
      </c>
      <c r="G36" s="2">
        <v>3.9388124892429988E-2</v>
      </c>
      <c r="I36">
        <v>0.1</v>
      </c>
    </row>
    <row r="37" spans="1:9" x14ac:dyDescent="0.3">
      <c r="A37" s="4" t="s">
        <v>1295</v>
      </c>
      <c r="B37">
        <v>0.05</v>
      </c>
      <c r="C37">
        <v>0.85</v>
      </c>
      <c r="D37">
        <v>2.52</v>
      </c>
      <c r="E37">
        <v>0.1</v>
      </c>
      <c r="F37">
        <v>0.8</v>
      </c>
      <c r="G37" s="2">
        <v>3.9388124892429988E-2</v>
      </c>
      <c r="I37">
        <v>0.1</v>
      </c>
    </row>
    <row r="38" spans="1:9" x14ac:dyDescent="0.3">
      <c r="A38" s="4" t="s">
        <v>1296</v>
      </c>
      <c r="B38">
        <v>0.05</v>
      </c>
      <c r="C38">
        <v>0.85</v>
      </c>
      <c r="D38">
        <v>2.52</v>
      </c>
      <c r="E38">
        <v>0.1</v>
      </c>
      <c r="F38">
        <v>0.8</v>
      </c>
      <c r="G38" s="2">
        <v>3.9388124892429988E-2</v>
      </c>
      <c r="I38">
        <v>0.1</v>
      </c>
    </row>
    <row r="39" spans="1:9" x14ac:dyDescent="0.3">
      <c r="A39" s="4" t="s">
        <v>1297</v>
      </c>
      <c r="B39">
        <v>0.05</v>
      </c>
      <c r="C39">
        <v>0.85</v>
      </c>
      <c r="D39">
        <v>2.52</v>
      </c>
      <c r="E39">
        <v>0.1</v>
      </c>
      <c r="F39">
        <v>0.8</v>
      </c>
      <c r="G39" s="2">
        <v>3.9388124892429988E-2</v>
      </c>
      <c r="I39">
        <v>0.1</v>
      </c>
    </row>
    <row r="40" spans="1:9" x14ac:dyDescent="0.3">
      <c r="A40" s="4" t="s">
        <v>1298</v>
      </c>
      <c r="B40">
        <v>0.05</v>
      </c>
      <c r="C40">
        <v>0.85</v>
      </c>
      <c r="D40">
        <v>2.52</v>
      </c>
      <c r="E40">
        <v>0.1</v>
      </c>
      <c r="F40">
        <v>0.8</v>
      </c>
      <c r="G40" s="2">
        <v>3.9388124892429988E-2</v>
      </c>
      <c r="I40">
        <v>0.1</v>
      </c>
    </row>
    <row r="41" spans="1:9" x14ac:dyDescent="0.3">
      <c r="A41" s="4" t="s">
        <v>1299</v>
      </c>
      <c r="B41">
        <v>0.05</v>
      </c>
      <c r="C41">
        <v>0.85</v>
      </c>
      <c r="D41">
        <v>2.52</v>
      </c>
      <c r="E41">
        <v>0.1</v>
      </c>
      <c r="F41">
        <v>0.8</v>
      </c>
      <c r="G41" s="2">
        <v>3.9388124892429988E-2</v>
      </c>
      <c r="I41">
        <v>0.1</v>
      </c>
    </row>
    <row r="42" spans="1:9" x14ac:dyDescent="0.3">
      <c r="A42" s="4" t="s">
        <v>1300</v>
      </c>
      <c r="B42">
        <v>0.05</v>
      </c>
      <c r="C42">
        <v>0.85</v>
      </c>
      <c r="D42">
        <v>2.52</v>
      </c>
      <c r="E42">
        <v>0.1</v>
      </c>
      <c r="F42">
        <v>0.8</v>
      </c>
      <c r="G42" s="2">
        <v>3.9388124892429988E-2</v>
      </c>
      <c r="I42">
        <v>0.1</v>
      </c>
    </row>
    <row r="43" spans="1:9" x14ac:dyDescent="0.3">
      <c r="A43" s="4" t="s">
        <v>1301</v>
      </c>
      <c r="B43">
        <v>0.05</v>
      </c>
      <c r="C43">
        <v>0.85</v>
      </c>
      <c r="D43">
        <v>2.52</v>
      </c>
      <c r="E43">
        <v>0.1</v>
      </c>
      <c r="F43">
        <v>0.8</v>
      </c>
      <c r="G43" s="2">
        <v>3.9388124892429988E-2</v>
      </c>
      <c r="I43">
        <v>0.1</v>
      </c>
    </row>
    <row r="44" spans="1:9" x14ac:dyDescent="0.3">
      <c r="A44" s="4" t="s">
        <v>1302</v>
      </c>
      <c r="B44">
        <v>0.05</v>
      </c>
      <c r="C44">
        <v>0.85</v>
      </c>
      <c r="D44">
        <v>2.52</v>
      </c>
      <c r="E44">
        <v>0.1</v>
      </c>
      <c r="F44">
        <v>0.8</v>
      </c>
      <c r="G44" s="2">
        <v>3.9388124892429988E-2</v>
      </c>
      <c r="I44">
        <v>0.1</v>
      </c>
    </row>
    <row r="45" spans="1:9" x14ac:dyDescent="0.3">
      <c r="A45" s="4" t="s">
        <v>1303</v>
      </c>
      <c r="B45">
        <v>0.05</v>
      </c>
      <c r="C45">
        <v>0.85</v>
      </c>
      <c r="D45">
        <v>2.52</v>
      </c>
      <c r="E45">
        <v>0.1</v>
      </c>
      <c r="F45">
        <v>0.8</v>
      </c>
      <c r="G45" s="2">
        <v>3.9388124892429988E-2</v>
      </c>
      <c r="I45">
        <v>0.1</v>
      </c>
    </row>
    <row r="46" spans="1:9" x14ac:dyDescent="0.3">
      <c r="A46" s="4" t="s">
        <v>1304</v>
      </c>
      <c r="B46">
        <v>0.05</v>
      </c>
      <c r="C46">
        <v>0.85</v>
      </c>
      <c r="D46">
        <v>2.52</v>
      </c>
      <c r="E46">
        <v>0.1</v>
      </c>
      <c r="F46">
        <v>0.8</v>
      </c>
      <c r="G46" s="2">
        <v>3.9388124892429988E-2</v>
      </c>
      <c r="I46">
        <v>0.1</v>
      </c>
    </row>
    <row r="47" spans="1:9" x14ac:dyDescent="0.3">
      <c r="A47" s="4" t="s">
        <v>1305</v>
      </c>
      <c r="B47">
        <v>0.05</v>
      </c>
      <c r="C47">
        <v>0.85</v>
      </c>
      <c r="D47">
        <v>2.52</v>
      </c>
      <c r="E47">
        <v>0.1</v>
      </c>
      <c r="F47">
        <v>0.8</v>
      </c>
      <c r="G47" s="2">
        <v>3.9388124892429988E-2</v>
      </c>
      <c r="I47">
        <v>0.1</v>
      </c>
    </row>
    <row r="48" spans="1:9" x14ac:dyDescent="0.3">
      <c r="A48" s="4" t="s">
        <v>278</v>
      </c>
      <c r="B48">
        <v>0.05</v>
      </c>
      <c r="C48">
        <v>0.85</v>
      </c>
      <c r="D48">
        <v>2.52</v>
      </c>
      <c r="E48">
        <v>0.1</v>
      </c>
      <c r="F48">
        <v>0.8</v>
      </c>
      <c r="G48" s="2">
        <v>3.9388124892429988E-2</v>
      </c>
      <c r="I48">
        <v>0.1</v>
      </c>
    </row>
    <row r="49" spans="1:9" x14ac:dyDescent="0.3">
      <c r="A49" s="4" t="s">
        <v>664</v>
      </c>
      <c r="B49">
        <v>0.05</v>
      </c>
      <c r="C49">
        <v>0.85</v>
      </c>
      <c r="D49">
        <v>2.52</v>
      </c>
      <c r="E49">
        <v>0.1</v>
      </c>
      <c r="F49">
        <v>0.8</v>
      </c>
      <c r="G49" s="2">
        <v>2.9541093669322484E-2</v>
      </c>
      <c r="I49">
        <v>0.1</v>
      </c>
    </row>
    <row r="50" spans="1:9" x14ac:dyDescent="0.3">
      <c r="A50" s="115" t="s">
        <v>665</v>
      </c>
      <c r="B50">
        <v>0.05</v>
      </c>
      <c r="C50">
        <v>0.85</v>
      </c>
      <c r="D50">
        <v>2.52</v>
      </c>
      <c r="E50">
        <v>0.1</v>
      </c>
      <c r="F50">
        <v>0.8</v>
      </c>
      <c r="G50" s="2">
        <v>2.9541093669322484E-2</v>
      </c>
      <c r="I50">
        <v>0.1</v>
      </c>
    </row>
    <row r="51" spans="1:9" x14ac:dyDescent="0.3">
      <c r="A51" s="4" t="s">
        <v>666</v>
      </c>
      <c r="B51">
        <v>0.05</v>
      </c>
      <c r="C51">
        <v>0.85</v>
      </c>
      <c r="D51">
        <v>2.52</v>
      </c>
      <c r="E51">
        <v>0.1</v>
      </c>
      <c r="F51">
        <v>0.8</v>
      </c>
      <c r="G51" s="2">
        <v>2.9541093669322484E-2</v>
      </c>
      <c r="I51">
        <v>0.1</v>
      </c>
    </row>
    <row r="52" spans="1:9" x14ac:dyDescent="0.3">
      <c r="A52" s="4" t="s">
        <v>667</v>
      </c>
      <c r="B52">
        <v>0.05</v>
      </c>
      <c r="C52">
        <v>0.85</v>
      </c>
      <c r="D52">
        <v>2.52</v>
      </c>
      <c r="E52">
        <v>0.1</v>
      </c>
      <c r="F52">
        <v>0.8</v>
      </c>
      <c r="G52" s="2">
        <v>2.9541093669322484E-2</v>
      </c>
      <c r="I52">
        <v>0.1</v>
      </c>
    </row>
    <row r="53" spans="1:9" x14ac:dyDescent="0.3">
      <c r="A53" s="4" t="s">
        <v>668</v>
      </c>
      <c r="B53">
        <v>0.05</v>
      </c>
      <c r="C53">
        <v>0.85</v>
      </c>
      <c r="D53">
        <v>2.52</v>
      </c>
      <c r="E53">
        <v>0.1</v>
      </c>
      <c r="F53">
        <v>0.8</v>
      </c>
      <c r="G53" s="2">
        <v>2.9541093669322484E-2</v>
      </c>
      <c r="I53">
        <v>0.1</v>
      </c>
    </row>
    <row r="54" spans="1:9" x14ac:dyDescent="0.3">
      <c r="A54" s="4" t="s">
        <v>669</v>
      </c>
      <c r="B54">
        <v>0.05</v>
      </c>
      <c r="C54">
        <v>0.85</v>
      </c>
      <c r="D54">
        <v>2.52</v>
      </c>
      <c r="E54">
        <v>0.1</v>
      </c>
      <c r="F54">
        <v>0.8</v>
      </c>
      <c r="G54" s="2">
        <v>2.9541093669322484E-2</v>
      </c>
      <c r="I54">
        <v>0.1</v>
      </c>
    </row>
    <row r="55" spans="1:9" x14ac:dyDescent="0.3">
      <c r="A55" s="4" t="s">
        <v>670</v>
      </c>
      <c r="B55">
        <v>0.05</v>
      </c>
      <c r="C55">
        <v>0.85</v>
      </c>
      <c r="D55">
        <v>2.52</v>
      </c>
      <c r="E55">
        <v>0.1</v>
      </c>
      <c r="F55">
        <v>0.8</v>
      </c>
      <c r="G55" s="2">
        <v>2.9541093669322484E-2</v>
      </c>
      <c r="I55">
        <v>0.1</v>
      </c>
    </row>
    <row r="56" spans="1:9" x14ac:dyDescent="0.3">
      <c r="A56" s="4" t="s">
        <v>245</v>
      </c>
      <c r="B56">
        <v>0.05</v>
      </c>
      <c r="C56">
        <v>0.85</v>
      </c>
      <c r="D56">
        <v>2.52</v>
      </c>
      <c r="E56">
        <v>0.1</v>
      </c>
      <c r="F56">
        <v>0.8</v>
      </c>
      <c r="G56" s="2">
        <v>2.9541093669322484E-2</v>
      </c>
      <c r="I56">
        <v>0.1</v>
      </c>
    </row>
    <row r="57" spans="1:9" x14ac:dyDescent="0.3">
      <c r="A57" s="4" t="s">
        <v>252</v>
      </c>
      <c r="B57">
        <v>0.05</v>
      </c>
      <c r="C57">
        <v>0.85</v>
      </c>
      <c r="D57">
        <v>2.52</v>
      </c>
      <c r="E57">
        <v>0.1</v>
      </c>
      <c r="F57">
        <v>0.8</v>
      </c>
      <c r="G57" s="2">
        <v>2.9541093669322484E-2</v>
      </c>
      <c r="I57">
        <v>0.1</v>
      </c>
    </row>
    <row r="58" spans="1:9" x14ac:dyDescent="0.3">
      <c r="A58" s="4" t="s">
        <v>671</v>
      </c>
      <c r="B58">
        <v>0.05</v>
      </c>
      <c r="C58">
        <v>0.85</v>
      </c>
      <c r="D58">
        <v>2.52</v>
      </c>
      <c r="E58">
        <v>0.1</v>
      </c>
      <c r="F58">
        <v>0.8</v>
      </c>
      <c r="G58" s="2">
        <v>2.9541093669322484E-2</v>
      </c>
      <c r="I58">
        <v>0.1</v>
      </c>
    </row>
    <row r="59" spans="1:9" x14ac:dyDescent="0.3">
      <c r="A59" s="4" t="s">
        <v>258</v>
      </c>
      <c r="B59">
        <v>0.05</v>
      </c>
      <c r="C59">
        <v>0.85</v>
      </c>
      <c r="D59">
        <v>2.52</v>
      </c>
      <c r="E59">
        <v>0.1</v>
      </c>
      <c r="F59">
        <v>0.8</v>
      </c>
      <c r="G59" s="2">
        <v>2.9541093669322484E-2</v>
      </c>
      <c r="I59">
        <v>0.1</v>
      </c>
    </row>
    <row r="60" spans="1:9" x14ac:dyDescent="0.3">
      <c r="A60" s="4" t="s">
        <v>1306</v>
      </c>
      <c r="B60">
        <v>0.05</v>
      </c>
      <c r="C60">
        <v>0.85</v>
      </c>
      <c r="D60">
        <v>2.52</v>
      </c>
      <c r="E60">
        <v>0.1</v>
      </c>
      <c r="F60">
        <v>0.8</v>
      </c>
      <c r="G60" s="2">
        <v>3.9388124892429988E-2</v>
      </c>
      <c r="I60">
        <v>0.1</v>
      </c>
    </row>
    <row r="61" spans="1:9" x14ac:dyDescent="0.3">
      <c r="A61" s="4" t="s">
        <v>1307</v>
      </c>
      <c r="B61">
        <v>0.05</v>
      </c>
      <c r="C61">
        <v>0.85</v>
      </c>
      <c r="D61">
        <v>2.52</v>
      </c>
      <c r="E61">
        <v>0.1</v>
      </c>
      <c r="F61">
        <v>0.8</v>
      </c>
      <c r="G61" s="2">
        <v>3.9388124892429988E-2</v>
      </c>
      <c r="I61">
        <v>0.1</v>
      </c>
    </row>
    <row r="62" spans="1:9" x14ac:dyDescent="0.3">
      <c r="A62" s="4" t="s">
        <v>1308</v>
      </c>
      <c r="B62">
        <v>0.05</v>
      </c>
      <c r="C62">
        <v>1.1499999999999999</v>
      </c>
      <c r="D62">
        <v>2.8</v>
      </c>
      <c r="E62">
        <v>0.1</v>
      </c>
      <c r="F62">
        <v>0.8</v>
      </c>
      <c r="G62" s="2">
        <v>3.9388124892429988E-2</v>
      </c>
      <c r="I62">
        <v>0.1</v>
      </c>
    </row>
    <row r="63" spans="1:9" x14ac:dyDescent="0.3">
      <c r="A63" s="4" t="s">
        <v>1309</v>
      </c>
      <c r="B63">
        <v>0.05</v>
      </c>
      <c r="C63">
        <v>1.26</v>
      </c>
      <c r="D63">
        <v>3.36</v>
      </c>
      <c r="E63">
        <v>0.1</v>
      </c>
      <c r="F63">
        <v>0.8</v>
      </c>
      <c r="G63" s="2">
        <v>3.9388124892429988E-2</v>
      </c>
      <c r="I63">
        <v>0.1</v>
      </c>
    </row>
    <row r="64" spans="1:9" x14ac:dyDescent="0.3">
      <c r="A64" s="4" t="s">
        <v>1310</v>
      </c>
      <c r="B64">
        <v>0.05</v>
      </c>
      <c r="C64">
        <v>1.26</v>
      </c>
      <c r="D64">
        <v>3.36</v>
      </c>
      <c r="E64">
        <v>0.1</v>
      </c>
      <c r="F64">
        <v>0.8</v>
      </c>
      <c r="G64" s="2">
        <v>3.9388124892429988E-2</v>
      </c>
      <c r="I64">
        <v>0.1</v>
      </c>
    </row>
    <row r="65" spans="1:10" x14ac:dyDescent="0.3">
      <c r="A65" s="4" t="s">
        <v>1311</v>
      </c>
      <c r="B65">
        <v>0.05</v>
      </c>
      <c r="C65">
        <v>1.26</v>
      </c>
      <c r="D65">
        <v>3.36</v>
      </c>
      <c r="E65">
        <v>0.1</v>
      </c>
      <c r="F65">
        <v>0.8</v>
      </c>
      <c r="G65" s="2">
        <v>3.9388124892429988E-2</v>
      </c>
      <c r="I65">
        <v>0.1</v>
      </c>
      <c r="J65" t="s">
        <v>1312</v>
      </c>
    </row>
    <row r="66" spans="1:10" x14ac:dyDescent="0.3">
      <c r="A66" s="4" t="s">
        <v>1313</v>
      </c>
      <c r="B66">
        <v>0.05</v>
      </c>
      <c r="C66">
        <v>1.26</v>
      </c>
      <c r="D66">
        <v>3.36</v>
      </c>
      <c r="E66">
        <v>0.1</v>
      </c>
      <c r="F66">
        <v>0.8</v>
      </c>
      <c r="G66" s="2">
        <v>3.9388124892429988E-2</v>
      </c>
      <c r="I66">
        <v>0.1</v>
      </c>
    </row>
    <row r="67" spans="1:10" x14ac:dyDescent="0.3">
      <c r="A67" s="4" t="s">
        <v>1314</v>
      </c>
      <c r="B67">
        <v>0.05</v>
      </c>
      <c r="C67">
        <v>1.26</v>
      </c>
      <c r="D67">
        <v>3.36</v>
      </c>
      <c r="E67">
        <v>0.1</v>
      </c>
      <c r="F67">
        <v>0.8</v>
      </c>
      <c r="G67" s="2">
        <v>3.9388124892429988E-2</v>
      </c>
      <c r="I67">
        <v>0.1</v>
      </c>
    </row>
    <row r="68" spans="1:10" x14ac:dyDescent="0.3">
      <c r="A68" s="4" t="s">
        <v>1315</v>
      </c>
      <c r="B68">
        <v>0.05</v>
      </c>
      <c r="C68">
        <v>1.26</v>
      </c>
      <c r="D68">
        <v>3.36</v>
      </c>
      <c r="E68">
        <v>0.1</v>
      </c>
      <c r="F68">
        <v>0.8</v>
      </c>
      <c r="G68" s="2">
        <v>3.9388124892429988E-2</v>
      </c>
      <c r="I68">
        <v>0.1</v>
      </c>
    </row>
    <row r="69" spans="1:10" x14ac:dyDescent="0.3">
      <c r="A69" s="4" t="s">
        <v>1316</v>
      </c>
      <c r="B69">
        <v>0.05</v>
      </c>
      <c r="C69">
        <v>0.85</v>
      </c>
      <c r="D69">
        <v>2.52</v>
      </c>
      <c r="E69">
        <v>0.1</v>
      </c>
      <c r="F69">
        <v>0.8</v>
      </c>
      <c r="G69" s="2">
        <v>3.9388124892429988E-2</v>
      </c>
      <c r="I69">
        <v>0.1</v>
      </c>
    </row>
    <row r="70" spans="1:10" x14ac:dyDescent="0.3">
      <c r="A70" s="4" t="s">
        <v>1317</v>
      </c>
      <c r="B70">
        <v>0.05</v>
      </c>
      <c r="C70">
        <v>0.85</v>
      </c>
      <c r="D70">
        <v>2.52</v>
      </c>
      <c r="E70">
        <v>0.1</v>
      </c>
      <c r="F70">
        <v>0.8</v>
      </c>
      <c r="G70" s="2">
        <v>3.9388124892429988E-2</v>
      </c>
      <c r="I70">
        <v>0.1</v>
      </c>
    </row>
    <row r="71" spans="1:10" x14ac:dyDescent="0.3">
      <c r="A71" s="4" t="s">
        <v>1318</v>
      </c>
      <c r="B71">
        <v>0.05</v>
      </c>
      <c r="C71">
        <v>0.85</v>
      </c>
      <c r="D71">
        <v>2.52</v>
      </c>
      <c r="E71">
        <v>0.1</v>
      </c>
      <c r="F71">
        <v>0.8</v>
      </c>
      <c r="G71" s="2">
        <v>3.9388124892429988E-2</v>
      </c>
      <c r="I71">
        <v>0.1</v>
      </c>
    </row>
    <row r="72" spans="1:10" x14ac:dyDescent="0.3">
      <c r="A72" s="4" t="s">
        <v>1319</v>
      </c>
      <c r="B72">
        <v>0.05</v>
      </c>
      <c r="C72">
        <v>0.85</v>
      </c>
      <c r="D72">
        <v>2.52</v>
      </c>
      <c r="E72">
        <v>0.1</v>
      </c>
      <c r="F72">
        <v>0.8</v>
      </c>
      <c r="G72" s="2">
        <v>3.9388124892429988E-2</v>
      </c>
      <c r="I72">
        <v>0.1</v>
      </c>
    </row>
    <row r="73" spans="1:10" x14ac:dyDescent="0.3">
      <c r="A73" s="4" t="s">
        <v>1320</v>
      </c>
      <c r="B73">
        <v>0.05</v>
      </c>
      <c r="C73">
        <v>0.85</v>
      </c>
      <c r="D73">
        <v>2.52</v>
      </c>
      <c r="E73">
        <v>0.1</v>
      </c>
      <c r="F73">
        <v>0.8</v>
      </c>
      <c r="G73" s="2">
        <v>3.9388124892429988E-2</v>
      </c>
      <c r="I73">
        <v>0.1</v>
      </c>
    </row>
    <row r="74" spans="1:10" x14ac:dyDescent="0.3">
      <c r="A74" s="4" t="s">
        <v>1321</v>
      </c>
      <c r="B74">
        <v>0.05</v>
      </c>
      <c r="C74">
        <v>0.85</v>
      </c>
      <c r="D74">
        <v>2.52</v>
      </c>
      <c r="E74">
        <v>0.1</v>
      </c>
      <c r="F74">
        <v>0.8</v>
      </c>
      <c r="G74" s="2">
        <v>3.9388124892429988E-2</v>
      </c>
      <c r="I74">
        <v>0.1</v>
      </c>
    </row>
    <row r="75" spans="1:10" x14ac:dyDescent="0.3">
      <c r="A75" s="4" t="s">
        <v>1322</v>
      </c>
      <c r="B75">
        <v>0.05</v>
      </c>
      <c r="C75">
        <v>0.85</v>
      </c>
      <c r="D75">
        <v>2.52</v>
      </c>
      <c r="E75">
        <v>0.1</v>
      </c>
      <c r="F75">
        <v>0.8</v>
      </c>
      <c r="G75" s="2">
        <v>3.9388124892429988E-2</v>
      </c>
      <c r="I75">
        <v>0.1</v>
      </c>
    </row>
    <row r="76" spans="1:10" x14ac:dyDescent="0.3">
      <c r="A76" s="4" t="s">
        <v>1323</v>
      </c>
      <c r="B76">
        <v>0.05</v>
      </c>
      <c r="C76">
        <v>0.85</v>
      </c>
      <c r="D76">
        <v>2.52</v>
      </c>
      <c r="E76">
        <v>0.1</v>
      </c>
      <c r="F76">
        <v>0.8</v>
      </c>
      <c r="G76" s="2">
        <v>3.9388124892429988E-2</v>
      </c>
      <c r="I76">
        <v>0.1</v>
      </c>
    </row>
    <row r="77" spans="1:10" x14ac:dyDescent="0.3">
      <c r="A77" s="4" t="s">
        <v>1324</v>
      </c>
      <c r="B77">
        <v>0.05</v>
      </c>
      <c r="C77">
        <v>0.85</v>
      </c>
      <c r="D77">
        <v>2.52</v>
      </c>
      <c r="E77">
        <v>0.1</v>
      </c>
      <c r="F77">
        <v>0.8</v>
      </c>
      <c r="G77" s="2">
        <v>3.9388124892429988E-2</v>
      </c>
      <c r="I77">
        <v>0.1</v>
      </c>
    </row>
    <row r="78" spans="1:10" x14ac:dyDescent="0.3">
      <c r="A78" s="4" t="s">
        <v>1325</v>
      </c>
      <c r="B78">
        <v>0.05</v>
      </c>
      <c r="C78">
        <v>0.85</v>
      </c>
      <c r="D78">
        <v>2.52</v>
      </c>
      <c r="E78">
        <v>0.1</v>
      </c>
      <c r="F78">
        <v>0.8</v>
      </c>
      <c r="G78" s="2">
        <v>3.9388124892429988E-2</v>
      </c>
      <c r="I78">
        <v>0.1</v>
      </c>
    </row>
    <row r="79" spans="1:10" x14ac:dyDescent="0.3">
      <c r="A79" s="4" t="s">
        <v>1176</v>
      </c>
      <c r="B79">
        <v>0.05</v>
      </c>
      <c r="C79">
        <v>0.19580400000000003</v>
      </c>
      <c r="D79">
        <v>0.52214400000000005</v>
      </c>
      <c r="E79">
        <v>0.1</v>
      </c>
      <c r="F79">
        <v>0.8</v>
      </c>
      <c r="G79" s="2">
        <v>9.8470312231074941E-2</v>
      </c>
      <c r="H79">
        <v>14185.488000000001</v>
      </c>
      <c r="I79">
        <v>0.1</v>
      </c>
    </row>
    <row r="80" spans="1:10" x14ac:dyDescent="0.3">
      <c r="A80" s="4" t="s">
        <v>1184</v>
      </c>
      <c r="B80">
        <v>0.05</v>
      </c>
      <c r="C80">
        <v>1.26</v>
      </c>
      <c r="D80">
        <v>3.36</v>
      </c>
      <c r="E80">
        <v>0.1</v>
      </c>
      <c r="F80">
        <v>0.8</v>
      </c>
      <c r="G80" s="2">
        <v>3.9388124892429988E-2</v>
      </c>
      <c r="I80">
        <v>0.1</v>
      </c>
      <c r="J80" t="s">
        <v>1312</v>
      </c>
    </row>
    <row r="81" spans="1:9" x14ac:dyDescent="0.3">
      <c r="A81" s="4" t="s">
        <v>1129</v>
      </c>
      <c r="B81">
        <v>0.05</v>
      </c>
      <c r="C81">
        <v>0.85</v>
      </c>
      <c r="D81">
        <v>2.52</v>
      </c>
      <c r="E81">
        <v>0.1</v>
      </c>
      <c r="F81">
        <v>0.8</v>
      </c>
      <c r="G81" s="2">
        <v>4.0751540433756762E-2</v>
      </c>
      <c r="I81">
        <v>0.1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9"/>
  <sheetViews>
    <sheetView workbookViewId="0">
      <selection activeCell="J2" sqref="J2"/>
    </sheetView>
  </sheetViews>
  <sheetFormatPr baseColWidth="10" defaultColWidth="8.88671875" defaultRowHeight="14.4" x14ac:dyDescent="0.3"/>
  <sheetData>
    <row r="1" spans="1:10" x14ac:dyDescent="0.3">
      <c r="B1" s="23" t="s">
        <v>14</v>
      </c>
      <c r="C1" s="23" t="s">
        <v>13</v>
      </c>
      <c r="D1" s="23" t="s">
        <v>399</v>
      </c>
      <c r="E1" s="23" t="s">
        <v>18</v>
      </c>
      <c r="F1" s="23" t="s">
        <v>29</v>
      </c>
      <c r="G1" s="23" t="s">
        <v>30</v>
      </c>
      <c r="H1" s="23" t="s">
        <v>907</v>
      </c>
      <c r="I1" t="s">
        <v>902</v>
      </c>
      <c r="J1" t="s">
        <v>904</v>
      </c>
    </row>
    <row r="2" spans="1:10" x14ac:dyDescent="0.3">
      <c r="A2" t="s">
        <v>678</v>
      </c>
      <c r="B2" s="23"/>
      <c r="C2">
        <v>5.05</v>
      </c>
      <c r="D2">
        <v>5.05</v>
      </c>
      <c r="E2" s="23"/>
      <c r="F2" s="23"/>
      <c r="G2" s="23"/>
      <c r="H2">
        <v>0.4</v>
      </c>
    </row>
    <row r="3" spans="1:10" x14ac:dyDescent="0.3">
      <c r="A3" t="s">
        <v>679</v>
      </c>
      <c r="B3" s="1"/>
      <c r="C3">
        <v>4.45</v>
      </c>
      <c r="D3">
        <v>4.45</v>
      </c>
      <c r="H3">
        <v>0.4</v>
      </c>
    </row>
    <row r="4" spans="1:10" x14ac:dyDescent="0.3">
      <c r="A4" t="s">
        <v>680</v>
      </c>
      <c r="B4" s="1"/>
      <c r="C4">
        <v>1.3</v>
      </c>
      <c r="D4">
        <v>1.3</v>
      </c>
      <c r="H4">
        <v>0.4</v>
      </c>
    </row>
    <row r="5" spans="1:10" x14ac:dyDescent="0.3">
      <c r="A5" t="s">
        <v>681</v>
      </c>
      <c r="B5" s="1"/>
      <c r="C5">
        <v>1.85</v>
      </c>
      <c r="D5">
        <v>1.85</v>
      </c>
      <c r="H5">
        <v>0.4</v>
      </c>
    </row>
    <row r="6" spans="1:10" x14ac:dyDescent="0.3">
      <c r="A6" t="s">
        <v>682</v>
      </c>
      <c r="B6" s="1"/>
      <c r="C6">
        <v>2.4500000000000002</v>
      </c>
      <c r="D6">
        <v>2.4500000000000002</v>
      </c>
      <c r="H6">
        <v>0.4</v>
      </c>
    </row>
    <row r="7" spans="1:10" x14ac:dyDescent="0.3">
      <c r="A7" t="s">
        <v>683</v>
      </c>
      <c r="B7" s="1"/>
      <c r="C7">
        <v>2.7</v>
      </c>
      <c r="D7">
        <v>2.7</v>
      </c>
      <c r="H7">
        <v>0.4</v>
      </c>
    </row>
    <row r="8" spans="1:10" x14ac:dyDescent="0.3">
      <c r="A8" t="s">
        <v>684</v>
      </c>
      <c r="B8" s="1"/>
      <c r="C8">
        <v>2.5</v>
      </c>
      <c r="D8">
        <v>2.5</v>
      </c>
      <c r="H8">
        <v>0.4</v>
      </c>
    </row>
    <row r="9" spans="1:10" x14ac:dyDescent="0.3">
      <c r="A9" t="s">
        <v>685</v>
      </c>
      <c r="B9" s="1"/>
      <c r="C9">
        <v>3.25</v>
      </c>
      <c r="D9">
        <v>3.25</v>
      </c>
      <c r="H9">
        <v>0.4</v>
      </c>
    </row>
    <row r="10" spans="1:10" x14ac:dyDescent="0.3">
      <c r="A10" t="s">
        <v>686</v>
      </c>
      <c r="B10" s="1"/>
      <c r="C10">
        <v>2</v>
      </c>
      <c r="D10">
        <v>2</v>
      </c>
    </row>
    <row r="11" spans="1:10" x14ac:dyDescent="0.3">
      <c r="A11" t="s">
        <v>687</v>
      </c>
      <c r="B11" s="1"/>
      <c r="C11">
        <v>1.3</v>
      </c>
      <c r="D11">
        <v>1.3</v>
      </c>
    </row>
    <row r="12" spans="1:10" x14ac:dyDescent="0.3">
      <c r="A12" t="s">
        <v>688</v>
      </c>
      <c r="B12" s="1"/>
      <c r="C12">
        <v>3.65</v>
      </c>
      <c r="D12">
        <v>3.65</v>
      </c>
    </row>
    <row r="13" spans="1:10" x14ac:dyDescent="0.3">
      <c r="A13" t="s">
        <v>689</v>
      </c>
      <c r="B13" s="1"/>
      <c r="C13">
        <v>6.45</v>
      </c>
      <c r="D13">
        <v>6.45</v>
      </c>
    </row>
    <row r="14" spans="1:10" x14ac:dyDescent="0.3">
      <c r="A14" t="s">
        <v>139</v>
      </c>
      <c r="B14" s="1"/>
      <c r="C14">
        <v>2.5</v>
      </c>
      <c r="D14">
        <v>2.5</v>
      </c>
    </row>
    <row r="15" spans="1:10" x14ac:dyDescent="0.3">
      <c r="A15" t="s">
        <v>690</v>
      </c>
      <c r="C15">
        <v>1.25</v>
      </c>
      <c r="D15">
        <v>1.25</v>
      </c>
    </row>
    <row r="16" spans="1:10" x14ac:dyDescent="0.3">
      <c r="A16" t="s">
        <v>234</v>
      </c>
      <c r="B16" s="1"/>
      <c r="C16">
        <v>3.05</v>
      </c>
      <c r="D16">
        <v>3.05</v>
      </c>
    </row>
    <row r="17" spans="1:13" x14ac:dyDescent="0.3">
      <c r="A17" t="s">
        <v>241</v>
      </c>
      <c r="B17" s="1"/>
      <c r="C17">
        <v>5.2</v>
      </c>
      <c r="D17">
        <v>5.2</v>
      </c>
    </row>
    <row r="18" spans="1:13" x14ac:dyDescent="0.3">
      <c r="A18" t="s">
        <v>140</v>
      </c>
      <c r="B18" s="1"/>
      <c r="C18">
        <v>10</v>
      </c>
      <c r="D18">
        <v>10</v>
      </c>
      <c r="M18" t="s">
        <v>1254</v>
      </c>
    </row>
    <row r="19" spans="1:13" x14ac:dyDescent="0.3">
      <c r="A19" t="s">
        <v>141</v>
      </c>
      <c r="B19" s="1"/>
      <c r="C19">
        <v>0.9</v>
      </c>
      <c r="D19">
        <v>0.9</v>
      </c>
    </row>
    <row r="20" spans="1:13" x14ac:dyDescent="0.3">
      <c r="A20" t="s">
        <v>691</v>
      </c>
      <c r="B20" s="1"/>
      <c r="C20">
        <v>3.85</v>
      </c>
      <c r="D20">
        <v>3.85</v>
      </c>
    </row>
    <row r="21" spans="1:13" x14ac:dyDescent="0.3">
      <c r="A21" t="s">
        <v>692</v>
      </c>
      <c r="B21" s="1"/>
      <c r="C21">
        <v>4.4000000000000004</v>
      </c>
      <c r="D21">
        <v>4.4000000000000004</v>
      </c>
    </row>
    <row r="22" spans="1:13" x14ac:dyDescent="0.3">
      <c r="A22" t="s">
        <v>693</v>
      </c>
      <c r="B22" s="1"/>
      <c r="C22">
        <v>3.3</v>
      </c>
      <c r="D22">
        <v>3.3</v>
      </c>
    </row>
    <row r="23" spans="1:13" x14ac:dyDescent="0.3">
      <c r="A23" t="s">
        <v>694</v>
      </c>
      <c r="B23" s="1"/>
      <c r="C23">
        <v>3.65</v>
      </c>
      <c r="D23">
        <v>3.65</v>
      </c>
    </row>
    <row r="24" spans="1:13" x14ac:dyDescent="0.3">
      <c r="A24" t="s">
        <v>695</v>
      </c>
      <c r="B24" s="1"/>
      <c r="C24">
        <v>2.6</v>
      </c>
      <c r="D24">
        <v>2.6</v>
      </c>
    </row>
    <row r="25" spans="1:13" x14ac:dyDescent="0.3">
      <c r="A25" t="s">
        <v>696</v>
      </c>
      <c r="B25" s="1"/>
      <c r="C25">
        <v>2.7</v>
      </c>
      <c r="D25">
        <v>2.7</v>
      </c>
    </row>
    <row r="26" spans="1:13" x14ac:dyDescent="0.3">
      <c r="A26" t="s">
        <v>697</v>
      </c>
      <c r="B26" s="1"/>
      <c r="C26">
        <v>2</v>
      </c>
      <c r="D26">
        <v>2</v>
      </c>
    </row>
    <row r="27" spans="1:13" x14ac:dyDescent="0.3">
      <c r="A27" t="s">
        <v>142</v>
      </c>
      <c r="B27" s="1"/>
      <c r="C27">
        <v>1.1499999999999999</v>
      </c>
      <c r="D27">
        <v>1.1499999999999999</v>
      </c>
    </row>
    <row r="28" spans="1:13" x14ac:dyDescent="0.3">
      <c r="A28" t="s">
        <v>143</v>
      </c>
      <c r="B28" s="1"/>
      <c r="C28">
        <v>3.75</v>
      </c>
      <c r="D28">
        <v>3.75</v>
      </c>
    </row>
    <row r="29" spans="1:13" x14ac:dyDescent="0.3">
      <c r="A29" t="s">
        <v>698</v>
      </c>
      <c r="B29" s="1"/>
      <c r="C29">
        <v>3.7</v>
      </c>
      <c r="D29">
        <v>3.7</v>
      </c>
    </row>
    <row r="30" spans="1:13" x14ac:dyDescent="0.3">
      <c r="A30" t="s">
        <v>699</v>
      </c>
      <c r="B30" s="1"/>
      <c r="C30">
        <v>4.05</v>
      </c>
      <c r="D30">
        <v>4.05</v>
      </c>
    </row>
    <row r="31" spans="1:13" x14ac:dyDescent="0.3">
      <c r="A31" t="s">
        <v>700</v>
      </c>
      <c r="B31" s="1"/>
      <c r="C31">
        <v>3.4</v>
      </c>
      <c r="D31">
        <v>3.4</v>
      </c>
    </row>
    <row r="32" spans="1:13" x14ac:dyDescent="0.3">
      <c r="A32" t="s">
        <v>701</v>
      </c>
      <c r="B32" s="1"/>
      <c r="C32">
        <v>2.95</v>
      </c>
      <c r="D32">
        <v>2.95</v>
      </c>
    </row>
    <row r="33" spans="1:4" x14ac:dyDescent="0.3">
      <c r="A33" t="s">
        <v>144</v>
      </c>
      <c r="B33" s="1"/>
      <c r="C33">
        <v>2.1</v>
      </c>
      <c r="D33">
        <v>2.1</v>
      </c>
    </row>
    <row r="34" spans="1:4" x14ac:dyDescent="0.3">
      <c r="A34" t="s">
        <v>145</v>
      </c>
      <c r="B34" s="1"/>
      <c r="C34">
        <v>3.3</v>
      </c>
      <c r="D34">
        <v>3.3</v>
      </c>
    </row>
    <row r="35" spans="1:4" x14ac:dyDescent="0.3">
      <c r="A35" t="s">
        <v>146</v>
      </c>
      <c r="C35">
        <v>3.3</v>
      </c>
      <c r="D35">
        <v>3.3</v>
      </c>
    </row>
    <row r="36" spans="1:4" x14ac:dyDescent="0.3">
      <c r="A36" t="s">
        <v>702</v>
      </c>
      <c r="B36" s="1"/>
      <c r="C36">
        <v>3.3</v>
      </c>
      <c r="D36">
        <v>3.3</v>
      </c>
    </row>
    <row r="37" spans="1:4" x14ac:dyDescent="0.3">
      <c r="A37" t="s">
        <v>364</v>
      </c>
      <c r="B37" s="1"/>
      <c r="C37">
        <v>2.9</v>
      </c>
      <c r="D37">
        <v>2.9</v>
      </c>
    </row>
    <row r="38" spans="1:4" x14ac:dyDescent="0.3">
      <c r="A38" t="s">
        <v>268</v>
      </c>
      <c r="B38" s="1"/>
      <c r="C38">
        <v>2.95</v>
      </c>
      <c r="D38">
        <v>2.95</v>
      </c>
    </row>
    <row r="39" spans="1:4" x14ac:dyDescent="0.3">
      <c r="A39" t="s">
        <v>270</v>
      </c>
      <c r="B39" s="1"/>
      <c r="C39">
        <v>4.2</v>
      </c>
      <c r="D39">
        <v>4.2</v>
      </c>
    </row>
    <row r="40" spans="1:4" x14ac:dyDescent="0.3">
      <c r="A40" t="s">
        <v>272</v>
      </c>
      <c r="B40" s="1"/>
      <c r="C40">
        <v>3.75</v>
      </c>
      <c r="D40">
        <v>3.75</v>
      </c>
    </row>
    <row r="41" spans="1:4" x14ac:dyDescent="0.3">
      <c r="A41" t="s">
        <v>274</v>
      </c>
      <c r="B41" s="1"/>
      <c r="C41">
        <v>4.4000000000000004</v>
      </c>
      <c r="D41">
        <v>4.4000000000000004</v>
      </c>
    </row>
    <row r="42" spans="1:4" x14ac:dyDescent="0.3">
      <c r="A42" t="s">
        <v>703</v>
      </c>
      <c r="C42">
        <v>4.4000000000000004</v>
      </c>
      <c r="D42">
        <v>4.4000000000000004</v>
      </c>
    </row>
    <row r="43" spans="1:4" x14ac:dyDescent="0.3">
      <c r="A43" t="s">
        <v>704</v>
      </c>
      <c r="C43">
        <v>4.05</v>
      </c>
      <c r="D43">
        <v>4.05</v>
      </c>
    </row>
    <row r="44" spans="1:4" x14ac:dyDescent="0.3">
      <c r="A44" t="s">
        <v>276</v>
      </c>
      <c r="B44" s="1"/>
      <c r="C44">
        <v>2.8</v>
      </c>
      <c r="D44">
        <v>2.8</v>
      </c>
    </row>
    <row r="45" spans="1:4" x14ac:dyDescent="0.3">
      <c r="A45" t="s">
        <v>705</v>
      </c>
      <c r="C45">
        <v>4.3</v>
      </c>
      <c r="D45">
        <v>4.3</v>
      </c>
    </row>
    <row r="46" spans="1:4" x14ac:dyDescent="0.3">
      <c r="A46" t="s">
        <v>147</v>
      </c>
      <c r="B46" s="1"/>
      <c r="C46">
        <v>3.75</v>
      </c>
      <c r="D46">
        <v>3.75</v>
      </c>
    </row>
    <row r="47" spans="1:4" x14ac:dyDescent="0.3">
      <c r="A47" t="s">
        <v>279</v>
      </c>
      <c r="B47" s="6">
        <v>5</v>
      </c>
      <c r="C47">
        <v>2.8</v>
      </c>
      <c r="D47">
        <v>2.8</v>
      </c>
    </row>
    <row r="48" spans="1:4" x14ac:dyDescent="0.3">
      <c r="A48" t="s">
        <v>169</v>
      </c>
      <c r="B48" s="6">
        <v>5</v>
      </c>
      <c r="C48">
        <v>2.8</v>
      </c>
      <c r="D48">
        <v>2.8</v>
      </c>
    </row>
    <row r="49" spans="1:7" x14ac:dyDescent="0.3">
      <c r="A49" t="s">
        <v>148</v>
      </c>
      <c r="C49">
        <v>2.8</v>
      </c>
      <c r="D49">
        <v>2.8</v>
      </c>
    </row>
    <row r="50" spans="1:7" x14ac:dyDescent="0.3">
      <c r="A50" t="s">
        <v>149</v>
      </c>
      <c r="B50" s="1"/>
      <c r="C50">
        <v>2.8</v>
      </c>
      <c r="D50">
        <v>2.8</v>
      </c>
    </row>
    <row r="51" spans="1:7" x14ac:dyDescent="0.3">
      <c r="A51" t="s">
        <v>150</v>
      </c>
      <c r="B51" s="1"/>
      <c r="C51">
        <v>1.9</v>
      </c>
      <c r="D51">
        <v>1.9</v>
      </c>
    </row>
    <row r="52" spans="1:7" x14ac:dyDescent="0.3">
      <c r="A52" t="s">
        <v>151</v>
      </c>
      <c r="B52" s="1"/>
      <c r="C52">
        <v>1.9</v>
      </c>
      <c r="D52">
        <v>1.9</v>
      </c>
    </row>
    <row r="53" spans="1:7" x14ac:dyDescent="0.3">
      <c r="A53" t="s">
        <v>152</v>
      </c>
      <c r="B53" s="1"/>
      <c r="C53">
        <v>1.9</v>
      </c>
      <c r="D53">
        <v>1.9</v>
      </c>
    </row>
    <row r="54" spans="1:7" x14ac:dyDescent="0.3">
      <c r="A54" t="s">
        <v>153</v>
      </c>
      <c r="B54" s="1">
        <v>2</v>
      </c>
      <c r="C54">
        <v>1.9</v>
      </c>
      <c r="D54">
        <v>1.9</v>
      </c>
      <c r="G54">
        <v>10</v>
      </c>
    </row>
    <row r="55" spans="1:7" x14ac:dyDescent="0.3">
      <c r="A55" t="s">
        <v>154</v>
      </c>
      <c r="B55" s="1"/>
      <c r="C55">
        <v>1.9</v>
      </c>
      <c r="D55">
        <v>1.9</v>
      </c>
    </row>
    <row r="56" spans="1:7" x14ac:dyDescent="0.3">
      <c r="A56" t="s">
        <v>155</v>
      </c>
      <c r="B56" s="1"/>
      <c r="C56">
        <v>1.9</v>
      </c>
      <c r="D56">
        <v>1.9</v>
      </c>
    </row>
    <row r="57" spans="1:7" x14ac:dyDescent="0.3">
      <c r="A57" t="s">
        <v>706</v>
      </c>
      <c r="C57">
        <v>1.9</v>
      </c>
      <c r="D57">
        <v>1.9</v>
      </c>
    </row>
    <row r="58" spans="1:7" x14ac:dyDescent="0.3">
      <c r="A58" t="s">
        <v>156</v>
      </c>
      <c r="B58" s="1"/>
      <c r="C58">
        <v>1.9</v>
      </c>
      <c r="D58">
        <v>1.9</v>
      </c>
    </row>
    <row r="59" spans="1:7" x14ac:dyDescent="0.3">
      <c r="A59" s="5" t="s">
        <v>157</v>
      </c>
      <c r="B59" s="1"/>
      <c r="C59">
        <v>1.9</v>
      </c>
      <c r="D59">
        <v>1.9</v>
      </c>
    </row>
    <row r="60" spans="1:7" x14ac:dyDescent="0.3">
      <c r="A60" t="s">
        <v>158</v>
      </c>
      <c r="B60" s="1"/>
      <c r="C60">
        <v>1.9</v>
      </c>
      <c r="D60">
        <v>1.9</v>
      </c>
    </row>
    <row r="61" spans="1:7" x14ac:dyDescent="0.3">
      <c r="A61" t="s">
        <v>707</v>
      </c>
      <c r="B61" s="1"/>
      <c r="C61">
        <v>1.9</v>
      </c>
      <c r="D61">
        <v>1.9</v>
      </c>
    </row>
    <row r="62" spans="1:7" x14ac:dyDescent="0.3">
      <c r="A62" t="s">
        <v>708</v>
      </c>
      <c r="B62" s="1"/>
      <c r="C62">
        <v>1.9</v>
      </c>
      <c r="D62">
        <v>1.9</v>
      </c>
    </row>
    <row r="63" spans="1:7" x14ac:dyDescent="0.3">
      <c r="A63" t="s">
        <v>709</v>
      </c>
      <c r="B63" s="1"/>
      <c r="C63">
        <v>1.9</v>
      </c>
      <c r="D63">
        <v>1.9</v>
      </c>
    </row>
    <row r="64" spans="1:7" x14ac:dyDescent="0.3">
      <c r="A64" t="s">
        <v>159</v>
      </c>
      <c r="B64" s="1"/>
      <c r="C64">
        <v>1.9</v>
      </c>
      <c r="D64">
        <v>1.9</v>
      </c>
    </row>
    <row r="65" spans="1:4" x14ac:dyDescent="0.3">
      <c r="A65" t="s">
        <v>160</v>
      </c>
      <c r="B65" s="1"/>
      <c r="C65">
        <v>1.9</v>
      </c>
      <c r="D65">
        <v>1.9</v>
      </c>
    </row>
    <row r="66" spans="1:4" x14ac:dyDescent="0.3">
      <c r="A66" t="s">
        <v>161</v>
      </c>
      <c r="B66" s="1"/>
      <c r="C66">
        <v>1.9</v>
      </c>
      <c r="D66">
        <v>1.9</v>
      </c>
    </row>
    <row r="67" spans="1:4" x14ac:dyDescent="0.3">
      <c r="A67" t="s">
        <v>710</v>
      </c>
      <c r="C67">
        <v>1.9</v>
      </c>
      <c r="D67">
        <v>1.9</v>
      </c>
    </row>
    <row r="69" spans="1:4" x14ac:dyDescent="0.3">
      <c r="B69" s="1"/>
    </row>
    <row r="79" spans="1:4" x14ac:dyDescent="0.3">
      <c r="A79" s="2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D16"/>
  <sheetViews>
    <sheetView workbookViewId="0">
      <selection activeCell="A16" sqref="A16"/>
    </sheetView>
  </sheetViews>
  <sheetFormatPr baseColWidth="10" defaultColWidth="8.88671875" defaultRowHeight="14.4" x14ac:dyDescent="0.3"/>
  <cols>
    <col min="3" max="3" width="15.88671875" customWidth="1"/>
  </cols>
  <sheetData>
    <row r="1" spans="1:82" x14ac:dyDescent="0.3">
      <c r="B1" t="s">
        <v>1144</v>
      </c>
    </row>
    <row r="3" spans="1:82" x14ac:dyDescent="0.3">
      <c r="C3" t="s">
        <v>1134</v>
      </c>
      <c r="D3" t="s">
        <v>992</v>
      </c>
      <c r="E3" t="s">
        <v>993</v>
      </c>
      <c r="F3" t="s">
        <v>1135</v>
      </c>
      <c r="G3" t="s">
        <v>127</v>
      </c>
      <c r="H3" s="4" t="s">
        <v>1195</v>
      </c>
      <c r="I3" s="60" t="s">
        <v>1139</v>
      </c>
      <c r="J3" t="s">
        <v>128</v>
      </c>
      <c r="K3" t="s">
        <v>1331</v>
      </c>
    </row>
    <row r="4" spans="1:82" x14ac:dyDescent="0.3">
      <c r="A4" t="s">
        <v>1140</v>
      </c>
      <c r="B4" t="s">
        <v>1142</v>
      </c>
      <c r="C4">
        <v>-0.35989832621425544</v>
      </c>
      <c r="D4">
        <v>-0.26267419768331268</v>
      </c>
      <c r="E4">
        <v>-0.25350789894771697</v>
      </c>
      <c r="F4">
        <v>-0.262118874381572</v>
      </c>
      <c r="G4">
        <v>-3.8737401510850326E-3</v>
      </c>
      <c r="H4">
        <v>-0.12280264718186491</v>
      </c>
      <c r="I4">
        <v>-0.48752411595352707</v>
      </c>
      <c r="J4">
        <v>-0.32878554146818295</v>
      </c>
      <c r="K4">
        <v>-0.22094563591641825</v>
      </c>
    </row>
    <row r="5" spans="1:82" x14ac:dyDescent="0.3">
      <c r="A5" t="s">
        <v>1140</v>
      </c>
      <c r="B5" t="s">
        <v>1141</v>
      </c>
      <c r="C5">
        <v>1.6029705279502049</v>
      </c>
      <c r="D5">
        <v>1.6297386219007777</v>
      </c>
      <c r="E5">
        <v>1.4684956611809663</v>
      </c>
      <c r="F5">
        <v>1.6155830973293142</v>
      </c>
      <c r="G5">
        <v>1.0268112398561471</v>
      </c>
      <c r="H5">
        <v>1.5567055554608569</v>
      </c>
      <c r="I5">
        <v>3.3439664848289499</v>
      </c>
      <c r="J5">
        <v>2.557410792486873</v>
      </c>
      <c r="K5">
        <v>1.836450927085429</v>
      </c>
    </row>
    <row r="6" spans="1:82" x14ac:dyDescent="0.3">
      <c r="A6" t="s">
        <v>1143</v>
      </c>
      <c r="B6" t="s">
        <v>1142</v>
      </c>
      <c r="C6">
        <v>7.8237187726089952E-2</v>
      </c>
      <c r="D6">
        <v>-0.28871033138185337</v>
      </c>
      <c r="E6">
        <v>-0.25656310342851302</v>
      </c>
      <c r="F6">
        <v>-0.28728803588390833</v>
      </c>
      <c r="G6">
        <v>-0.3552906546081735</v>
      </c>
      <c r="H6">
        <v>-0.33566718828218828</v>
      </c>
      <c r="I6">
        <v>-0.28736375990142693</v>
      </c>
      <c r="J6">
        <v>-0.30851208038775951</v>
      </c>
      <c r="K6">
        <v>-0.32077305566810876</v>
      </c>
    </row>
    <row r="7" spans="1:82" x14ac:dyDescent="0.3">
      <c r="A7" t="s">
        <v>1143</v>
      </c>
      <c r="B7" t="s">
        <v>1141</v>
      </c>
      <c r="C7">
        <v>0.62104645666730318</v>
      </c>
      <c r="D7">
        <v>1.7137944299365739</v>
      </c>
      <c r="E7">
        <v>1.6471096215959933</v>
      </c>
      <c r="F7">
        <v>1.7118797158481425</v>
      </c>
      <c r="G7">
        <v>1.8671343537874039</v>
      </c>
      <c r="H7">
        <v>1.7781961747473687</v>
      </c>
      <c r="I7">
        <v>1.5435340881394615</v>
      </c>
      <c r="J7">
        <v>1.647114156125163</v>
      </c>
      <c r="K7">
        <v>1.74111709328586</v>
      </c>
    </row>
    <row r="9" spans="1:82" x14ac:dyDescent="0.3">
      <c r="C9" s="82" t="s">
        <v>16</v>
      </c>
      <c r="D9" s="82" t="s">
        <v>16</v>
      </c>
      <c r="E9" s="82" t="s">
        <v>16</v>
      </c>
      <c r="F9" s="82" t="s">
        <v>16</v>
      </c>
      <c r="G9" s="82" t="s">
        <v>16</v>
      </c>
      <c r="H9" s="82" t="s">
        <v>16</v>
      </c>
      <c r="I9" s="82" t="s">
        <v>16</v>
      </c>
      <c r="J9" s="82" t="s">
        <v>16</v>
      </c>
      <c r="K9" s="82" t="s">
        <v>16</v>
      </c>
      <c r="L9" s="82" t="s">
        <v>17</v>
      </c>
      <c r="M9" s="82" t="s">
        <v>17</v>
      </c>
      <c r="N9" s="4" t="s">
        <v>17</v>
      </c>
      <c r="O9" s="4" t="s">
        <v>17</v>
      </c>
      <c r="P9" s="4" t="s">
        <v>17</v>
      </c>
      <c r="Q9" s="4" t="s">
        <v>17</v>
      </c>
      <c r="R9" s="4" t="s">
        <v>17</v>
      </c>
      <c r="S9" s="4" t="s">
        <v>17</v>
      </c>
      <c r="T9" s="4" t="s">
        <v>17</v>
      </c>
      <c r="U9" s="4"/>
      <c r="V9" s="4"/>
      <c r="W9" s="4"/>
      <c r="X9" s="4"/>
      <c r="Y9" s="4"/>
      <c r="Z9" s="4"/>
      <c r="AA9" s="4"/>
      <c r="AB9" s="4"/>
    </row>
    <row r="10" spans="1:82" x14ac:dyDescent="0.3">
      <c r="C10" s="4" t="s">
        <v>1134</v>
      </c>
      <c r="D10" s="4" t="s">
        <v>992</v>
      </c>
      <c r="E10" s="4" t="s">
        <v>993</v>
      </c>
      <c r="F10" s="4" t="s">
        <v>1135</v>
      </c>
      <c r="G10" s="4" t="s">
        <v>127</v>
      </c>
      <c r="H10" s="4" t="s">
        <v>1139</v>
      </c>
      <c r="I10" s="126" t="s">
        <v>128</v>
      </c>
      <c r="J10" s="4" t="s">
        <v>1331</v>
      </c>
      <c r="K10" s="4" t="s">
        <v>1195</v>
      </c>
      <c r="L10" s="4" t="s">
        <v>1134</v>
      </c>
      <c r="M10" s="4" t="s">
        <v>992</v>
      </c>
      <c r="N10" s="4" t="s">
        <v>993</v>
      </c>
      <c r="O10" s="4" t="s">
        <v>1135</v>
      </c>
      <c r="P10" s="4" t="s">
        <v>127</v>
      </c>
      <c r="Q10" s="4" t="s">
        <v>1139</v>
      </c>
      <c r="R10" s="4" t="s">
        <v>128</v>
      </c>
      <c r="S10" s="4" t="s">
        <v>1331</v>
      </c>
      <c r="T10" s="4" t="s">
        <v>1195</v>
      </c>
      <c r="U10" s="4"/>
      <c r="V10" s="4"/>
      <c r="W10" s="4"/>
      <c r="X10" s="4"/>
      <c r="Y10" s="4"/>
      <c r="Z10" s="4"/>
      <c r="AA10" s="4"/>
      <c r="AB10" s="4"/>
    </row>
    <row r="11" spans="1:82" x14ac:dyDescent="0.3">
      <c r="B11" s="4" t="s">
        <v>719</v>
      </c>
      <c r="C11">
        <v>0.5631521927982458</v>
      </c>
      <c r="D11">
        <v>0.92774559496381648</v>
      </c>
      <c r="E11">
        <v>0.81472830827394049</v>
      </c>
      <c r="F11">
        <v>0.93786424670286894</v>
      </c>
      <c r="G11">
        <v>1.3737873676852854</v>
      </c>
      <c r="H11">
        <v>1.7935606067749685</v>
      </c>
      <c r="I11">
        <v>1.8270159043936429</v>
      </c>
      <c r="J11">
        <v>1.344919465439671</v>
      </c>
      <c r="K11">
        <v>1.478599491643688</v>
      </c>
      <c r="L11">
        <v>-0.28397398621775594</v>
      </c>
      <c r="M11">
        <v>-0.35312014919458196</v>
      </c>
      <c r="N11">
        <v>-0.33605065638257492</v>
      </c>
      <c r="O11">
        <v>-0.29809809186575476</v>
      </c>
      <c r="P11">
        <v>-0.49986560855593642</v>
      </c>
      <c r="Q11">
        <v>-0.54877249769934322</v>
      </c>
      <c r="R11">
        <v>-0.48875357527786978</v>
      </c>
      <c r="S11">
        <v>-0.50568308581327037</v>
      </c>
      <c r="T11">
        <v>-0.44654557049506061</v>
      </c>
    </row>
    <row r="15" spans="1:82" x14ac:dyDescent="0.3"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115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</row>
    <row r="16" spans="1:82" x14ac:dyDescent="0.3">
      <c r="B16" s="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468B-058E-4F08-BE75-B6719F5DDFC7}">
  <dimension ref="A1:CH5"/>
  <sheetViews>
    <sheetView workbookViewId="0"/>
  </sheetViews>
  <sheetFormatPr baseColWidth="10" defaultColWidth="10.88671875" defaultRowHeight="14.4" x14ac:dyDescent="0.3"/>
  <sheetData>
    <row r="1" spans="1:86" x14ac:dyDescent="0.3">
      <c r="C1" s="4" t="s">
        <v>1457</v>
      </c>
      <c r="D1" s="4" t="s">
        <v>1458</v>
      </c>
      <c r="E1" s="4" t="s">
        <v>1459</v>
      </c>
      <c r="F1" s="4" t="s">
        <v>1460</v>
      </c>
      <c r="G1" s="4" t="s">
        <v>1461</v>
      </c>
      <c r="H1" s="4" t="s">
        <v>1462</v>
      </c>
      <c r="I1" s="4" t="s">
        <v>1463</v>
      </c>
      <c r="J1" s="4" t="s">
        <v>1464</v>
      </c>
      <c r="K1" s="4" t="s">
        <v>1465</v>
      </c>
      <c r="L1" s="4" t="s">
        <v>1466</v>
      </c>
      <c r="M1" s="4" t="s">
        <v>1467</v>
      </c>
      <c r="N1" s="4" t="s">
        <v>1468</v>
      </c>
      <c r="O1" s="4" t="s">
        <v>1469</v>
      </c>
      <c r="P1" s="4" t="s">
        <v>1470</v>
      </c>
      <c r="Q1" s="4" t="s">
        <v>1471</v>
      </c>
      <c r="R1" s="4" t="s">
        <v>1472</v>
      </c>
      <c r="S1" s="4" t="s">
        <v>1473</v>
      </c>
      <c r="T1" s="4" t="s">
        <v>1474</v>
      </c>
      <c r="U1" s="4" t="s">
        <v>1475</v>
      </c>
      <c r="V1" s="4" t="s">
        <v>1476</v>
      </c>
      <c r="W1" s="4" t="s">
        <v>1477</v>
      </c>
      <c r="X1" s="4" t="s">
        <v>1478</v>
      </c>
      <c r="Y1" s="4" t="s">
        <v>1479</v>
      </c>
      <c r="Z1" s="4" t="s">
        <v>1480</v>
      </c>
      <c r="AA1" s="4" t="s">
        <v>1481</v>
      </c>
      <c r="AB1" s="4" t="s">
        <v>1482</v>
      </c>
      <c r="AC1" s="4" t="s">
        <v>1483</v>
      </c>
      <c r="AD1" s="4" t="s">
        <v>1484</v>
      </c>
      <c r="AE1" s="4" t="s">
        <v>1485</v>
      </c>
      <c r="AF1" s="4" t="s">
        <v>1486</v>
      </c>
      <c r="AG1" s="4" t="s">
        <v>1487</v>
      </c>
      <c r="AH1" s="4" t="s">
        <v>1488</v>
      </c>
      <c r="AI1" s="4" t="s">
        <v>1489</v>
      </c>
      <c r="AJ1" s="4" t="s">
        <v>1490</v>
      </c>
      <c r="AK1" s="4" t="s">
        <v>1491</v>
      </c>
      <c r="AL1" s="4" t="s">
        <v>1492</v>
      </c>
      <c r="AM1" s="4" t="s">
        <v>1493</v>
      </c>
      <c r="AN1" s="4" t="s">
        <v>1494</v>
      </c>
      <c r="AO1" s="4" t="s">
        <v>1495</v>
      </c>
      <c r="AP1" s="4" t="s">
        <v>1496</v>
      </c>
      <c r="AQ1" s="4" t="s">
        <v>1497</v>
      </c>
      <c r="AR1" s="4" t="s">
        <v>1498</v>
      </c>
      <c r="AS1" s="4" t="s">
        <v>1499</v>
      </c>
      <c r="AT1" s="4" t="s">
        <v>1500</v>
      </c>
      <c r="AU1" s="4" t="s">
        <v>1501</v>
      </c>
      <c r="AV1" s="4" t="s">
        <v>1502</v>
      </c>
      <c r="AW1" s="4" t="s">
        <v>1503</v>
      </c>
      <c r="AX1" s="4" t="s">
        <v>1504</v>
      </c>
      <c r="AY1" s="4" t="s">
        <v>1505</v>
      </c>
      <c r="AZ1" s="4" t="s">
        <v>1506</v>
      </c>
      <c r="BA1" s="4" t="s">
        <v>1507</v>
      </c>
      <c r="BB1" s="4" t="s">
        <v>1508</v>
      </c>
      <c r="BC1" s="4" t="s">
        <v>1509</v>
      </c>
      <c r="BD1" s="4" t="s">
        <v>1510</v>
      </c>
      <c r="BE1" s="4" t="s">
        <v>1511</v>
      </c>
      <c r="BF1" s="4" t="s">
        <v>1512</v>
      </c>
      <c r="BG1" s="4" t="s">
        <v>1513</v>
      </c>
      <c r="BH1" s="4" t="s">
        <v>1514</v>
      </c>
      <c r="BI1" s="4" t="s">
        <v>1515</v>
      </c>
      <c r="BJ1" s="4" t="s">
        <v>1516</v>
      </c>
      <c r="BK1" s="4" t="s">
        <v>1517</v>
      </c>
      <c r="BL1" s="4" t="s">
        <v>1518</v>
      </c>
      <c r="BM1" s="4" t="s">
        <v>1519</v>
      </c>
      <c r="BN1" s="4" t="s">
        <v>1520</v>
      </c>
      <c r="BO1" s="4" t="s">
        <v>1521</v>
      </c>
      <c r="BP1" s="4" t="s">
        <v>1522</v>
      </c>
      <c r="BQ1" s="4" t="s">
        <v>1523</v>
      </c>
      <c r="BR1" s="4" t="s">
        <v>1524</v>
      </c>
      <c r="BS1" s="4" t="s">
        <v>1525</v>
      </c>
      <c r="BT1" s="4" t="s">
        <v>1526</v>
      </c>
      <c r="BU1" s="4" t="s">
        <v>1527</v>
      </c>
      <c r="BV1" s="4" t="s">
        <v>1528</v>
      </c>
      <c r="BW1" s="4" t="s">
        <v>1529</v>
      </c>
      <c r="BX1" s="4" t="s">
        <v>1530</v>
      </c>
      <c r="BY1" s="4" t="s">
        <v>1531</v>
      </c>
      <c r="BZ1" s="4" t="s">
        <v>1532</v>
      </c>
      <c r="CA1" s="4" t="s">
        <v>1533</v>
      </c>
      <c r="CB1" s="4" t="s">
        <v>1534</v>
      </c>
      <c r="CC1" s="4" t="s">
        <v>1535</v>
      </c>
      <c r="CD1" s="4" t="s">
        <v>1536</v>
      </c>
      <c r="CE1" s="4" t="s">
        <v>1537</v>
      </c>
      <c r="CF1" s="4" t="s">
        <v>1538</v>
      </c>
      <c r="CG1" s="4" t="s">
        <v>1539</v>
      </c>
      <c r="CH1" s="4" t="s">
        <v>1540</v>
      </c>
    </row>
    <row r="2" spans="1:86" x14ac:dyDescent="0.3">
      <c r="A2" s="4" t="s">
        <v>1455</v>
      </c>
      <c r="B2" s="4" t="s">
        <v>32</v>
      </c>
      <c r="C2">
        <v>1.2999999999996501</v>
      </c>
      <c r="D2">
        <v>1.1000000000000101</v>
      </c>
      <c r="E2">
        <v>1.00000000000028</v>
      </c>
      <c r="F2">
        <v>-5.1000000000001204</v>
      </c>
      <c r="G2">
        <v>3.8535558719630298</v>
      </c>
      <c r="H2">
        <v>3.2060224265464399</v>
      </c>
      <c r="I2">
        <v>1.27733016068927</v>
      </c>
      <c r="J2">
        <v>1.3759785994845899</v>
      </c>
      <c r="K2">
        <v>8.0864899872478304</v>
      </c>
      <c r="L2">
        <v>7.1835829124777604</v>
      </c>
      <c r="M2">
        <v>6.34426139587283</v>
      </c>
      <c r="N2">
        <v>5.7274144841830497</v>
      </c>
      <c r="O2">
        <v>5.3119461217939898</v>
      </c>
      <c r="P2">
        <v>5.0224432627378102</v>
      </c>
      <c r="Q2">
        <v>4.7203567752898099</v>
      </c>
      <c r="R2">
        <v>4.57204686081724</v>
      </c>
      <c r="S2">
        <v>4.43631600700646</v>
      </c>
      <c r="T2">
        <v>4.2797046099810299</v>
      </c>
      <c r="U2">
        <v>4.1210674175279998</v>
      </c>
      <c r="V2">
        <v>3.9545431384421899</v>
      </c>
      <c r="W2">
        <v>3.8381797467119001</v>
      </c>
      <c r="X2">
        <v>3.7279799332054799</v>
      </c>
      <c r="Y2">
        <v>3.6461749530995999</v>
      </c>
      <c r="Z2">
        <v>3.5747680920565599</v>
      </c>
      <c r="AA2">
        <v>3.4705160471077701</v>
      </c>
      <c r="AB2">
        <v>3.4142941461668301</v>
      </c>
      <c r="AC2">
        <v>3.3572382805044398</v>
      </c>
      <c r="AD2">
        <v>3.30817373855476</v>
      </c>
      <c r="AE2">
        <v>3.2665262718927002</v>
      </c>
      <c r="AF2">
        <v>3.20045217495128</v>
      </c>
      <c r="AG2">
        <v>3.17096372886316</v>
      </c>
      <c r="AH2">
        <v>3.1441552317194001</v>
      </c>
      <c r="AI2">
        <v>3.1216965456333599</v>
      </c>
      <c r="AJ2">
        <v>3.1088884489305801</v>
      </c>
      <c r="AK2">
        <v>3.1043497656769001</v>
      </c>
      <c r="AL2">
        <v>3.1000384020208398</v>
      </c>
      <c r="AM2">
        <v>3.09592072113607</v>
      </c>
      <c r="AN2">
        <v>3.0919717488495402</v>
      </c>
      <c r="AO2">
        <v>3.0881728443307801</v>
      </c>
      <c r="AP2">
        <v>3.0845099755743899</v>
      </c>
      <c r="AQ2">
        <v>3.0809724444426898</v>
      </c>
      <c r="AR2">
        <v>3.07755194757579</v>
      </c>
      <c r="AS2">
        <v>3.07424188888894</v>
      </c>
      <c r="AT2">
        <v>3.0710368805013402</v>
      </c>
      <c r="AU2">
        <v>3.06793238436744</v>
      </c>
      <c r="AV2">
        <v>3.0649244583444299</v>
      </c>
      <c r="AW2">
        <v>3.0620095790889699</v>
      </c>
      <c r="AX2">
        <v>3.0591845208006698</v>
      </c>
      <c r="AY2">
        <v>3.0564462739509102</v>
      </c>
      <c r="AZ2">
        <v>3.0537919921130201</v>
      </c>
      <c r="BA2">
        <v>3.05121895809466</v>
      </c>
      <c r="BB2">
        <v>3.0487245629635402</v>
      </c>
      <c r="BC2">
        <v>3.0463062933848901</v>
      </c>
      <c r="BD2">
        <v>3.0439617240769401</v>
      </c>
      <c r="BE2">
        <v>3.0416885132221698</v>
      </c>
      <c r="BF2">
        <v>3.0394843994257599</v>
      </c>
      <c r="BG2">
        <v>3.0373471993519301</v>
      </c>
      <c r="BH2">
        <v>3.0352748055386898</v>
      </c>
      <c r="BI2">
        <v>3.03326518414119</v>
      </c>
      <c r="BJ2">
        <v>3.0313163725090102</v>
      </c>
      <c r="BK2">
        <v>3.0294264765943</v>
      </c>
      <c r="BL2">
        <v>3.02759366823723</v>
      </c>
      <c r="BM2">
        <v>3.0258161823926302</v>
      </c>
      <c r="BN2">
        <v>3.0240923143617602</v>
      </c>
      <c r="BO2">
        <v>3.0224204170867299</v>
      </c>
      <c r="BP2">
        <v>3.0207988985504199</v>
      </c>
      <c r="BQ2">
        <v>3.0192262193109798</v>
      </c>
      <c r="BR2">
        <v>3.0177008901876001</v>
      </c>
      <c r="BS2">
        <v>3.0162214701031398</v>
      </c>
      <c r="BT2">
        <v>3.0147865640821099</v>
      </c>
      <c r="BU2">
        <v>3.0133948213939501</v>
      </c>
      <c r="BV2">
        <v>3.0120449338330202</v>
      </c>
      <c r="BW2">
        <v>3.0107356341193299</v>
      </c>
      <c r="BX2">
        <v>3.0094656944076101</v>
      </c>
      <c r="BY2">
        <v>3.0082339248913099</v>
      </c>
      <c r="BZ2">
        <v>3.0070391724895198</v>
      </c>
      <c r="CA2">
        <v>3.0058803196060202</v>
      </c>
      <c r="CB2">
        <v>3.00475628295069</v>
      </c>
      <c r="CC2">
        <v>3.0036660124174799</v>
      </c>
      <c r="CD2">
        <v>3.00260849001039</v>
      </c>
      <c r="CE2">
        <v>3.0015827288137902</v>
      </c>
      <c r="CF2">
        <v>3.00058777200285</v>
      </c>
      <c r="CG2">
        <v>2.9996226918905999</v>
      </c>
      <c r="CH2">
        <v>2.9986865890089698</v>
      </c>
    </row>
    <row r="3" spans="1:86" x14ac:dyDescent="0.3">
      <c r="A3" s="4" t="s">
        <v>1455</v>
      </c>
      <c r="B3" s="4" t="s">
        <v>1714</v>
      </c>
      <c r="C3">
        <v>0.18268517657979055</v>
      </c>
      <c r="D3">
        <v>0.18268517657979055</v>
      </c>
      <c r="E3">
        <v>0.18268517657979055</v>
      </c>
      <c r="F3">
        <v>0.18268517657979055</v>
      </c>
      <c r="G3">
        <v>0.18268517657979055</v>
      </c>
      <c r="H3">
        <v>0.18268517657979055</v>
      </c>
      <c r="I3">
        <v>0.18268517657979055</v>
      </c>
      <c r="J3">
        <v>0.18268517657979055</v>
      </c>
      <c r="K3">
        <v>0.18268517657979055</v>
      </c>
      <c r="L3">
        <v>0.18268517657979055</v>
      </c>
      <c r="M3">
        <v>0.18268517657979055</v>
      </c>
      <c r="N3">
        <v>0.18268517657979055</v>
      </c>
      <c r="O3">
        <v>0.18268517657979055</v>
      </c>
      <c r="P3">
        <v>0.18268517657979055</v>
      </c>
      <c r="Q3">
        <v>0.18268517657979055</v>
      </c>
      <c r="R3">
        <v>0.18268517657979055</v>
      </c>
      <c r="S3">
        <v>0.18268517657979055</v>
      </c>
      <c r="T3">
        <v>0.18268517657979055</v>
      </c>
      <c r="U3">
        <v>0.18268517657979055</v>
      </c>
      <c r="V3">
        <v>0.18268517657979055</v>
      </c>
      <c r="W3">
        <v>0.18268517657979055</v>
      </c>
      <c r="X3">
        <v>0.18268517657979055</v>
      </c>
      <c r="Y3">
        <v>0.18268517657979055</v>
      </c>
      <c r="Z3">
        <v>0.18268517657979055</v>
      </c>
      <c r="AA3">
        <v>0.18268517657979055</v>
      </c>
      <c r="AB3">
        <v>0.18268517657979055</v>
      </c>
      <c r="AC3">
        <v>0.18268517657979055</v>
      </c>
      <c r="AD3">
        <v>0.18268517657979055</v>
      </c>
      <c r="AE3">
        <v>0.18268517657979055</v>
      </c>
      <c r="AF3">
        <v>0.18268517657979055</v>
      </c>
      <c r="AG3">
        <v>0.18268517657979055</v>
      </c>
      <c r="AH3">
        <v>0.18268517657979055</v>
      </c>
      <c r="AI3">
        <v>0.18268517657979055</v>
      </c>
      <c r="AJ3">
        <v>0.18268517657979055</v>
      </c>
      <c r="AK3">
        <v>0.18268517657979055</v>
      </c>
      <c r="AL3">
        <v>0.18268517657979055</v>
      </c>
      <c r="AM3">
        <v>0.18268517657979055</v>
      </c>
      <c r="AN3">
        <v>0.18268517657979055</v>
      </c>
      <c r="AO3">
        <v>0.18268517657979055</v>
      </c>
      <c r="AP3">
        <v>0.18268517657979055</v>
      </c>
      <c r="AQ3">
        <v>0.18268517657979055</v>
      </c>
      <c r="AR3">
        <v>0.18268517657979055</v>
      </c>
      <c r="AS3">
        <v>0.18268517657979055</v>
      </c>
      <c r="AT3">
        <v>0.18268517657979055</v>
      </c>
      <c r="AU3">
        <v>0.18268517657979055</v>
      </c>
      <c r="AV3">
        <v>0.18268517657979055</v>
      </c>
      <c r="AW3">
        <v>0.18268517657979055</v>
      </c>
      <c r="AX3">
        <v>0.18268517657979055</v>
      </c>
      <c r="AY3">
        <v>0.18268517657979055</v>
      </c>
      <c r="AZ3">
        <v>0.18268517657979055</v>
      </c>
      <c r="BA3">
        <v>0.18268517657979055</v>
      </c>
      <c r="BB3">
        <v>0.18268517657979055</v>
      </c>
      <c r="BC3">
        <v>0.18268517657979055</v>
      </c>
      <c r="BD3">
        <v>0.18268517657979055</v>
      </c>
      <c r="BE3">
        <v>0.18268517657979055</v>
      </c>
      <c r="BF3">
        <v>0.18268517657979055</v>
      </c>
      <c r="BG3">
        <v>0.18268517657979055</v>
      </c>
      <c r="BH3">
        <v>0.18268517657979055</v>
      </c>
      <c r="BI3">
        <v>0.18268517657979055</v>
      </c>
      <c r="BJ3">
        <v>0.18268517657979055</v>
      </c>
      <c r="BK3">
        <v>0.18268517657979055</v>
      </c>
      <c r="BL3">
        <v>0.18268517657979055</v>
      </c>
      <c r="BM3">
        <v>0.18268517657979055</v>
      </c>
      <c r="BN3">
        <v>0.18268517657979055</v>
      </c>
      <c r="BO3">
        <v>0.18268517657979055</v>
      </c>
      <c r="BP3">
        <v>0.18268517657979055</v>
      </c>
      <c r="BQ3">
        <v>0.18268517657979055</v>
      </c>
      <c r="BR3">
        <v>0.18268517657979055</v>
      </c>
      <c r="BS3">
        <v>0.18268517657979055</v>
      </c>
      <c r="BT3">
        <v>0.18268517657979055</v>
      </c>
      <c r="BU3">
        <v>0.18268517657979055</v>
      </c>
      <c r="BV3">
        <v>0.18268517657979055</v>
      </c>
      <c r="BW3">
        <v>0.18268517657979055</v>
      </c>
      <c r="BX3">
        <v>0.18268517657979055</v>
      </c>
      <c r="BY3">
        <v>0.18268517657979055</v>
      </c>
      <c r="BZ3">
        <v>0.18268517657979055</v>
      </c>
      <c r="CA3">
        <v>0.18268517657979055</v>
      </c>
      <c r="CB3">
        <v>0.18268517657979055</v>
      </c>
      <c r="CC3">
        <v>0.18268517657979055</v>
      </c>
      <c r="CD3">
        <v>0.18268517657979055</v>
      </c>
      <c r="CE3">
        <v>0.18268517657979055</v>
      </c>
      <c r="CF3">
        <v>0.18268517657979055</v>
      </c>
      <c r="CG3">
        <v>0.18268517657979055</v>
      </c>
      <c r="CH3">
        <v>0.18268517657979055</v>
      </c>
    </row>
    <row r="4" spans="1:86" x14ac:dyDescent="0.3">
      <c r="A4" s="4" t="s">
        <v>1455</v>
      </c>
      <c r="B4" s="4" t="s">
        <v>1715</v>
      </c>
      <c r="C4">
        <v>1.3443578685706238E-2</v>
      </c>
      <c r="D4">
        <v>1.3443578685706238E-2</v>
      </c>
      <c r="E4">
        <v>1.3443578685706238E-2</v>
      </c>
      <c r="F4">
        <v>1.3443578685706238E-2</v>
      </c>
      <c r="G4">
        <v>1.3443578685706238E-2</v>
      </c>
      <c r="H4">
        <v>1.3443578685706238E-2</v>
      </c>
      <c r="I4">
        <v>1.3443578685706238E-2</v>
      </c>
      <c r="J4">
        <v>1.3443578685706238E-2</v>
      </c>
      <c r="K4">
        <v>1.3443578685706238E-2</v>
      </c>
      <c r="L4">
        <v>1.3443578685706238E-2</v>
      </c>
      <c r="M4">
        <v>1.3443578685706238E-2</v>
      </c>
      <c r="N4">
        <v>1.3443578685706238E-2</v>
      </c>
      <c r="O4">
        <v>1.3443578685706238E-2</v>
      </c>
      <c r="P4">
        <v>1.3443578685706238E-2</v>
      </c>
      <c r="Q4">
        <v>1.3443578685706238E-2</v>
      </c>
      <c r="R4">
        <v>1.3443578685706238E-2</v>
      </c>
      <c r="S4">
        <v>1.3443578685706238E-2</v>
      </c>
      <c r="T4">
        <v>1.3443578685706238E-2</v>
      </c>
      <c r="U4">
        <v>1.3443578685706238E-2</v>
      </c>
      <c r="V4">
        <v>1.3443578685706238E-2</v>
      </c>
      <c r="W4">
        <v>1.3443578685706238E-2</v>
      </c>
      <c r="X4">
        <v>1.3443578685706238E-2</v>
      </c>
      <c r="Y4">
        <v>1.3443578685706238E-2</v>
      </c>
      <c r="Z4">
        <v>1.3443578685706238E-2</v>
      </c>
      <c r="AA4">
        <v>1.3443578685706238E-2</v>
      </c>
      <c r="AB4">
        <v>1.3443578685706238E-2</v>
      </c>
      <c r="AC4">
        <v>1.3443578685706238E-2</v>
      </c>
      <c r="AD4">
        <v>1.3443578685706238E-2</v>
      </c>
      <c r="AE4">
        <v>1.3443578685706238E-2</v>
      </c>
      <c r="AF4">
        <v>1.3443578685706238E-2</v>
      </c>
      <c r="AG4">
        <v>1.3443578685706238E-2</v>
      </c>
      <c r="AH4">
        <v>1.3443578685706238E-2</v>
      </c>
      <c r="AI4">
        <v>1.3443578685706238E-2</v>
      </c>
      <c r="AJ4">
        <v>1.3443578685706238E-2</v>
      </c>
      <c r="AK4">
        <v>1.3443578685706238E-2</v>
      </c>
      <c r="AL4">
        <v>1.3443578685706238E-2</v>
      </c>
      <c r="AM4">
        <v>1.3443578685706238E-2</v>
      </c>
      <c r="AN4">
        <v>1.3443578685706238E-2</v>
      </c>
      <c r="AO4">
        <v>1.3443578685706238E-2</v>
      </c>
      <c r="AP4">
        <v>1.3443578685706238E-2</v>
      </c>
      <c r="AQ4">
        <v>1.3443578685706238E-2</v>
      </c>
      <c r="AR4">
        <v>1.3443578685706238E-2</v>
      </c>
      <c r="AS4">
        <v>1.3443578685706238E-2</v>
      </c>
      <c r="AT4">
        <v>1.3443578685706238E-2</v>
      </c>
      <c r="AU4">
        <v>1.3443578685706238E-2</v>
      </c>
      <c r="AV4">
        <v>1.3443578685706238E-2</v>
      </c>
      <c r="AW4">
        <v>1.3443578685706238E-2</v>
      </c>
      <c r="AX4">
        <v>1.3443578685706238E-2</v>
      </c>
      <c r="AY4">
        <v>1.3443578685706238E-2</v>
      </c>
      <c r="AZ4">
        <v>1.3443578685706238E-2</v>
      </c>
      <c r="BA4">
        <v>1.3443578685706238E-2</v>
      </c>
      <c r="BB4">
        <v>1.3443578685706238E-2</v>
      </c>
      <c r="BC4">
        <v>1.3443578685706238E-2</v>
      </c>
      <c r="BD4">
        <v>1.3443578685706238E-2</v>
      </c>
      <c r="BE4">
        <v>1.3443578685706238E-2</v>
      </c>
      <c r="BF4">
        <v>1.3443578685706238E-2</v>
      </c>
      <c r="BG4">
        <v>1.3443578685706238E-2</v>
      </c>
      <c r="BH4">
        <v>1.3443578685706238E-2</v>
      </c>
      <c r="BI4">
        <v>1.3443578685706238E-2</v>
      </c>
      <c r="BJ4">
        <v>1.3443578685706238E-2</v>
      </c>
      <c r="BK4">
        <v>1.3443578685706238E-2</v>
      </c>
      <c r="BL4">
        <v>1.3443578685706238E-2</v>
      </c>
      <c r="BM4">
        <v>1.3443578685706238E-2</v>
      </c>
      <c r="BN4">
        <v>1.3443578685706238E-2</v>
      </c>
      <c r="BO4">
        <v>1.3443578685706238E-2</v>
      </c>
      <c r="BP4">
        <v>1.3443578685706238E-2</v>
      </c>
      <c r="BQ4">
        <v>1.3443578685706238E-2</v>
      </c>
      <c r="BR4">
        <v>1.3443578685706238E-2</v>
      </c>
      <c r="BS4">
        <v>1.3443578685706238E-2</v>
      </c>
      <c r="BT4">
        <v>1.3443578685706238E-2</v>
      </c>
      <c r="BU4">
        <v>1.3443578685706238E-2</v>
      </c>
      <c r="BV4">
        <v>1.3443578685706238E-2</v>
      </c>
      <c r="BW4">
        <v>1.3443578685706238E-2</v>
      </c>
      <c r="BX4">
        <v>1.3443578685706238E-2</v>
      </c>
      <c r="BY4">
        <v>1.3443578685706238E-2</v>
      </c>
      <c r="BZ4">
        <v>1.3443578685706238E-2</v>
      </c>
      <c r="CA4">
        <v>1.3443578685706238E-2</v>
      </c>
      <c r="CB4">
        <v>1.3443578685706238E-2</v>
      </c>
      <c r="CC4">
        <v>1.3443578685706238E-2</v>
      </c>
      <c r="CD4">
        <v>1.3443578685706238E-2</v>
      </c>
      <c r="CE4">
        <v>1.3443578685706238E-2</v>
      </c>
      <c r="CF4">
        <v>1.3443578685706238E-2</v>
      </c>
      <c r="CG4">
        <v>1.3443578685706238E-2</v>
      </c>
      <c r="CH4">
        <v>1.3443578685706238E-2</v>
      </c>
    </row>
    <row r="5" spans="1:86" x14ac:dyDescent="0.3">
      <c r="A5" s="4" t="s">
        <v>1455</v>
      </c>
      <c r="B5" s="4" t="s">
        <v>1716</v>
      </c>
      <c r="C5">
        <v>-1.5235254559150341E-2</v>
      </c>
      <c r="D5">
        <v>-1.5235254559150341E-2</v>
      </c>
      <c r="E5">
        <v>-1.5235254559150341E-2</v>
      </c>
      <c r="F5">
        <v>-1.5235254559150341E-2</v>
      </c>
      <c r="G5">
        <v>-1.5235254559150341E-2</v>
      </c>
      <c r="H5">
        <v>-1.5235254559150341E-2</v>
      </c>
      <c r="I5">
        <v>-1.5235254559150341E-2</v>
      </c>
      <c r="J5">
        <v>-1.5235254559150341E-2</v>
      </c>
      <c r="K5">
        <v>-1.5235254559150341E-2</v>
      </c>
      <c r="L5">
        <v>-1.5235254559150341E-2</v>
      </c>
      <c r="M5">
        <v>-1.5235254559150341E-2</v>
      </c>
      <c r="N5">
        <v>-1.5235254559150341E-2</v>
      </c>
      <c r="O5">
        <v>-1.5235254559150341E-2</v>
      </c>
      <c r="P5">
        <v>-1.5235254559150341E-2</v>
      </c>
      <c r="Q5">
        <v>-1.5235254559150341E-2</v>
      </c>
      <c r="R5">
        <v>-1.5235254559150341E-2</v>
      </c>
      <c r="S5">
        <v>-1.5235254559150341E-2</v>
      </c>
      <c r="T5">
        <v>-1.5235254559150341E-2</v>
      </c>
      <c r="U5">
        <v>-1.5235254559150341E-2</v>
      </c>
      <c r="V5">
        <v>-1.5235254559150341E-2</v>
      </c>
      <c r="W5">
        <v>-1.5235254559150341E-2</v>
      </c>
      <c r="X5">
        <v>-1.5235254559150341E-2</v>
      </c>
      <c r="Y5">
        <v>-1.5235254559150341E-2</v>
      </c>
      <c r="Z5">
        <v>-1.5235254559150341E-2</v>
      </c>
      <c r="AA5">
        <v>-1.5235254559150341E-2</v>
      </c>
      <c r="AB5">
        <v>-1.5235254559150341E-2</v>
      </c>
      <c r="AC5">
        <v>-1.5235254559150341E-2</v>
      </c>
      <c r="AD5">
        <v>-1.5235254559150341E-2</v>
      </c>
      <c r="AE5">
        <v>-1.5235254559150341E-2</v>
      </c>
      <c r="AF5">
        <v>-1.5235254559150341E-2</v>
      </c>
      <c r="AG5">
        <v>-1.5235254559150341E-2</v>
      </c>
      <c r="AH5">
        <v>-1.5235254559150341E-2</v>
      </c>
      <c r="AI5">
        <v>-1.5235254559150341E-2</v>
      </c>
      <c r="AJ5">
        <v>-1.5235254559150341E-2</v>
      </c>
      <c r="AK5">
        <v>-1.5235254559150341E-2</v>
      </c>
      <c r="AL5">
        <v>-1.5235254559150341E-2</v>
      </c>
      <c r="AM5">
        <v>-1.5235254559150341E-2</v>
      </c>
      <c r="AN5">
        <v>-1.5235254559150341E-2</v>
      </c>
      <c r="AO5">
        <v>-1.5235254559150341E-2</v>
      </c>
      <c r="AP5">
        <v>-1.5235254559150341E-2</v>
      </c>
      <c r="AQ5">
        <v>-1.5235254559150341E-2</v>
      </c>
      <c r="AR5">
        <v>-1.5235254559150341E-2</v>
      </c>
      <c r="AS5">
        <v>-1.5235254559150341E-2</v>
      </c>
      <c r="AT5">
        <v>-1.5235254559150341E-2</v>
      </c>
      <c r="AU5">
        <v>-1.5235254559150341E-2</v>
      </c>
      <c r="AV5">
        <v>-1.5235254559150341E-2</v>
      </c>
      <c r="AW5">
        <v>-1.5235254559150341E-2</v>
      </c>
      <c r="AX5">
        <v>-1.5235254559150341E-2</v>
      </c>
      <c r="AY5">
        <v>-1.5235254559150341E-2</v>
      </c>
      <c r="AZ5">
        <v>-1.5235254559150341E-2</v>
      </c>
      <c r="BA5">
        <v>-1.5235254559150341E-2</v>
      </c>
      <c r="BB5">
        <v>-1.5235254559150341E-2</v>
      </c>
      <c r="BC5">
        <v>-1.5235254559150341E-2</v>
      </c>
      <c r="BD5">
        <v>-1.5235254559150341E-2</v>
      </c>
      <c r="BE5">
        <v>-1.5235254559150341E-2</v>
      </c>
      <c r="BF5">
        <v>-1.5235254559150341E-2</v>
      </c>
      <c r="BG5">
        <v>-1.5235254559150341E-2</v>
      </c>
      <c r="BH5">
        <v>-1.5235254559150341E-2</v>
      </c>
      <c r="BI5">
        <v>-1.5235254559150341E-2</v>
      </c>
      <c r="BJ5">
        <v>-1.5235254559150341E-2</v>
      </c>
      <c r="BK5">
        <v>-1.5235254559150341E-2</v>
      </c>
      <c r="BL5">
        <v>-1.5235254559150341E-2</v>
      </c>
      <c r="BM5">
        <v>-1.5235254559150341E-2</v>
      </c>
      <c r="BN5">
        <v>-1.5235254559150341E-2</v>
      </c>
      <c r="BO5">
        <v>-1.5235254559150341E-2</v>
      </c>
      <c r="BP5">
        <v>-1.5235254559150341E-2</v>
      </c>
      <c r="BQ5">
        <v>-1.5235254559150341E-2</v>
      </c>
      <c r="BR5">
        <v>-1.5235254559150341E-2</v>
      </c>
      <c r="BS5">
        <v>-1.5235254559150341E-2</v>
      </c>
      <c r="BT5">
        <v>-1.5235254559150341E-2</v>
      </c>
      <c r="BU5">
        <v>-1.5235254559150341E-2</v>
      </c>
      <c r="BV5">
        <v>-1.5235254559150341E-2</v>
      </c>
      <c r="BW5">
        <v>-1.5235254559150341E-2</v>
      </c>
      <c r="BX5">
        <v>-1.5235254559150341E-2</v>
      </c>
      <c r="BY5">
        <v>-1.5235254559150341E-2</v>
      </c>
      <c r="BZ5">
        <v>-1.5235254559150341E-2</v>
      </c>
      <c r="CA5">
        <v>-1.5235254559150341E-2</v>
      </c>
      <c r="CB5">
        <v>-1.5235254559150341E-2</v>
      </c>
      <c r="CC5">
        <v>-1.5235254559150341E-2</v>
      </c>
      <c r="CD5">
        <v>-1.5235254559150341E-2</v>
      </c>
      <c r="CE5">
        <v>-1.5235254559150341E-2</v>
      </c>
      <c r="CF5">
        <v>-1.5235254559150341E-2</v>
      </c>
      <c r="CG5">
        <v>-1.5235254559150341E-2</v>
      </c>
      <c r="CH5">
        <v>-1.5235254559150341E-2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97E5-E3C1-43B4-A1DD-1897CB1051C5}">
  <dimension ref="A1:J19"/>
  <sheetViews>
    <sheetView workbookViewId="0">
      <selection activeCell="D13" sqref="D13"/>
    </sheetView>
  </sheetViews>
  <sheetFormatPr baseColWidth="10" defaultColWidth="8.88671875" defaultRowHeight="14.4" x14ac:dyDescent="0.3"/>
  <cols>
    <col min="1" max="1" width="12.21875" customWidth="1"/>
    <col min="2" max="2" width="13.21875" customWidth="1"/>
    <col min="4" max="5" width="14.77734375" customWidth="1"/>
  </cols>
  <sheetData>
    <row r="1" spans="1:10" x14ac:dyDescent="0.3">
      <c r="A1" t="s">
        <v>1412</v>
      </c>
      <c r="D1" t="s">
        <v>1414</v>
      </c>
      <c r="G1" t="s">
        <v>1401</v>
      </c>
    </row>
    <row r="2" spans="1:10" ht="34.049999999999997" customHeight="1" x14ac:dyDescent="0.3">
      <c r="A2" s="129" t="s">
        <v>1413</v>
      </c>
      <c r="B2" s="129"/>
      <c r="D2" s="130" t="s">
        <v>1415</v>
      </c>
      <c r="E2" s="130"/>
    </row>
    <row r="3" spans="1:10" x14ac:dyDescent="0.3">
      <c r="A3" t="s">
        <v>1399</v>
      </c>
      <c r="D3" t="s">
        <v>1400</v>
      </c>
    </row>
    <row r="5" spans="1:10" x14ac:dyDescent="0.3">
      <c r="A5" t="s">
        <v>1402</v>
      </c>
      <c r="B5">
        <v>0.3</v>
      </c>
      <c r="D5" t="s">
        <v>1402</v>
      </c>
      <c r="E5">
        <v>0.02</v>
      </c>
      <c r="G5" t="s">
        <v>1416</v>
      </c>
      <c r="H5">
        <v>0.02</v>
      </c>
      <c r="J5" t="s">
        <v>1417</v>
      </c>
    </row>
    <row r="6" spans="1:10" x14ac:dyDescent="0.3">
      <c r="A6" t="s">
        <v>1403</v>
      </c>
      <c r="B6">
        <v>0.3</v>
      </c>
      <c r="D6" t="s">
        <v>1403</v>
      </c>
      <c r="E6">
        <v>0.02</v>
      </c>
      <c r="G6" t="s">
        <v>1404</v>
      </c>
      <c r="H6">
        <v>0.06</v>
      </c>
      <c r="J6" t="s">
        <v>1418</v>
      </c>
    </row>
    <row r="7" spans="1:10" x14ac:dyDescent="0.3">
      <c r="G7" t="s">
        <v>1405</v>
      </c>
      <c r="H7">
        <v>0.5</v>
      </c>
      <c r="J7" t="s">
        <v>1419</v>
      </c>
    </row>
    <row r="8" spans="1:10" x14ac:dyDescent="0.3">
      <c r="G8" t="s">
        <v>1406</v>
      </c>
      <c r="H8">
        <v>0.2</v>
      </c>
      <c r="J8" t="s">
        <v>1420</v>
      </c>
    </row>
    <row r="9" spans="1:10" x14ac:dyDescent="0.3">
      <c r="G9" t="s">
        <v>1407</v>
      </c>
      <c r="H9">
        <v>0.01</v>
      </c>
      <c r="J9" t="s">
        <v>1422</v>
      </c>
    </row>
    <row r="10" spans="1:10" x14ac:dyDescent="0.3">
      <c r="G10" t="s">
        <v>1408</v>
      </c>
      <c r="H10">
        <v>0.03</v>
      </c>
      <c r="J10" t="s">
        <v>1421</v>
      </c>
    </row>
    <row r="14" spans="1:10" x14ac:dyDescent="0.3">
      <c r="A14" t="s">
        <v>1409</v>
      </c>
      <c r="B14">
        <v>0.3</v>
      </c>
    </row>
    <row r="15" spans="1:10" x14ac:dyDescent="0.3">
      <c r="A15" t="s">
        <v>1410</v>
      </c>
      <c r="B15">
        <v>0.3</v>
      </c>
    </row>
    <row r="16" spans="1:10" x14ac:dyDescent="0.3">
      <c r="A16" t="s">
        <v>1411</v>
      </c>
      <c r="B16">
        <v>0.3</v>
      </c>
    </row>
    <row r="17" spans="1:2" x14ac:dyDescent="0.3">
      <c r="A17" t="s">
        <v>232</v>
      </c>
      <c r="B17">
        <v>0.3</v>
      </c>
    </row>
    <row r="18" spans="1:2" x14ac:dyDescent="0.3">
      <c r="A18" t="s">
        <v>363</v>
      </c>
      <c r="B18">
        <v>0.3</v>
      </c>
    </row>
    <row r="19" spans="1:2" x14ac:dyDescent="0.3">
      <c r="A19" t="s">
        <v>267</v>
      </c>
      <c r="B19">
        <v>0.3</v>
      </c>
    </row>
  </sheetData>
  <mergeCells count="2">
    <mergeCell ref="A2:B2"/>
    <mergeCell ref="D2:E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>
      <selection activeCell="I23" sqref="I23"/>
    </sheetView>
  </sheetViews>
  <sheetFormatPr baseColWidth="10" defaultColWidth="8.88671875" defaultRowHeight="14.4" x14ac:dyDescent="0.3"/>
  <sheetData>
    <row r="1" spans="1:2" x14ac:dyDescent="0.3">
      <c r="B1" s="23" t="s">
        <v>118</v>
      </c>
    </row>
    <row r="2" spans="1:2" x14ac:dyDescent="0.3">
      <c r="A2" t="s">
        <v>129</v>
      </c>
      <c r="B2" s="24"/>
    </row>
    <row r="3" spans="1:2" x14ac:dyDescent="0.3">
      <c r="A3" t="s">
        <v>235</v>
      </c>
      <c r="B3" s="24"/>
    </row>
    <row r="4" spans="1:2" x14ac:dyDescent="0.3">
      <c r="A4" t="s">
        <v>137</v>
      </c>
      <c r="B4" s="24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H8"/>
  <sheetViews>
    <sheetView workbookViewId="0">
      <selection activeCell="C4" sqref="C4"/>
    </sheetView>
  </sheetViews>
  <sheetFormatPr baseColWidth="10" defaultColWidth="10.88671875" defaultRowHeight="14.4" x14ac:dyDescent="0.3"/>
  <cols>
    <col min="2" max="2" width="17.21875" customWidth="1"/>
  </cols>
  <sheetData>
    <row r="1" spans="1:86" x14ac:dyDescent="0.3">
      <c r="C1" s="4">
        <v>2017</v>
      </c>
      <c r="D1" s="4">
        <f>+C1+1</f>
        <v>2018</v>
      </c>
      <c r="E1" s="4">
        <f t="shared" ref="E1:BP1" si="0">+D1+1</f>
        <v>2019</v>
      </c>
      <c r="F1" s="4">
        <f t="shared" si="0"/>
        <v>2020</v>
      </c>
      <c r="G1" s="4">
        <f t="shared" si="0"/>
        <v>2021</v>
      </c>
      <c r="H1" s="4">
        <f t="shared" si="0"/>
        <v>2022</v>
      </c>
      <c r="I1" s="4">
        <f t="shared" si="0"/>
        <v>2023</v>
      </c>
      <c r="J1" s="4">
        <f t="shared" si="0"/>
        <v>2024</v>
      </c>
      <c r="K1" s="4">
        <f t="shared" si="0"/>
        <v>2025</v>
      </c>
      <c r="L1" s="4">
        <f t="shared" si="0"/>
        <v>2026</v>
      </c>
      <c r="M1" s="4">
        <f t="shared" si="0"/>
        <v>2027</v>
      </c>
      <c r="N1" s="4">
        <f t="shared" si="0"/>
        <v>2028</v>
      </c>
      <c r="O1" s="4">
        <f t="shared" si="0"/>
        <v>2029</v>
      </c>
      <c r="P1" s="4">
        <f t="shared" si="0"/>
        <v>2030</v>
      </c>
      <c r="Q1" s="4">
        <f t="shared" si="0"/>
        <v>2031</v>
      </c>
      <c r="R1" s="4">
        <f t="shared" si="0"/>
        <v>2032</v>
      </c>
      <c r="S1" s="4">
        <f t="shared" si="0"/>
        <v>2033</v>
      </c>
      <c r="T1" s="4">
        <f t="shared" si="0"/>
        <v>2034</v>
      </c>
      <c r="U1" s="4">
        <f t="shared" si="0"/>
        <v>2035</v>
      </c>
      <c r="V1" s="4">
        <f t="shared" si="0"/>
        <v>2036</v>
      </c>
      <c r="W1" s="4">
        <f t="shared" si="0"/>
        <v>2037</v>
      </c>
      <c r="X1" s="4">
        <f t="shared" si="0"/>
        <v>2038</v>
      </c>
      <c r="Y1" s="4">
        <f t="shared" si="0"/>
        <v>2039</v>
      </c>
      <c r="Z1" s="4">
        <f t="shared" si="0"/>
        <v>2040</v>
      </c>
      <c r="AA1" s="4">
        <f t="shared" si="0"/>
        <v>2041</v>
      </c>
      <c r="AB1" s="4">
        <f t="shared" si="0"/>
        <v>2042</v>
      </c>
      <c r="AC1" s="4">
        <f t="shared" si="0"/>
        <v>2043</v>
      </c>
      <c r="AD1" s="4">
        <f t="shared" si="0"/>
        <v>2044</v>
      </c>
      <c r="AE1" s="4">
        <f t="shared" si="0"/>
        <v>2045</v>
      </c>
      <c r="AF1" s="4">
        <f t="shared" si="0"/>
        <v>2046</v>
      </c>
      <c r="AG1" s="4">
        <f t="shared" si="0"/>
        <v>2047</v>
      </c>
      <c r="AH1" s="4">
        <f t="shared" si="0"/>
        <v>2048</v>
      </c>
      <c r="AI1" s="4">
        <f t="shared" si="0"/>
        <v>2049</v>
      </c>
      <c r="AJ1" s="4">
        <f t="shared" si="0"/>
        <v>2050</v>
      </c>
      <c r="AK1" s="4">
        <f t="shared" si="0"/>
        <v>2051</v>
      </c>
      <c r="AL1" s="4">
        <f t="shared" si="0"/>
        <v>2052</v>
      </c>
      <c r="AM1" s="4">
        <f t="shared" si="0"/>
        <v>2053</v>
      </c>
      <c r="AN1" s="4">
        <f t="shared" si="0"/>
        <v>2054</v>
      </c>
      <c r="AO1" s="4">
        <f t="shared" si="0"/>
        <v>2055</v>
      </c>
      <c r="AP1" s="4">
        <f t="shared" si="0"/>
        <v>2056</v>
      </c>
      <c r="AQ1" s="4">
        <f t="shared" si="0"/>
        <v>2057</v>
      </c>
      <c r="AR1" s="4">
        <f t="shared" si="0"/>
        <v>2058</v>
      </c>
      <c r="AS1" s="4">
        <f t="shared" si="0"/>
        <v>2059</v>
      </c>
      <c r="AT1" s="4">
        <f t="shared" si="0"/>
        <v>2060</v>
      </c>
      <c r="AU1" s="4">
        <f t="shared" si="0"/>
        <v>2061</v>
      </c>
      <c r="AV1" s="4">
        <f t="shared" si="0"/>
        <v>2062</v>
      </c>
      <c r="AW1" s="4">
        <f t="shared" si="0"/>
        <v>2063</v>
      </c>
      <c r="AX1" s="4">
        <f t="shared" si="0"/>
        <v>2064</v>
      </c>
      <c r="AY1" s="4">
        <f t="shared" si="0"/>
        <v>2065</v>
      </c>
      <c r="AZ1" s="4">
        <f t="shared" si="0"/>
        <v>2066</v>
      </c>
      <c r="BA1" s="4">
        <f t="shared" si="0"/>
        <v>2067</v>
      </c>
      <c r="BB1" s="4">
        <f t="shared" si="0"/>
        <v>2068</v>
      </c>
      <c r="BC1" s="4">
        <f t="shared" si="0"/>
        <v>2069</v>
      </c>
      <c r="BD1" s="4">
        <f t="shared" si="0"/>
        <v>2070</v>
      </c>
      <c r="BE1" s="4">
        <f t="shared" si="0"/>
        <v>2071</v>
      </c>
      <c r="BF1" s="4">
        <f t="shared" si="0"/>
        <v>2072</v>
      </c>
      <c r="BG1" s="4">
        <f t="shared" si="0"/>
        <v>2073</v>
      </c>
      <c r="BH1" s="4">
        <f t="shared" si="0"/>
        <v>2074</v>
      </c>
      <c r="BI1" s="4">
        <f t="shared" si="0"/>
        <v>2075</v>
      </c>
      <c r="BJ1" s="4">
        <f t="shared" si="0"/>
        <v>2076</v>
      </c>
      <c r="BK1" s="4">
        <f t="shared" si="0"/>
        <v>2077</v>
      </c>
      <c r="BL1" s="4">
        <f t="shared" si="0"/>
        <v>2078</v>
      </c>
      <c r="BM1" s="4">
        <f t="shared" si="0"/>
        <v>2079</v>
      </c>
      <c r="BN1" s="4">
        <f t="shared" si="0"/>
        <v>2080</v>
      </c>
      <c r="BO1" s="4">
        <f t="shared" si="0"/>
        <v>2081</v>
      </c>
      <c r="BP1" s="4">
        <f t="shared" si="0"/>
        <v>2082</v>
      </c>
      <c r="BQ1" s="4">
        <f t="shared" ref="BQ1:CH1" si="1">+BP1+1</f>
        <v>2083</v>
      </c>
      <c r="BR1" s="4">
        <f t="shared" si="1"/>
        <v>2084</v>
      </c>
      <c r="BS1" s="4">
        <f t="shared" si="1"/>
        <v>2085</v>
      </c>
      <c r="BT1" s="4">
        <f t="shared" si="1"/>
        <v>2086</v>
      </c>
      <c r="BU1" s="4">
        <f t="shared" si="1"/>
        <v>2087</v>
      </c>
      <c r="BV1" s="4">
        <f t="shared" si="1"/>
        <v>2088</v>
      </c>
      <c r="BW1" s="4">
        <f t="shared" si="1"/>
        <v>2089</v>
      </c>
      <c r="BX1" s="4">
        <f t="shared" si="1"/>
        <v>2090</v>
      </c>
      <c r="BY1" s="4">
        <f t="shared" si="1"/>
        <v>2091</v>
      </c>
      <c r="BZ1" s="4">
        <f t="shared" si="1"/>
        <v>2092</v>
      </c>
      <c r="CA1" s="4">
        <f t="shared" si="1"/>
        <v>2093</v>
      </c>
      <c r="CB1" s="4">
        <f t="shared" si="1"/>
        <v>2094</v>
      </c>
      <c r="CC1" s="4">
        <f t="shared" si="1"/>
        <v>2095</v>
      </c>
      <c r="CD1" s="4">
        <f t="shared" si="1"/>
        <v>2096</v>
      </c>
      <c r="CE1" s="4">
        <f t="shared" si="1"/>
        <v>2097</v>
      </c>
      <c r="CF1" s="4">
        <f t="shared" si="1"/>
        <v>2098</v>
      </c>
      <c r="CG1" s="4">
        <f t="shared" si="1"/>
        <v>2099</v>
      </c>
      <c r="CH1" s="4">
        <f t="shared" si="1"/>
        <v>2100</v>
      </c>
    </row>
    <row r="2" spans="1:86" x14ac:dyDescent="0.3">
      <c r="A2" s="4" t="s">
        <v>981</v>
      </c>
      <c r="B2" s="4" t="s">
        <v>977</v>
      </c>
      <c r="C2">
        <v>0.5</v>
      </c>
      <c r="D2">
        <f>+C2+0.5</f>
        <v>1</v>
      </c>
      <c r="E2">
        <f t="shared" ref="E2:BP2" si="2">+D2+0.5</f>
        <v>1.5</v>
      </c>
      <c r="F2">
        <f t="shared" si="2"/>
        <v>2</v>
      </c>
      <c r="G2">
        <f t="shared" si="2"/>
        <v>2.5</v>
      </c>
      <c r="H2">
        <f t="shared" si="2"/>
        <v>3</v>
      </c>
      <c r="I2">
        <f t="shared" si="2"/>
        <v>3.5</v>
      </c>
      <c r="J2">
        <f t="shared" si="2"/>
        <v>4</v>
      </c>
      <c r="K2">
        <f t="shared" si="2"/>
        <v>4.5</v>
      </c>
      <c r="L2">
        <f t="shared" si="2"/>
        <v>5</v>
      </c>
      <c r="M2">
        <f t="shared" si="2"/>
        <v>5.5</v>
      </c>
      <c r="N2">
        <f t="shared" si="2"/>
        <v>6</v>
      </c>
      <c r="O2">
        <f t="shared" si="2"/>
        <v>6.5</v>
      </c>
      <c r="P2">
        <f t="shared" si="2"/>
        <v>7</v>
      </c>
      <c r="Q2">
        <f t="shared" si="2"/>
        <v>7.5</v>
      </c>
      <c r="R2">
        <f t="shared" si="2"/>
        <v>8</v>
      </c>
      <c r="S2">
        <f t="shared" si="2"/>
        <v>8.5</v>
      </c>
      <c r="T2">
        <f t="shared" si="2"/>
        <v>9</v>
      </c>
      <c r="U2">
        <f t="shared" si="2"/>
        <v>9.5</v>
      </c>
      <c r="V2">
        <f t="shared" si="2"/>
        <v>10</v>
      </c>
      <c r="W2">
        <f t="shared" si="2"/>
        <v>10.5</v>
      </c>
      <c r="X2">
        <f t="shared" si="2"/>
        <v>11</v>
      </c>
      <c r="Y2">
        <f t="shared" si="2"/>
        <v>11.5</v>
      </c>
      <c r="Z2">
        <f t="shared" si="2"/>
        <v>12</v>
      </c>
      <c r="AA2">
        <f t="shared" si="2"/>
        <v>12.5</v>
      </c>
      <c r="AB2">
        <f t="shared" si="2"/>
        <v>13</v>
      </c>
      <c r="AC2">
        <f t="shared" si="2"/>
        <v>13.5</v>
      </c>
      <c r="AD2">
        <f t="shared" si="2"/>
        <v>14</v>
      </c>
      <c r="AE2">
        <f t="shared" si="2"/>
        <v>14.5</v>
      </c>
      <c r="AF2">
        <f t="shared" si="2"/>
        <v>15</v>
      </c>
      <c r="AG2">
        <f t="shared" si="2"/>
        <v>15.5</v>
      </c>
      <c r="AH2">
        <f t="shared" si="2"/>
        <v>16</v>
      </c>
      <c r="AI2">
        <f t="shared" si="2"/>
        <v>16.5</v>
      </c>
      <c r="AJ2">
        <f t="shared" si="2"/>
        <v>17</v>
      </c>
      <c r="AK2">
        <f t="shared" si="2"/>
        <v>17.5</v>
      </c>
      <c r="AL2">
        <f t="shared" si="2"/>
        <v>18</v>
      </c>
      <c r="AM2">
        <f t="shared" si="2"/>
        <v>18.5</v>
      </c>
      <c r="AN2">
        <f t="shared" si="2"/>
        <v>19</v>
      </c>
      <c r="AO2">
        <f t="shared" si="2"/>
        <v>19.5</v>
      </c>
      <c r="AP2">
        <f t="shared" si="2"/>
        <v>20</v>
      </c>
      <c r="AQ2">
        <f t="shared" si="2"/>
        <v>20.5</v>
      </c>
      <c r="AR2">
        <f t="shared" si="2"/>
        <v>21</v>
      </c>
      <c r="AS2">
        <f t="shared" si="2"/>
        <v>21.5</v>
      </c>
      <c r="AT2">
        <f t="shared" si="2"/>
        <v>22</v>
      </c>
      <c r="AU2">
        <f t="shared" si="2"/>
        <v>22.5</v>
      </c>
      <c r="AV2">
        <f t="shared" si="2"/>
        <v>23</v>
      </c>
      <c r="AW2">
        <f t="shared" si="2"/>
        <v>23.5</v>
      </c>
      <c r="AX2">
        <f t="shared" si="2"/>
        <v>24</v>
      </c>
      <c r="AY2">
        <f t="shared" si="2"/>
        <v>24.5</v>
      </c>
      <c r="AZ2">
        <f t="shared" si="2"/>
        <v>25</v>
      </c>
      <c r="BA2">
        <f t="shared" si="2"/>
        <v>25.5</v>
      </c>
      <c r="BB2">
        <f t="shared" si="2"/>
        <v>26</v>
      </c>
      <c r="BC2">
        <f t="shared" si="2"/>
        <v>26.5</v>
      </c>
      <c r="BD2">
        <f t="shared" si="2"/>
        <v>27</v>
      </c>
      <c r="BE2">
        <f t="shared" si="2"/>
        <v>27.5</v>
      </c>
      <c r="BF2">
        <f t="shared" si="2"/>
        <v>28</v>
      </c>
      <c r="BG2">
        <f t="shared" si="2"/>
        <v>28.5</v>
      </c>
      <c r="BH2">
        <f t="shared" si="2"/>
        <v>29</v>
      </c>
      <c r="BI2">
        <f t="shared" si="2"/>
        <v>29.5</v>
      </c>
      <c r="BJ2">
        <f t="shared" si="2"/>
        <v>30</v>
      </c>
      <c r="BK2">
        <f t="shared" si="2"/>
        <v>30.5</v>
      </c>
      <c r="BL2">
        <f t="shared" si="2"/>
        <v>31</v>
      </c>
      <c r="BM2">
        <f t="shared" si="2"/>
        <v>31.5</v>
      </c>
      <c r="BN2">
        <f t="shared" si="2"/>
        <v>32</v>
      </c>
      <c r="BO2">
        <f t="shared" si="2"/>
        <v>32.5</v>
      </c>
      <c r="BP2">
        <f t="shared" si="2"/>
        <v>33</v>
      </c>
      <c r="BQ2">
        <f t="shared" ref="BQ2:CH2" si="3">+BP2+0.5</f>
        <v>33.5</v>
      </c>
      <c r="BR2">
        <f t="shared" si="3"/>
        <v>34</v>
      </c>
      <c r="BS2">
        <f t="shared" si="3"/>
        <v>34.5</v>
      </c>
      <c r="BT2">
        <f t="shared" si="3"/>
        <v>35</v>
      </c>
      <c r="BU2">
        <f t="shared" si="3"/>
        <v>35.5</v>
      </c>
      <c r="BV2">
        <f t="shared" si="3"/>
        <v>36</v>
      </c>
      <c r="BW2">
        <f t="shared" si="3"/>
        <v>36.5</v>
      </c>
      <c r="BX2">
        <f t="shared" si="3"/>
        <v>37</v>
      </c>
      <c r="BY2">
        <f t="shared" si="3"/>
        <v>37.5</v>
      </c>
      <c r="BZ2">
        <f t="shared" si="3"/>
        <v>38</v>
      </c>
      <c r="CA2">
        <f t="shared" si="3"/>
        <v>38.5</v>
      </c>
      <c r="CB2">
        <f t="shared" si="3"/>
        <v>39</v>
      </c>
      <c r="CC2">
        <f t="shared" si="3"/>
        <v>39.5</v>
      </c>
      <c r="CD2">
        <f t="shared" si="3"/>
        <v>40</v>
      </c>
      <c r="CE2">
        <f t="shared" si="3"/>
        <v>40.5</v>
      </c>
      <c r="CF2">
        <f t="shared" si="3"/>
        <v>41</v>
      </c>
      <c r="CG2">
        <f t="shared" si="3"/>
        <v>41.5</v>
      </c>
      <c r="CH2">
        <f t="shared" si="3"/>
        <v>42</v>
      </c>
    </row>
    <row r="3" spans="1:86" x14ac:dyDescent="0.3">
      <c r="A3" s="4" t="s">
        <v>981</v>
      </c>
      <c r="B3" s="4" t="s">
        <v>982</v>
      </c>
      <c r="C3">
        <v>1</v>
      </c>
      <c r="D3">
        <f>+MAX(+C3-0.02,0.0000000001)</f>
        <v>0.98</v>
      </c>
      <c r="E3">
        <f t="shared" ref="E3:BP4" si="4">+MAX(+D3-0.02,0.0000000001)</f>
        <v>0.96</v>
      </c>
      <c r="F3">
        <f t="shared" si="4"/>
        <v>0.94</v>
      </c>
      <c r="G3">
        <f t="shared" si="4"/>
        <v>0.91999999999999993</v>
      </c>
      <c r="H3">
        <f t="shared" si="4"/>
        <v>0.89999999999999991</v>
      </c>
      <c r="I3">
        <f t="shared" si="4"/>
        <v>0.87999999999999989</v>
      </c>
      <c r="J3">
        <f t="shared" si="4"/>
        <v>0.85999999999999988</v>
      </c>
      <c r="K3">
        <f t="shared" si="4"/>
        <v>0.83999999999999986</v>
      </c>
      <c r="L3">
        <f t="shared" si="4"/>
        <v>0.81999999999999984</v>
      </c>
      <c r="M3">
        <f t="shared" si="4"/>
        <v>0.79999999999999982</v>
      </c>
      <c r="N3">
        <f t="shared" si="4"/>
        <v>0.7799999999999998</v>
      </c>
      <c r="O3">
        <f t="shared" si="4"/>
        <v>0.75999999999999979</v>
      </c>
      <c r="P3">
        <f t="shared" si="4"/>
        <v>0.73999999999999977</v>
      </c>
      <c r="Q3">
        <f t="shared" si="4"/>
        <v>0.71999999999999975</v>
      </c>
      <c r="R3">
        <f t="shared" si="4"/>
        <v>0.69999999999999973</v>
      </c>
      <c r="S3">
        <f t="shared" si="4"/>
        <v>0.67999999999999972</v>
      </c>
      <c r="T3">
        <f t="shared" si="4"/>
        <v>0.6599999999999997</v>
      </c>
      <c r="U3">
        <f t="shared" si="4"/>
        <v>0.63999999999999968</v>
      </c>
      <c r="V3">
        <f t="shared" si="4"/>
        <v>0.61999999999999966</v>
      </c>
      <c r="W3">
        <f t="shared" si="4"/>
        <v>0.59999999999999964</v>
      </c>
      <c r="X3">
        <f t="shared" si="4"/>
        <v>0.57999999999999963</v>
      </c>
      <c r="Y3">
        <f t="shared" si="4"/>
        <v>0.55999999999999961</v>
      </c>
      <c r="Z3">
        <f t="shared" si="4"/>
        <v>0.53999999999999959</v>
      </c>
      <c r="AA3">
        <f t="shared" si="4"/>
        <v>0.51999999999999957</v>
      </c>
      <c r="AB3">
        <f t="shared" si="4"/>
        <v>0.49999999999999956</v>
      </c>
      <c r="AC3">
        <f t="shared" si="4"/>
        <v>0.47999999999999954</v>
      </c>
      <c r="AD3">
        <f t="shared" si="4"/>
        <v>0.45999999999999952</v>
      </c>
      <c r="AE3">
        <f t="shared" si="4"/>
        <v>0.4399999999999995</v>
      </c>
      <c r="AF3">
        <f t="shared" si="4"/>
        <v>0.41999999999999948</v>
      </c>
      <c r="AG3">
        <f t="shared" si="4"/>
        <v>0.39999999999999947</v>
      </c>
      <c r="AH3">
        <f t="shared" si="4"/>
        <v>0.37999999999999945</v>
      </c>
      <c r="AI3">
        <f t="shared" si="4"/>
        <v>0.35999999999999943</v>
      </c>
      <c r="AJ3">
        <f t="shared" si="4"/>
        <v>0.33999999999999941</v>
      </c>
      <c r="AK3">
        <f t="shared" si="4"/>
        <v>0.3199999999999994</v>
      </c>
      <c r="AL3">
        <f t="shared" si="4"/>
        <v>0.29999999999999938</v>
      </c>
      <c r="AM3">
        <f t="shared" si="4"/>
        <v>0.27999999999999936</v>
      </c>
      <c r="AN3">
        <f t="shared" si="4"/>
        <v>0.25999999999999934</v>
      </c>
      <c r="AO3">
        <f t="shared" si="4"/>
        <v>0.23999999999999935</v>
      </c>
      <c r="AP3">
        <f t="shared" si="4"/>
        <v>0.21999999999999936</v>
      </c>
      <c r="AQ3">
        <f t="shared" si="4"/>
        <v>0.19999999999999937</v>
      </c>
      <c r="AR3">
        <f t="shared" si="4"/>
        <v>0.17999999999999938</v>
      </c>
      <c r="AS3">
        <f t="shared" si="4"/>
        <v>0.15999999999999939</v>
      </c>
      <c r="AT3">
        <f t="shared" si="4"/>
        <v>0.1399999999999994</v>
      </c>
      <c r="AU3">
        <f t="shared" si="4"/>
        <v>0.1199999999999994</v>
      </c>
      <c r="AV3">
        <f t="shared" si="4"/>
        <v>9.9999999999999395E-2</v>
      </c>
      <c r="AW3">
        <f t="shared" si="4"/>
        <v>7.9999999999999391E-2</v>
      </c>
      <c r="AX3">
        <f t="shared" si="4"/>
        <v>5.9999999999999387E-2</v>
      </c>
      <c r="AY3">
        <f t="shared" si="4"/>
        <v>3.9999999999999383E-2</v>
      </c>
      <c r="AZ3">
        <f t="shared" si="4"/>
        <v>1.9999999999999383E-2</v>
      </c>
      <c r="BA3">
        <f t="shared" si="4"/>
        <v>1E-10</v>
      </c>
      <c r="BB3">
        <f t="shared" si="4"/>
        <v>1E-10</v>
      </c>
      <c r="BC3">
        <f t="shared" si="4"/>
        <v>1E-10</v>
      </c>
      <c r="BD3">
        <f t="shared" si="4"/>
        <v>1E-10</v>
      </c>
      <c r="BE3">
        <f t="shared" si="4"/>
        <v>1E-10</v>
      </c>
      <c r="BF3">
        <f t="shared" si="4"/>
        <v>1E-10</v>
      </c>
      <c r="BG3">
        <f t="shared" si="4"/>
        <v>1E-10</v>
      </c>
      <c r="BH3">
        <f t="shared" si="4"/>
        <v>1E-10</v>
      </c>
      <c r="BI3">
        <f t="shared" si="4"/>
        <v>1E-10</v>
      </c>
      <c r="BJ3">
        <f t="shared" si="4"/>
        <v>1E-10</v>
      </c>
      <c r="BK3">
        <f t="shared" si="4"/>
        <v>1E-10</v>
      </c>
      <c r="BL3">
        <f t="shared" si="4"/>
        <v>1E-10</v>
      </c>
      <c r="BM3">
        <f t="shared" si="4"/>
        <v>1E-10</v>
      </c>
      <c r="BN3">
        <f t="shared" si="4"/>
        <v>1E-10</v>
      </c>
      <c r="BO3">
        <f t="shared" si="4"/>
        <v>1E-10</v>
      </c>
      <c r="BP3">
        <f t="shared" si="4"/>
        <v>1E-10</v>
      </c>
      <c r="BQ3">
        <f t="shared" ref="BQ3:CH4" si="5">+MAX(+BP3-0.02,0.0000000001)</f>
        <v>1E-10</v>
      </c>
      <c r="BR3">
        <f t="shared" si="5"/>
        <v>1E-10</v>
      </c>
      <c r="BS3">
        <f t="shared" si="5"/>
        <v>1E-10</v>
      </c>
      <c r="BT3">
        <f t="shared" si="5"/>
        <v>1E-10</v>
      </c>
      <c r="BU3">
        <f t="shared" si="5"/>
        <v>1E-10</v>
      </c>
      <c r="BV3">
        <f t="shared" si="5"/>
        <v>1E-10</v>
      </c>
      <c r="BW3">
        <f t="shared" si="5"/>
        <v>1E-10</v>
      </c>
      <c r="BX3">
        <f t="shared" si="5"/>
        <v>1E-10</v>
      </c>
      <c r="BY3">
        <f t="shared" si="5"/>
        <v>1E-10</v>
      </c>
      <c r="BZ3">
        <f t="shared" si="5"/>
        <v>1E-10</v>
      </c>
      <c r="CA3">
        <f t="shared" si="5"/>
        <v>1E-10</v>
      </c>
      <c r="CB3">
        <f t="shared" si="5"/>
        <v>1E-10</v>
      </c>
      <c r="CC3">
        <f t="shared" si="5"/>
        <v>1E-10</v>
      </c>
      <c r="CD3">
        <f t="shared" si="5"/>
        <v>1E-10</v>
      </c>
      <c r="CE3">
        <f t="shared" si="5"/>
        <v>1E-10</v>
      </c>
      <c r="CF3">
        <f t="shared" si="5"/>
        <v>1E-10</v>
      </c>
      <c r="CG3">
        <f t="shared" si="5"/>
        <v>1E-10</v>
      </c>
      <c r="CH3">
        <f t="shared" si="5"/>
        <v>1E-10</v>
      </c>
    </row>
    <row r="4" spans="1:86" x14ac:dyDescent="0.3">
      <c r="A4" s="4" t="s">
        <v>981</v>
      </c>
      <c r="B4" s="4" t="s">
        <v>983</v>
      </c>
      <c r="C4">
        <v>1</v>
      </c>
      <c r="D4">
        <f t="shared" ref="D4:BO4" si="6">+MAX(+C4-0.02,0.0000000001)</f>
        <v>0.98</v>
      </c>
      <c r="E4">
        <f t="shared" si="6"/>
        <v>0.96</v>
      </c>
      <c r="F4">
        <f t="shared" si="6"/>
        <v>0.94</v>
      </c>
      <c r="G4">
        <f t="shared" si="6"/>
        <v>0.91999999999999993</v>
      </c>
      <c r="H4">
        <f t="shared" si="6"/>
        <v>0.89999999999999991</v>
      </c>
      <c r="I4">
        <f t="shared" si="6"/>
        <v>0.87999999999999989</v>
      </c>
      <c r="J4">
        <f t="shared" si="6"/>
        <v>0.85999999999999988</v>
      </c>
      <c r="K4">
        <f t="shared" si="6"/>
        <v>0.83999999999999986</v>
      </c>
      <c r="L4">
        <f t="shared" si="6"/>
        <v>0.81999999999999984</v>
      </c>
      <c r="M4">
        <f t="shared" si="6"/>
        <v>0.79999999999999982</v>
      </c>
      <c r="N4">
        <f t="shared" si="6"/>
        <v>0.7799999999999998</v>
      </c>
      <c r="O4">
        <f t="shared" si="6"/>
        <v>0.75999999999999979</v>
      </c>
      <c r="P4">
        <f t="shared" si="6"/>
        <v>0.73999999999999977</v>
      </c>
      <c r="Q4">
        <f t="shared" si="6"/>
        <v>0.71999999999999975</v>
      </c>
      <c r="R4">
        <f t="shared" si="6"/>
        <v>0.69999999999999973</v>
      </c>
      <c r="S4">
        <f t="shared" si="6"/>
        <v>0.67999999999999972</v>
      </c>
      <c r="T4">
        <f t="shared" si="6"/>
        <v>0.6599999999999997</v>
      </c>
      <c r="U4">
        <f t="shared" si="6"/>
        <v>0.63999999999999968</v>
      </c>
      <c r="V4">
        <f t="shared" si="6"/>
        <v>0.61999999999999966</v>
      </c>
      <c r="W4">
        <f t="shared" si="6"/>
        <v>0.59999999999999964</v>
      </c>
      <c r="X4">
        <f t="shared" si="6"/>
        <v>0.57999999999999963</v>
      </c>
      <c r="Y4">
        <f t="shared" si="6"/>
        <v>0.55999999999999961</v>
      </c>
      <c r="Z4">
        <f t="shared" si="6"/>
        <v>0.53999999999999959</v>
      </c>
      <c r="AA4">
        <f t="shared" si="6"/>
        <v>0.51999999999999957</v>
      </c>
      <c r="AB4">
        <f t="shared" si="6"/>
        <v>0.49999999999999956</v>
      </c>
      <c r="AC4">
        <f t="shared" si="6"/>
        <v>0.47999999999999954</v>
      </c>
      <c r="AD4">
        <f t="shared" si="6"/>
        <v>0.45999999999999952</v>
      </c>
      <c r="AE4">
        <f t="shared" si="6"/>
        <v>0.4399999999999995</v>
      </c>
      <c r="AF4">
        <f t="shared" si="6"/>
        <v>0.41999999999999948</v>
      </c>
      <c r="AG4">
        <f t="shared" si="6"/>
        <v>0.39999999999999947</v>
      </c>
      <c r="AH4">
        <f t="shared" si="6"/>
        <v>0.37999999999999945</v>
      </c>
      <c r="AI4">
        <f t="shared" si="6"/>
        <v>0.35999999999999943</v>
      </c>
      <c r="AJ4">
        <f t="shared" si="6"/>
        <v>0.33999999999999941</v>
      </c>
      <c r="AK4">
        <f t="shared" si="6"/>
        <v>0.3199999999999994</v>
      </c>
      <c r="AL4">
        <f t="shared" si="6"/>
        <v>0.29999999999999938</v>
      </c>
      <c r="AM4">
        <f t="shared" si="6"/>
        <v>0.27999999999999936</v>
      </c>
      <c r="AN4">
        <f t="shared" si="6"/>
        <v>0.25999999999999934</v>
      </c>
      <c r="AO4">
        <f t="shared" si="6"/>
        <v>0.23999999999999935</v>
      </c>
      <c r="AP4">
        <f t="shared" si="6"/>
        <v>0.21999999999999936</v>
      </c>
      <c r="AQ4">
        <f t="shared" si="6"/>
        <v>0.19999999999999937</v>
      </c>
      <c r="AR4">
        <f t="shared" si="6"/>
        <v>0.17999999999999938</v>
      </c>
      <c r="AS4">
        <f t="shared" si="6"/>
        <v>0.15999999999999939</v>
      </c>
      <c r="AT4">
        <f t="shared" si="6"/>
        <v>0.1399999999999994</v>
      </c>
      <c r="AU4">
        <f t="shared" si="6"/>
        <v>0.1199999999999994</v>
      </c>
      <c r="AV4">
        <f t="shared" si="6"/>
        <v>9.9999999999999395E-2</v>
      </c>
      <c r="AW4">
        <f t="shared" si="6"/>
        <v>7.9999999999999391E-2</v>
      </c>
      <c r="AX4">
        <f t="shared" si="6"/>
        <v>5.9999999999999387E-2</v>
      </c>
      <c r="AY4">
        <f t="shared" si="6"/>
        <v>3.9999999999999383E-2</v>
      </c>
      <c r="AZ4">
        <f t="shared" si="6"/>
        <v>1.9999999999999383E-2</v>
      </c>
      <c r="BA4">
        <f t="shared" si="6"/>
        <v>1E-10</v>
      </c>
      <c r="BB4">
        <f t="shared" si="6"/>
        <v>1E-10</v>
      </c>
      <c r="BC4">
        <f t="shared" si="6"/>
        <v>1E-10</v>
      </c>
      <c r="BD4">
        <f t="shared" si="6"/>
        <v>1E-10</v>
      </c>
      <c r="BE4">
        <f t="shared" si="6"/>
        <v>1E-10</v>
      </c>
      <c r="BF4">
        <f t="shared" si="6"/>
        <v>1E-10</v>
      </c>
      <c r="BG4">
        <f t="shared" si="6"/>
        <v>1E-10</v>
      </c>
      <c r="BH4">
        <f t="shared" si="6"/>
        <v>1E-10</v>
      </c>
      <c r="BI4">
        <f t="shared" si="6"/>
        <v>1E-10</v>
      </c>
      <c r="BJ4">
        <f t="shared" si="6"/>
        <v>1E-10</v>
      </c>
      <c r="BK4">
        <f t="shared" si="6"/>
        <v>1E-10</v>
      </c>
      <c r="BL4">
        <f t="shared" si="6"/>
        <v>1E-10</v>
      </c>
      <c r="BM4">
        <f t="shared" si="6"/>
        <v>1E-10</v>
      </c>
      <c r="BN4">
        <f t="shared" si="6"/>
        <v>1E-10</v>
      </c>
      <c r="BO4">
        <f t="shared" si="6"/>
        <v>1E-10</v>
      </c>
      <c r="BP4">
        <f t="shared" si="4"/>
        <v>1E-10</v>
      </c>
      <c r="BQ4">
        <f t="shared" si="5"/>
        <v>1E-10</v>
      </c>
      <c r="BR4">
        <f t="shared" si="5"/>
        <v>1E-10</v>
      </c>
      <c r="BS4">
        <f t="shared" si="5"/>
        <v>1E-10</v>
      </c>
      <c r="BT4">
        <f t="shared" si="5"/>
        <v>1E-10</v>
      </c>
      <c r="BU4">
        <f t="shared" si="5"/>
        <v>1E-10</v>
      </c>
      <c r="BV4">
        <f t="shared" si="5"/>
        <v>1E-10</v>
      </c>
      <c r="BW4">
        <f t="shared" si="5"/>
        <v>1E-10</v>
      </c>
      <c r="BX4">
        <f t="shared" si="5"/>
        <v>1E-10</v>
      </c>
      <c r="BY4">
        <f t="shared" si="5"/>
        <v>1E-10</v>
      </c>
      <c r="BZ4">
        <f t="shared" si="5"/>
        <v>1E-10</v>
      </c>
      <c r="CA4">
        <f t="shared" si="5"/>
        <v>1E-10</v>
      </c>
      <c r="CB4">
        <f t="shared" si="5"/>
        <v>1E-10</v>
      </c>
      <c r="CC4">
        <f t="shared" si="5"/>
        <v>1E-10</v>
      </c>
      <c r="CD4">
        <f t="shared" si="5"/>
        <v>1E-10</v>
      </c>
      <c r="CE4">
        <f t="shared" si="5"/>
        <v>1E-10</v>
      </c>
      <c r="CF4">
        <f t="shared" si="5"/>
        <v>1E-10</v>
      </c>
      <c r="CG4">
        <f t="shared" si="5"/>
        <v>1E-10</v>
      </c>
      <c r="CH4">
        <f t="shared" si="5"/>
        <v>1E-10</v>
      </c>
    </row>
    <row r="5" spans="1:86" x14ac:dyDescent="0.3">
      <c r="A5" s="4" t="s">
        <v>981</v>
      </c>
      <c r="B5" s="4" t="s">
        <v>984</v>
      </c>
    </row>
    <row r="6" spans="1:86" x14ac:dyDescent="0.3">
      <c r="A6" s="4"/>
      <c r="B6" s="4"/>
    </row>
    <row r="7" spans="1:86" x14ac:dyDescent="0.3">
      <c r="A7" s="4"/>
      <c r="B7" s="4"/>
    </row>
    <row r="8" spans="1:86" x14ac:dyDescent="0.3">
      <c r="A8" s="4"/>
      <c r="B8" s="4"/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I106"/>
  <sheetViews>
    <sheetView workbookViewId="0">
      <selection activeCell="G12" sqref="G11:G12"/>
    </sheetView>
  </sheetViews>
  <sheetFormatPr baseColWidth="10" defaultColWidth="10.88671875" defaultRowHeight="14.4" x14ac:dyDescent="0.3"/>
  <sheetData>
    <row r="1" spans="1:87" x14ac:dyDescent="0.3">
      <c r="D1" s="4" t="s">
        <v>1457</v>
      </c>
      <c r="E1" s="4" t="s">
        <v>1458</v>
      </c>
      <c r="F1" s="4" t="s">
        <v>1459</v>
      </c>
      <c r="G1" s="4" t="s">
        <v>1460</v>
      </c>
      <c r="H1" s="4" t="s">
        <v>1461</v>
      </c>
      <c r="I1" s="4" t="s">
        <v>1462</v>
      </c>
      <c r="J1" s="4" t="s">
        <v>1463</v>
      </c>
      <c r="K1" s="4" t="s">
        <v>1464</v>
      </c>
      <c r="L1" s="4" t="s">
        <v>1465</v>
      </c>
      <c r="M1" s="4" t="s">
        <v>1466</v>
      </c>
      <c r="N1" s="4" t="s">
        <v>1467</v>
      </c>
      <c r="O1" s="4" t="s">
        <v>1468</v>
      </c>
      <c r="P1" s="4" t="s">
        <v>1469</v>
      </c>
      <c r="Q1" s="4" t="s">
        <v>1470</v>
      </c>
      <c r="R1" s="4" t="s">
        <v>1471</v>
      </c>
      <c r="S1" s="4" t="s">
        <v>1472</v>
      </c>
      <c r="T1" s="4" t="s">
        <v>1473</v>
      </c>
      <c r="U1" s="4" t="s">
        <v>1474</v>
      </c>
      <c r="V1" s="4" t="s">
        <v>1475</v>
      </c>
      <c r="W1" s="4" t="s">
        <v>1476</v>
      </c>
      <c r="X1" s="4" t="s">
        <v>1477</v>
      </c>
      <c r="Y1" s="4" t="s">
        <v>1478</v>
      </c>
      <c r="Z1" s="4" t="s">
        <v>1479</v>
      </c>
      <c r="AA1" s="4" t="s">
        <v>1480</v>
      </c>
      <c r="AB1" s="4" t="s">
        <v>1481</v>
      </c>
      <c r="AC1" s="4" t="s">
        <v>1482</v>
      </c>
      <c r="AD1" s="4" t="s">
        <v>1483</v>
      </c>
      <c r="AE1" s="4" t="s">
        <v>1484</v>
      </c>
      <c r="AF1" s="4" t="s">
        <v>1485</v>
      </c>
      <c r="AG1" s="4" t="s">
        <v>1486</v>
      </c>
      <c r="AH1" s="4" t="s">
        <v>1487</v>
      </c>
      <c r="AI1" s="4" t="s">
        <v>1488</v>
      </c>
      <c r="AJ1" s="4" t="s">
        <v>1489</v>
      </c>
      <c r="AK1" s="4" t="s">
        <v>1490</v>
      </c>
      <c r="AL1" s="4" t="s">
        <v>1491</v>
      </c>
      <c r="AM1" s="4" t="s">
        <v>1492</v>
      </c>
      <c r="AN1" s="4" t="s">
        <v>1493</v>
      </c>
      <c r="AO1" s="4" t="s">
        <v>1494</v>
      </c>
      <c r="AP1" s="4" t="s">
        <v>1495</v>
      </c>
      <c r="AQ1" s="4" t="s">
        <v>1496</v>
      </c>
      <c r="AR1" s="4" t="s">
        <v>1497</v>
      </c>
      <c r="AS1" s="4" t="s">
        <v>1498</v>
      </c>
      <c r="AT1" s="4" t="s">
        <v>1499</v>
      </c>
      <c r="AU1" s="4" t="s">
        <v>1500</v>
      </c>
      <c r="AV1" s="4" t="s">
        <v>1501</v>
      </c>
      <c r="AW1" s="4" t="s">
        <v>1502</v>
      </c>
      <c r="AX1" s="4" t="s">
        <v>1503</v>
      </c>
      <c r="AY1" s="4" t="s">
        <v>1504</v>
      </c>
      <c r="AZ1" s="4" t="s">
        <v>1505</v>
      </c>
      <c r="BA1" s="4" t="s">
        <v>1506</v>
      </c>
      <c r="BB1" s="4" t="s">
        <v>1507</v>
      </c>
      <c r="BC1" s="4" t="s">
        <v>1508</v>
      </c>
      <c r="BD1" s="4" t="s">
        <v>1509</v>
      </c>
      <c r="BE1" s="4" t="s">
        <v>1510</v>
      </c>
      <c r="BF1" s="4" t="s">
        <v>1511</v>
      </c>
      <c r="BG1" s="4" t="s">
        <v>1512</v>
      </c>
      <c r="BH1" s="4" t="s">
        <v>1513</v>
      </c>
      <c r="BI1" s="4" t="s">
        <v>1514</v>
      </c>
      <c r="BJ1" s="4" t="s">
        <v>1515</v>
      </c>
      <c r="BK1" s="4" t="s">
        <v>1516</v>
      </c>
      <c r="BL1" s="4" t="s">
        <v>1517</v>
      </c>
      <c r="BM1" s="4" t="s">
        <v>1518</v>
      </c>
      <c r="BN1" s="4" t="s">
        <v>1519</v>
      </c>
      <c r="BO1" s="4" t="s">
        <v>1520</v>
      </c>
      <c r="BP1" s="4" t="s">
        <v>1521</v>
      </c>
      <c r="BQ1" s="4" t="s">
        <v>1522</v>
      </c>
      <c r="BR1" s="4" t="s">
        <v>1523</v>
      </c>
      <c r="BS1" s="4" t="s">
        <v>1524</v>
      </c>
      <c r="BT1" s="4" t="s">
        <v>1525</v>
      </c>
      <c r="BU1" s="4" t="s">
        <v>1526</v>
      </c>
      <c r="BV1" s="4" t="s">
        <v>1527</v>
      </c>
      <c r="BW1" s="4" t="s">
        <v>1528</v>
      </c>
      <c r="BX1" s="4" t="s">
        <v>1529</v>
      </c>
      <c r="BY1" s="4" t="s">
        <v>1530</v>
      </c>
      <c r="BZ1" s="4" t="s">
        <v>1531</v>
      </c>
      <c r="CA1" s="4" t="s">
        <v>1532</v>
      </c>
      <c r="CB1" s="4" t="s">
        <v>1533</v>
      </c>
      <c r="CC1" s="4" t="s">
        <v>1534</v>
      </c>
      <c r="CD1" s="4" t="s">
        <v>1535</v>
      </c>
      <c r="CE1" s="4" t="s">
        <v>1536</v>
      </c>
      <c r="CF1" s="4" t="s">
        <v>1537</v>
      </c>
      <c r="CG1" s="4" t="s">
        <v>1538</v>
      </c>
      <c r="CH1" s="4" t="s">
        <v>1539</v>
      </c>
      <c r="CI1" s="4" t="s">
        <v>1540</v>
      </c>
    </row>
    <row r="2" spans="1:87" x14ac:dyDescent="0.3">
      <c r="A2" s="4" t="s">
        <v>981</v>
      </c>
      <c r="B2" s="4" t="s">
        <v>1541</v>
      </c>
      <c r="C2" s="4" t="s">
        <v>1311</v>
      </c>
      <c r="D2">
        <v>1</v>
      </c>
      <c r="E2">
        <v>1.0062573296988333</v>
      </c>
      <c r="F2">
        <v>1.0112964648790015</v>
      </c>
      <c r="G2">
        <v>0.93927847515053819</v>
      </c>
      <c r="H2">
        <v>0.97747314067662427</v>
      </c>
      <c r="I2">
        <v>1.0093120909434528</v>
      </c>
      <c r="J2">
        <v>1.0178641166444755</v>
      </c>
      <c r="K2">
        <v>1.0277432665802835</v>
      </c>
      <c r="L2">
        <v>1.1238944211021584</v>
      </c>
      <c r="M2">
        <v>1.2163611730322685</v>
      </c>
      <c r="N2">
        <v>1.303678812563033</v>
      </c>
      <c r="O2">
        <v>1.3872162833002273</v>
      </c>
      <c r="P2">
        <v>1.4689050928682648</v>
      </c>
      <c r="Q2">
        <v>1.5500906458418222</v>
      </c>
      <c r="R2">
        <v>1.629912211347792</v>
      </c>
      <c r="S2">
        <v>1.7108236546767577</v>
      </c>
      <c r="T2">
        <v>1.7928501181939656</v>
      </c>
      <c r="U2">
        <v>1.8753009497973403</v>
      </c>
      <c r="V2">
        <v>1.9578263296124774</v>
      </c>
      <c r="W2">
        <v>2.0399095724743463</v>
      </c>
      <c r="X2">
        <v>2.1224681936480954</v>
      </c>
      <c r="Y2">
        <v>2.2054455074781161</v>
      </c>
      <c r="Z2">
        <v>2.2894124393928346</v>
      </c>
      <c r="AA2">
        <v>2.3745334778787743</v>
      </c>
      <c r="AB2">
        <v>2.4597261309233351</v>
      </c>
      <c r="AC2">
        <v>2.5462473141694351</v>
      </c>
      <c r="AD2">
        <v>2.6339965947115802</v>
      </c>
      <c r="AE2">
        <v>2.7231550678725069</v>
      </c>
      <c r="AF2">
        <v>2.8139143538013505</v>
      </c>
      <c r="AG2">
        <v>2.9053753192813847</v>
      </c>
      <c r="AH2">
        <v>2.9987385156612389</v>
      </c>
      <c r="AI2">
        <v>3.0940973869038544</v>
      </c>
      <c r="AJ2">
        <v>3.1916203476161402</v>
      </c>
      <c r="AK2">
        <v>3.2917063477070059</v>
      </c>
      <c r="AL2">
        <v>3.3947442640387866</v>
      </c>
      <c r="AM2">
        <v>3.5008246212383547</v>
      </c>
      <c r="AN2">
        <v>3.6100396975990976</v>
      </c>
      <c r="AO2">
        <v>3.7224838197107259</v>
      </c>
      <c r="AP2">
        <v>3.8382536073667115</v>
      </c>
      <c r="AQ2">
        <v>3.9574481805807356</v>
      </c>
      <c r="AR2">
        <v>4.0801693378165522</v>
      </c>
      <c r="AS2">
        <v>4.2065217125266336</v>
      </c>
      <c r="AT2">
        <v>4.3366129135864275</v>
      </c>
      <c r="AU2">
        <v>4.4705536540541839</v>
      </c>
      <c r="AV2">
        <v>4.6084578717811571</v>
      </c>
      <c r="AW2">
        <v>4.7504428446762965</v>
      </c>
      <c r="AX2">
        <v>4.8966293028486794</v>
      </c>
      <c r="AY2">
        <v>5.0471415393794423</v>
      </c>
      <c r="AZ2">
        <v>5.202107521091861</v>
      </c>
      <c r="BA2">
        <v>5.3616590003783484</v>
      </c>
      <c r="BB2">
        <v>5.5259316288946012</v>
      </c>
      <c r="BC2">
        <v>5.6950650737346793</v>
      </c>
      <c r="BD2">
        <v>5.8692031365479931</v>
      </c>
      <c r="BE2">
        <v>6.0484938759431648</v>
      </c>
      <c r="BF2">
        <v>6.2330897334379545</v>
      </c>
      <c r="BG2">
        <v>6.4231476631530642</v>
      </c>
      <c r="BH2">
        <v>6.6188292654060987</v>
      </c>
      <c r="BI2">
        <v>6.8203009243352497</v>
      </c>
      <c r="BJ2">
        <v>7.0277339496673283</v>
      </c>
      <c r="BK2">
        <v>7.2413047227379881</v>
      </c>
      <c r="BL2">
        <v>7.4611948468710851</v>
      </c>
      <c r="BM2">
        <v>7.687591302227303</v>
      </c>
      <c r="BN2">
        <v>7.9206866052375995</v>
      </c>
      <c r="BO2">
        <v>8.1606789727437654</v>
      </c>
      <c r="BP2">
        <v>8.4077724909758533</v>
      </c>
      <c r="BQ2">
        <v>8.6621772895035409</v>
      </c>
      <c r="BR2">
        <v>8.9241097203057418</v>
      </c>
      <c r="BS2">
        <v>9.19379254210941</v>
      </c>
      <c r="BT2">
        <v>9.4714551101549382</v>
      </c>
      <c r="BU2">
        <v>9.7573335715514578</v>
      </c>
      <c r="BV2">
        <v>10.0516710663907</v>
      </c>
      <c r="BW2">
        <v>10.354717934793758</v>
      </c>
      <c r="BX2">
        <v>10.666731930069927</v>
      </c>
      <c r="BY2">
        <v>10.987978438172028</v>
      </c>
      <c r="BZ2">
        <v>11.318730703637685</v>
      </c>
      <c r="CA2">
        <v>11.659270062211254</v>
      </c>
      <c r="CB2">
        <v>12.009886180346344</v>
      </c>
      <c r="CC2">
        <v>12.370877301794348</v>
      </c>
      <c r="CD2">
        <v>12.742550501490214</v>
      </c>
      <c r="CE2">
        <v>13.125221946952434</v>
      </c>
      <c r="CF2">
        <v>13.519217167420415</v>
      </c>
      <c r="CG2">
        <v>13.924871330958856</v>
      </c>
      <c r="CH2">
        <v>14.34252952976524</v>
      </c>
      <c r="CI2">
        <v>14.772547073923507</v>
      </c>
    </row>
    <row r="3" spans="1:87" x14ac:dyDescent="0.3">
      <c r="A3" s="4" t="s">
        <v>981</v>
      </c>
      <c r="B3" s="4" t="s">
        <v>1541</v>
      </c>
      <c r="C3" s="4" t="s">
        <v>1313</v>
      </c>
      <c r="D3">
        <v>1</v>
      </c>
      <c r="E3">
        <v>1.0073590362856866</v>
      </c>
      <c r="F3">
        <v>1.0136866579347168</v>
      </c>
      <c r="G3">
        <v>0.95341830007100958</v>
      </c>
      <c r="H3">
        <v>0.98872571224765571</v>
      </c>
      <c r="I3">
        <v>1.0184412398923186</v>
      </c>
      <c r="J3">
        <v>1.0278822069196767</v>
      </c>
      <c r="K3">
        <v>1.0385034074380639</v>
      </c>
      <c r="L3">
        <v>1.1243338690507503</v>
      </c>
      <c r="M3">
        <v>1.2063182019936265</v>
      </c>
      <c r="N3">
        <v>1.2833696987612078</v>
      </c>
      <c r="O3">
        <v>1.3568116721103034</v>
      </c>
      <c r="P3">
        <v>1.428381640176267</v>
      </c>
      <c r="Q3">
        <v>1.4992705649375961</v>
      </c>
      <c r="R3">
        <v>1.5687968937481882</v>
      </c>
      <c r="S3">
        <v>1.6390400732905102</v>
      </c>
      <c r="T3">
        <v>1.7100309978384587</v>
      </c>
      <c r="U3">
        <v>1.7812106863836858</v>
      </c>
      <c r="V3">
        <v>1.8523081687069156</v>
      </c>
      <c r="W3">
        <v>1.9229194996216024</v>
      </c>
      <c r="X3">
        <v>1.9938112868198636</v>
      </c>
      <c r="Y3">
        <v>2.0649488592724339</v>
      </c>
      <c r="Z3">
        <v>2.1368041803863358</v>
      </c>
      <c r="AA3">
        <v>2.2095156068813835</v>
      </c>
      <c r="AB3">
        <v>2.2822189609708201</v>
      </c>
      <c r="AC3">
        <v>2.3559318671505594</v>
      </c>
      <c r="AD3">
        <v>2.4305770505057205</v>
      </c>
      <c r="AE3">
        <v>2.5063021459278541</v>
      </c>
      <c r="AF3">
        <v>2.5832616187487418</v>
      </c>
      <c r="AG3">
        <v>2.6607448512462639</v>
      </c>
      <c r="AH3">
        <v>2.7397066129735688</v>
      </c>
      <c r="AI3">
        <v>2.8202201898876229</v>
      </c>
      <c r="AJ3">
        <v>2.9024173125828869</v>
      </c>
      <c r="AK3">
        <v>2.9866095165075355</v>
      </c>
      <c r="AL3">
        <v>3.0730978584528317</v>
      </c>
      <c r="AM3">
        <v>3.1619480116294736</v>
      </c>
      <c r="AN3">
        <v>3.25322671452829</v>
      </c>
      <c r="AO3">
        <v>3.347001995807326</v>
      </c>
      <c r="AP3">
        <v>3.44334335775926</v>
      </c>
      <c r="AQ3">
        <v>3.5423219281793865</v>
      </c>
      <c r="AR3">
        <v>3.6440105881693725</v>
      </c>
      <c r="AS3">
        <v>3.7484840817274088</v>
      </c>
      <c r="AT3">
        <v>3.8558191117101988</v>
      </c>
      <c r="AU3">
        <v>3.9660944257826212</v>
      </c>
      <c r="AV3">
        <v>4.0793908952136091</v>
      </c>
      <c r="AW3">
        <v>4.1957915887757418</v>
      </c>
      <c r="AX3">
        <v>4.3153818435235261</v>
      </c>
      <c r="AY3">
        <v>4.4382493338356932</v>
      </c>
      <c r="AZ3">
        <v>4.5644841397919453</v>
      </c>
      <c r="BA3">
        <v>4.6941788157014406</v>
      </c>
      <c r="BB3">
        <v>4.8274284593983756</v>
      </c>
      <c r="BC3">
        <v>4.9643307827614205</v>
      </c>
      <c r="BD3">
        <v>5.1049861837910608</v>
      </c>
      <c r="BE3">
        <v>5.2494978204861464</v>
      </c>
      <c r="BF3">
        <v>5.3979716866927427</v>
      </c>
      <c r="BG3">
        <v>5.5505166900496166</v>
      </c>
      <c r="BH3">
        <v>5.7072447321217714</v>
      </c>
      <c r="BI3">
        <v>5.8682707907920859</v>
      </c>
      <c r="BJ3">
        <v>6.0337130049689875</v>
      </c>
      <c r="BK3">
        <v>6.2036927616621984</v>
      </c>
      <c r="BL3">
        <v>6.378334785477187</v>
      </c>
      <c r="BM3">
        <v>6.5577672305805423</v>
      </c>
      <c r="BN3">
        <v>6.7421217751917899</v>
      </c>
      <c r="BO3">
        <v>6.9315337186612824</v>
      </c>
      <c r="BP3">
        <v>7.1261420811983731</v>
      </c>
      <c r="BQ3">
        <v>7.3260897063185562</v>
      </c>
      <c r="BR3">
        <v>7.5315233660824497</v>
      </c>
      <c r="BS3">
        <v>7.7425938692033345</v>
      </c>
      <c r="BT3">
        <v>7.9594561721034145</v>
      </c>
      <c r="BU3">
        <v>8.1822694930021687</v>
      </c>
      <c r="BV3">
        <v>8.411197429122673</v>
      </c>
      <c r="BW3">
        <v>8.6464080771047094</v>
      </c>
      <c r="BX3">
        <v>8.888074156715545</v>
      </c>
      <c r="BY3">
        <v>9.136373137951729</v>
      </c>
      <c r="BZ3">
        <v>9.3914873716274805</v>
      </c>
      <c r="CA3">
        <v>9.6536042235475286</v>
      </c>
      <c r="CB3">
        <v>9.9229162123646475</v>
      </c>
      <c r="CC3">
        <v>10.199621151224401</v>
      </c>
      <c r="CD3">
        <v>10.483922293302378</v>
      </c>
      <c r="CE3">
        <v>10.7760284813416</v>
      </c>
      <c r="CF3">
        <v>11.076154301300626</v>
      </c>
      <c r="CG3">
        <v>11.384520240225768</v>
      </c>
      <c r="CH3">
        <v>11.70135284846379</v>
      </c>
      <c r="CI3">
        <v>12.026884906334528</v>
      </c>
    </row>
    <row r="4" spans="1:87" x14ac:dyDescent="0.3">
      <c r="A4" s="4" t="s">
        <v>981</v>
      </c>
      <c r="B4" s="4" t="s">
        <v>1541</v>
      </c>
      <c r="C4" s="4" t="s">
        <v>1314</v>
      </c>
      <c r="D4">
        <v>1</v>
      </c>
      <c r="E4">
        <v>1.0098086420289922</v>
      </c>
      <c r="F4">
        <v>1.018491979224355</v>
      </c>
      <c r="G4">
        <v>0.95209688121080094</v>
      </c>
      <c r="H4">
        <v>0.99314845260722395</v>
      </c>
      <c r="I4">
        <v>1.0281908287892148</v>
      </c>
      <c r="J4">
        <v>1.0404815289558682</v>
      </c>
      <c r="K4">
        <v>1.0541607553884769</v>
      </c>
      <c r="L4">
        <v>1.1535899015238489</v>
      </c>
      <c r="M4">
        <v>1.2497977519383716</v>
      </c>
      <c r="N4">
        <v>1.3413402031177524</v>
      </c>
      <c r="O4">
        <v>1.4295790984695689</v>
      </c>
      <c r="P4">
        <v>1.5164380625695701</v>
      </c>
      <c r="Q4">
        <v>1.6032639204529024</v>
      </c>
      <c r="R4">
        <v>1.6892024924135609</v>
      </c>
      <c r="S4">
        <v>1.7767170865644302</v>
      </c>
      <c r="T4">
        <v>1.8658485234208049</v>
      </c>
      <c r="U4">
        <v>1.955916606243236</v>
      </c>
      <c r="V4">
        <v>2.0465791346675264</v>
      </c>
      <c r="W4">
        <v>2.1373215932366865</v>
      </c>
      <c r="X4">
        <v>2.2290789753952955</v>
      </c>
      <c r="Y4">
        <v>2.3218041630424984</v>
      </c>
      <c r="Z4">
        <v>2.4160889823139602</v>
      </c>
      <c r="AA4">
        <v>2.5121156085581111</v>
      </c>
      <c r="AB4">
        <v>2.6087907909929693</v>
      </c>
      <c r="AC4">
        <v>2.7074121729575666</v>
      </c>
      <c r="AD4">
        <v>2.8078931962567224</v>
      </c>
      <c r="AE4">
        <v>2.9104368932399507</v>
      </c>
      <c r="AF4">
        <v>3.0152592215003451</v>
      </c>
      <c r="AG4">
        <v>3.1214468412642642</v>
      </c>
      <c r="AH4">
        <v>3.2302606022851021</v>
      </c>
      <c r="AI4">
        <v>3.3418200780357195</v>
      </c>
      <c r="AJ4">
        <v>3.4563244673430575</v>
      </c>
      <c r="AK4">
        <v>3.5742167452772309</v>
      </c>
      <c r="AL4">
        <v>3.695933996021175</v>
      </c>
      <c r="AM4">
        <v>3.8216034840238091</v>
      </c>
      <c r="AN4">
        <v>3.9513556453801852</v>
      </c>
      <c r="AO4">
        <v>4.0853244376025772</v>
      </c>
      <c r="AP4">
        <v>4.2236476419631961</v>
      </c>
      <c r="AQ4">
        <v>4.3664671300869129</v>
      </c>
      <c r="AR4">
        <v>4.5139291038161717</v>
      </c>
      <c r="AS4">
        <v>4.6661843154169906</v>
      </c>
      <c r="AT4">
        <v>4.8233882737304361</v>
      </c>
      <c r="AU4">
        <v>4.9857014407515337</v>
      </c>
      <c r="AV4">
        <v>5.1532894222386361</v>
      </c>
      <c r="AW4">
        <v>5.3263231552550723</v>
      </c>
      <c r="AX4">
        <v>5.5049790949776911</v>
      </c>
      <c r="AY4">
        <v>5.6894394026444992</v>
      </c>
      <c r="AZ4">
        <v>5.8798921361360055</v>
      </c>
      <c r="BA4">
        <v>6.0765314443777783</v>
      </c>
      <c r="BB4">
        <v>6.2795577665043307</v>
      </c>
      <c r="BC4">
        <v>6.4891780365279912</v>
      </c>
      <c r="BD4">
        <v>6.7056058941031811</v>
      </c>
      <c r="BE4">
        <v>6.9290619018601776</v>
      </c>
      <c r="BF4">
        <v>7.1597737696965309</v>
      </c>
      <c r="BG4">
        <v>7.3979765863535416</v>
      </c>
      <c r="BH4">
        <v>7.6439130585647952</v>
      </c>
      <c r="BI4">
        <v>7.8978337580390736</v>
      </c>
      <c r="BJ4">
        <v>8.1599973765276346</v>
      </c>
      <c r="BK4">
        <v>8.4306709892225076</v>
      </c>
      <c r="BL4">
        <v>8.7101303267354879</v>
      </c>
      <c r="BM4">
        <v>8.9986600559152254</v>
      </c>
      <c r="BN4">
        <v>9.29655406977027</v>
      </c>
      <c r="BO4">
        <v>9.6041157867779425</v>
      </c>
      <c r="BP4">
        <v>9.9216584598721109</v>
      </c>
      <c r="BQ4">
        <v>10.249505495416221</v>
      </c>
      <c r="BR4">
        <v>10.587990782481302</v>
      </c>
      <c r="BS4">
        <v>10.937459032761788</v>
      </c>
      <c r="BT4">
        <v>11.29826613147489</v>
      </c>
      <c r="BU4">
        <v>11.670779499602114</v>
      </c>
      <c r="BV4">
        <v>12.055378467843637</v>
      </c>
      <c r="BW4">
        <v>12.452454662669213</v>
      </c>
      <c r="BX4">
        <v>12.862412404861393</v>
      </c>
      <c r="BY4">
        <v>13.285669120959636</v>
      </c>
      <c r="BZ4">
        <v>13.722655768026817</v>
      </c>
      <c r="CA4">
        <v>14.173817272172808</v>
      </c>
      <c r="CB4">
        <v>14.639612981283445</v>
      </c>
      <c r="CC4">
        <v>15.120517132417126</v>
      </c>
      <c r="CD4">
        <v>15.617019334346178</v>
      </c>
      <c r="CE4">
        <v>16.129625065734785</v>
      </c>
      <c r="CF4">
        <v>16.658856189461154</v>
      </c>
      <c r="CG4">
        <v>17.205251483607768</v>
      </c>
      <c r="CH4">
        <v>17.769367189660255</v>
      </c>
      <c r="CI4">
        <v>18.351777578472859</v>
      </c>
    </row>
    <row r="5" spans="1:87" x14ac:dyDescent="0.3">
      <c r="A5" s="4" t="s">
        <v>981</v>
      </c>
      <c r="B5" s="4" t="s">
        <v>1542</v>
      </c>
      <c r="C5" s="4" t="s">
        <v>1311</v>
      </c>
      <c r="D5">
        <v>1</v>
      </c>
      <c r="E5">
        <v>1.0062573296988333</v>
      </c>
      <c r="F5">
        <v>1.0112964648790015</v>
      </c>
      <c r="G5">
        <v>0.93927847515053819</v>
      </c>
      <c r="H5">
        <v>0.97747314067662427</v>
      </c>
      <c r="I5">
        <v>1.0093120909434528</v>
      </c>
      <c r="J5">
        <v>1.0178641166444755</v>
      </c>
      <c r="K5">
        <v>1.0277432665802835</v>
      </c>
      <c r="L5">
        <v>1.1238944211021584</v>
      </c>
      <c r="M5">
        <v>1.2163611730322685</v>
      </c>
      <c r="N5">
        <v>1.303678812563033</v>
      </c>
      <c r="O5">
        <v>1.3872162833002273</v>
      </c>
      <c r="P5">
        <v>1.4689050928682648</v>
      </c>
      <c r="Q5">
        <v>1.5500906458418222</v>
      </c>
      <c r="R5">
        <v>1.629912211347792</v>
      </c>
      <c r="S5">
        <v>1.7108236546767577</v>
      </c>
      <c r="T5">
        <v>1.7928501181939656</v>
      </c>
      <c r="U5">
        <v>1.8753009497973403</v>
      </c>
      <c r="V5">
        <v>1.9578263296124774</v>
      </c>
      <c r="W5">
        <v>2.0399095724743463</v>
      </c>
      <c r="X5">
        <v>2.1224681936480954</v>
      </c>
      <c r="Y5">
        <v>2.2054455074781161</v>
      </c>
      <c r="Z5">
        <v>2.2894124393928346</v>
      </c>
      <c r="AA5">
        <v>2.3745334778787743</v>
      </c>
      <c r="AB5">
        <v>2.4597261309233351</v>
      </c>
      <c r="AC5">
        <v>2.5462473141694351</v>
      </c>
      <c r="AD5">
        <v>2.6339965947115802</v>
      </c>
      <c r="AE5">
        <v>2.7231550678725069</v>
      </c>
      <c r="AF5">
        <v>2.8139143538013505</v>
      </c>
      <c r="AG5">
        <v>2.9053753192813847</v>
      </c>
      <c r="AH5">
        <v>2.9987385156612389</v>
      </c>
      <c r="AI5">
        <v>3.0940973869038544</v>
      </c>
      <c r="AJ5">
        <v>3.1916203476161402</v>
      </c>
      <c r="AK5">
        <v>3.2917063477070059</v>
      </c>
      <c r="AL5">
        <v>3.3947442640387866</v>
      </c>
      <c r="AM5">
        <v>3.5008246212383547</v>
      </c>
      <c r="AN5">
        <v>3.6100396975990976</v>
      </c>
      <c r="AO5">
        <v>3.7224838197107259</v>
      </c>
      <c r="AP5">
        <v>3.8382536073667115</v>
      </c>
      <c r="AQ5">
        <v>3.9574481805807356</v>
      </c>
      <c r="AR5">
        <v>4.0801693378165522</v>
      </c>
      <c r="AS5">
        <v>4.2065217125266336</v>
      </c>
      <c r="AT5">
        <v>4.3366129135864275</v>
      </c>
      <c r="AU5">
        <v>4.4705536540541839</v>
      </c>
      <c r="AV5">
        <v>4.6084578717811571</v>
      </c>
      <c r="AW5">
        <v>4.7504428446762965</v>
      </c>
      <c r="AX5">
        <v>4.8966293028486794</v>
      </c>
      <c r="AY5">
        <v>5.0471415393794423</v>
      </c>
      <c r="AZ5">
        <v>5.202107521091861</v>
      </c>
      <c r="BA5">
        <v>5.3616590003783484</v>
      </c>
      <c r="BB5">
        <v>5.5259316288946012</v>
      </c>
      <c r="BC5">
        <v>5.6950650737346793</v>
      </c>
      <c r="BD5">
        <v>5.8692031365479931</v>
      </c>
      <c r="BE5">
        <v>6.0484938759431648</v>
      </c>
      <c r="BF5">
        <v>6.2330897334379545</v>
      </c>
      <c r="BG5">
        <v>6.4231476631530642</v>
      </c>
      <c r="BH5">
        <v>6.6188292654060987</v>
      </c>
      <c r="BI5">
        <v>6.8203009243352497</v>
      </c>
      <c r="BJ5">
        <v>7.0277339496673283</v>
      </c>
      <c r="BK5">
        <v>7.2413047227379881</v>
      </c>
      <c r="BL5">
        <v>7.4611948468710851</v>
      </c>
      <c r="BM5">
        <v>7.687591302227303</v>
      </c>
      <c r="BN5">
        <v>7.9206866052375995</v>
      </c>
      <c r="BO5">
        <v>8.1606789727437654</v>
      </c>
      <c r="BP5">
        <v>8.4077724909758533</v>
      </c>
      <c r="BQ5">
        <v>8.6621772895035409</v>
      </c>
      <c r="BR5">
        <v>8.9241097203057418</v>
      </c>
      <c r="BS5">
        <v>9.19379254210941</v>
      </c>
      <c r="BT5">
        <v>9.4714551101549382</v>
      </c>
      <c r="BU5">
        <v>9.7573335715514578</v>
      </c>
      <c r="BV5">
        <v>10.0516710663907</v>
      </c>
      <c r="BW5">
        <v>10.354717934793758</v>
      </c>
      <c r="BX5">
        <v>10.666731930069927</v>
      </c>
      <c r="BY5">
        <v>10.987978438172028</v>
      </c>
      <c r="BZ5">
        <v>11.318730703637685</v>
      </c>
      <c r="CA5">
        <v>11.659270062211254</v>
      </c>
      <c r="CB5">
        <v>12.009886180346344</v>
      </c>
      <c r="CC5">
        <v>12.370877301794348</v>
      </c>
      <c r="CD5">
        <v>12.742550501490214</v>
      </c>
      <c r="CE5">
        <v>13.125221946952434</v>
      </c>
      <c r="CF5">
        <v>13.519217167420415</v>
      </c>
      <c r="CG5">
        <v>13.924871330958856</v>
      </c>
      <c r="CH5">
        <v>14.34252952976524</v>
      </c>
      <c r="CI5">
        <v>14.772547073923507</v>
      </c>
    </row>
    <row r="6" spans="1:87" x14ac:dyDescent="0.3">
      <c r="A6" s="4" t="s">
        <v>981</v>
      </c>
      <c r="B6" s="4" t="s">
        <v>1542</v>
      </c>
      <c r="C6" s="4" t="s">
        <v>1313</v>
      </c>
      <c r="D6">
        <v>1</v>
      </c>
      <c r="E6">
        <v>1.0073590362856866</v>
      </c>
      <c r="F6">
        <v>1.0136866579347168</v>
      </c>
      <c r="G6">
        <v>0.95341830007100958</v>
      </c>
      <c r="H6">
        <v>0.98872571224765571</v>
      </c>
      <c r="I6">
        <v>1.0184412398923186</v>
      </c>
      <c r="J6">
        <v>1.0278822069196767</v>
      </c>
      <c r="K6">
        <v>1.0385034074380639</v>
      </c>
      <c r="L6">
        <v>1.1243338690507503</v>
      </c>
      <c r="M6">
        <v>1.2063182019936265</v>
      </c>
      <c r="N6">
        <v>1.2833696987612078</v>
      </c>
      <c r="O6">
        <v>1.3568116721103034</v>
      </c>
      <c r="P6">
        <v>1.428381640176267</v>
      </c>
      <c r="Q6">
        <v>1.4992705649375961</v>
      </c>
      <c r="R6">
        <v>1.5687968937481882</v>
      </c>
      <c r="S6">
        <v>1.6390400732905102</v>
      </c>
      <c r="T6">
        <v>1.7100309978384587</v>
      </c>
      <c r="U6">
        <v>1.7812106863836858</v>
      </c>
      <c r="V6">
        <v>1.8523081687069156</v>
      </c>
      <c r="W6">
        <v>1.9229194996216024</v>
      </c>
      <c r="X6">
        <v>1.9938112868198636</v>
      </c>
      <c r="Y6">
        <v>2.0649488592724339</v>
      </c>
      <c r="Z6">
        <v>2.1368041803863358</v>
      </c>
      <c r="AA6">
        <v>2.2095156068813835</v>
      </c>
      <c r="AB6">
        <v>2.2822189609708201</v>
      </c>
      <c r="AC6">
        <v>2.3559318671505594</v>
      </c>
      <c r="AD6">
        <v>2.4305770505057205</v>
      </c>
      <c r="AE6">
        <v>2.5063021459278541</v>
      </c>
      <c r="AF6">
        <v>2.5832616187487418</v>
      </c>
      <c r="AG6">
        <v>2.6607448512462639</v>
      </c>
      <c r="AH6">
        <v>2.7397066129735688</v>
      </c>
      <c r="AI6">
        <v>2.8202201898876229</v>
      </c>
      <c r="AJ6">
        <v>2.9024173125828869</v>
      </c>
      <c r="AK6">
        <v>2.9866095165075355</v>
      </c>
      <c r="AL6">
        <v>3.0730978584528317</v>
      </c>
      <c r="AM6">
        <v>3.1619480116294736</v>
      </c>
      <c r="AN6">
        <v>3.25322671452829</v>
      </c>
      <c r="AO6">
        <v>3.347001995807326</v>
      </c>
      <c r="AP6">
        <v>3.44334335775926</v>
      </c>
      <c r="AQ6">
        <v>3.5423219281793865</v>
      </c>
      <c r="AR6">
        <v>3.6440105881693725</v>
      </c>
      <c r="AS6">
        <v>3.7484840817274088</v>
      </c>
      <c r="AT6">
        <v>3.8558191117101988</v>
      </c>
      <c r="AU6">
        <v>3.9660944257826212</v>
      </c>
      <c r="AV6">
        <v>4.0793908952136091</v>
      </c>
      <c r="AW6">
        <v>4.1957915887757418</v>
      </c>
      <c r="AX6">
        <v>4.3153818435235261</v>
      </c>
      <c r="AY6">
        <v>4.4382493338356932</v>
      </c>
      <c r="AZ6">
        <v>4.5644841397919453</v>
      </c>
      <c r="BA6">
        <v>4.6941788157014406</v>
      </c>
      <c r="BB6">
        <v>4.8274284593983756</v>
      </c>
      <c r="BC6">
        <v>4.9643307827614205</v>
      </c>
      <c r="BD6">
        <v>5.1049861837910608</v>
      </c>
      <c r="BE6">
        <v>5.2494978204861464</v>
      </c>
      <c r="BF6">
        <v>5.3979716866927427</v>
      </c>
      <c r="BG6">
        <v>5.5505166900496166</v>
      </c>
      <c r="BH6">
        <v>5.7072447321217714</v>
      </c>
      <c r="BI6">
        <v>5.8682707907920859</v>
      </c>
      <c r="BJ6">
        <v>6.0337130049689875</v>
      </c>
      <c r="BK6">
        <v>6.2036927616621984</v>
      </c>
      <c r="BL6">
        <v>6.378334785477187</v>
      </c>
      <c r="BM6">
        <v>6.5577672305805423</v>
      </c>
      <c r="BN6">
        <v>6.7421217751917899</v>
      </c>
      <c r="BO6">
        <v>6.9315337186612824</v>
      </c>
      <c r="BP6">
        <v>7.1261420811983731</v>
      </c>
      <c r="BQ6">
        <v>7.3260897063185562</v>
      </c>
      <c r="BR6">
        <v>7.5315233660824497</v>
      </c>
      <c r="BS6">
        <v>7.7425938692033345</v>
      </c>
      <c r="BT6">
        <v>7.9594561721034145</v>
      </c>
      <c r="BU6">
        <v>8.1822694930021687</v>
      </c>
      <c r="BV6">
        <v>8.411197429122673</v>
      </c>
      <c r="BW6">
        <v>8.6464080771047094</v>
      </c>
      <c r="BX6">
        <v>8.888074156715545</v>
      </c>
      <c r="BY6">
        <v>9.136373137951729</v>
      </c>
      <c r="BZ6">
        <v>9.3914873716274805</v>
      </c>
      <c r="CA6">
        <v>9.6536042235475286</v>
      </c>
      <c r="CB6">
        <v>9.9229162123646475</v>
      </c>
      <c r="CC6">
        <v>10.199621151224401</v>
      </c>
      <c r="CD6">
        <v>10.483922293302378</v>
      </c>
      <c r="CE6">
        <v>10.7760284813416</v>
      </c>
      <c r="CF6">
        <v>11.076154301300626</v>
      </c>
      <c r="CG6">
        <v>11.384520240225768</v>
      </c>
      <c r="CH6">
        <v>11.70135284846379</v>
      </c>
      <c r="CI6">
        <v>12.026884906334528</v>
      </c>
    </row>
    <row r="7" spans="1:87" x14ac:dyDescent="0.3">
      <c r="A7" s="4" t="s">
        <v>981</v>
      </c>
      <c r="B7" s="4" t="s">
        <v>1542</v>
      </c>
      <c r="C7" s="4" t="s">
        <v>1314</v>
      </c>
      <c r="D7">
        <v>1</v>
      </c>
      <c r="E7">
        <v>1.0098086420289922</v>
      </c>
      <c r="F7">
        <v>1.018491979224355</v>
      </c>
      <c r="G7">
        <v>0.95209688121080094</v>
      </c>
      <c r="H7">
        <v>0.99314845260722395</v>
      </c>
      <c r="I7">
        <v>1.0281908287892148</v>
      </c>
      <c r="J7">
        <v>1.0404815289558682</v>
      </c>
      <c r="K7">
        <v>1.0541607553884769</v>
      </c>
      <c r="L7">
        <v>1.1535899015238489</v>
      </c>
      <c r="M7">
        <v>1.2497977519383716</v>
      </c>
      <c r="N7">
        <v>1.3413402031177524</v>
      </c>
      <c r="O7">
        <v>1.4295790984695689</v>
      </c>
      <c r="P7">
        <v>1.5164380625695701</v>
      </c>
      <c r="Q7">
        <v>1.6032639204529024</v>
      </c>
      <c r="R7">
        <v>1.6892024924135609</v>
      </c>
      <c r="S7">
        <v>1.7767170865644302</v>
      </c>
      <c r="T7">
        <v>1.8658485234208049</v>
      </c>
      <c r="U7">
        <v>1.955916606243236</v>
      </c>
      <c r="V7">
        <v>2.0465791346675264</v>
      </c>
      <c r="W7">
        <v>2.1373215932366865</v>
      </c>
      <c r="X7">
        <v>2.2290789753952955</v>
      </c>
      <c r="Y7">
        <v>2.3218041630424984</v>
      </c>
      <c r="Z7">
        <v>2.4160889823139602</v>
      </c>
      <c r="AA7">
        <v>2.5121156085581111</v>
      </c>
      <c r="AB7">
        <v>2.6087907909929693</v>
      </c>
      <c r="AC7">
        <v>2.7074121729575666</v>
      </c>
      <c r="AD7">
        <v>2.8078931962567224</v>
      </c>
      <c r="AE7">
        <v>2.9104368932399507</v>
      </c>
      <c r="AF7">
        <v>3.0152592215003451</v>
      </c>
      <c r="AG7">
        <v>3.1214468412642642</v>
      </c>
      <c r="AH7">
        <v>3.2302606022851021</v>
      </c>
      <c r="AI7">
        <v>3.3418200780357195</v>
      </c>
      <c r="AJ7">
        <v>3.4563244673430575</v>
      </c>
      <c r="AK7">
        <v>3.5742167452772309</v>
      </c>
      <c r="AL7">
        <v>3.695933996021175</v>
      </c>
      <c r="AM7">
        <v>3.8216034840238091</v>
      </c>
      <c r="AN7">
        <v>3.9513556453801852</v>
      </c>
      <c r="AO7">
        <v>4.0853244376025772</v>
      </c>
      <c r="AP7">
        <v>4.2236476419631961</v>
      </c>
      <c r="AQ7">
        <v>4.3664671300869129</v>
      </c>
      <c r="AR7">
        <v>4.5139291038161717</v>
      </c>
      <c r="AS7">
        <v>4.6661843154169906</v>
      </c>
      <c r="AT7">
        <v>4.8233882737304361</v>
      </c>
      <c r="AU7">
        <v>4.9857014407515337</v>
      </c>
      <c r="AV7">
        <v>5.1532894222386361</v>
      </c>
      <c r="AW7">
        <v>5.3263231552550723</v>
      </c>
      <c r="AX7">
        <v>5.5049790949776911</v>
      </c>
      <c r="AY7">
        <v>5.6894394026444992</v>
      </c>
      <c r="AZ7">
        <v>5.8798921361360055</v>
      </c>
      <c r="BA7">
        <v>6.0765314443777783</v>
      </c>
      <c r="BB7">
        <v>6.2795577665043307</v>
      </c>
      <c r="BC7">
        <v>6.4891780365279912</v>
      </c>
      <c r="BD7">
        <v>6.7056058941031811</v>
      </c>
      <c r="BE7">
        <v>6.9290619018601776</v>
      </c>
      <c r="BF7">
        <v>7.1597737696965309</v>
      </c>
      <c r="BG7">
        <v>7.3979765863535416</v>
      </c>
      <c r="BH7">
        <v>7.6439130585647952</v>
      </c>
      <c r="BI7">
        <v>7.8978337580390736</v>
      </c>
      <c r="BJ7">
        <v>8.1599973765276346</v>
      </c>
      <c r="BK7">
        <v>8.4306709892225076</v>
      </c>
      <c r="BL7">
        <v>8.7101303267354879</v>
      </c>
      <c r="BM7">
        <v>8.9986600559152254</v>
      </c>
      <c r="BN7">
        <v>9.29655406977027</v>
      </c>
      <c r="BO7">
        <v>9.6041157867779425</v>
      </c>
      <c r="BP7">
        <v>9.9216584598721109</v>
      </c>
      <c r="BQ7">
        <v>10.249505495416221</v>
      </c>
      <c r="BR7">
        <v>10.587990782481302</v>
      </c>
      <c r="BS7">
        <v>10.937459032761788</v>
      </c>
      <c r="BT7">
        <v>11.29826613147489</v>
      </c>
      <c r="BU7">
        <v>11.670779499602114</v>
      </c>
      <c r="BV7">
        <v>12.055378467843637</v>
      </c>
      <c r="BW7">
        <v>12.452454662669213</v>
      </c>
      <c r="BX7">
        <v>12.862412404861393</v>
      </c>
      <c r="BY7">
        <v>13.285669120959636</v>
      </c>
      <c r="BZ7">
        <v>13.722655768026817</v>
      </c>
      <c r="CA7">
        <v>14.173817272172808</v>
      </c>
      <c r="CB7">
        <v>14.639612981283445</v>
      </c>
      <c r="CC7">
        <v>15.120517132417126</v>
      </c>
      <c r="CD7">
        <v>15.617019334346178</v>
      </c>
      <c r="CE7">
        <v>16.129625065734785</v>
      </c>
      <c r="CF7">
        <v>16.658856189461154</v>
      </c>
      <c r="CG7">
        <v>17.205251483607768</v>
      </c>
      <c r="CH7">
        <v>17.769367189660255</v>
      </c>
      <c r="CI7">
        <v>18.351777578472859</v>
      </c>
    </row>
    <row r="8" spans="1:87" x14ac:dyDescent="0.3">
      <c r="A8" s="4" t="s">
        <v>981</v>
      </c>
      <c r="B8" s="4" t="s">
        <v>289</v>
      </c>
      <c r="C8" s="4" t="s">
        <v>1311</v>
      </c>
      <c r="D8">
        <v>1</v>
      </c>
      <c r="E8">
        <v>1.0113138991948074</v>
      </c>
      <c r="F8">
        <v>1.0214857855902644</v>
      </c>
      <c r="G8">
        <v>0.95350972701495218</v>
      </c>
      <c r="H8">
        <v>0.99726943701275261</v>
      </c>
      <c r="I8">
        <v>1.0349278455496993</v>
      </c>
      <c r="J8">
        <v>1.048941624819643</v>
      </c>
      <c r="K8">
        <v>1.0644446288915839</v>
      </c>
      <c r="L8">
        <v>1.1698787959568548</v>
      </c>
      <c r="M8">
        <v>1.2724913008490579</v>
      </c>
      <c r="N8">
        <v>1.3706917535665437</v>
      </c>
      <c r="O8">
        <v>1.4658525598023655</v>
      </c>
      <c r="P8">
        <v>1.5599718720511366</v>
      </c>
      <c r="Q8">
        <v>1.6544629491051031</v>
      </c>
      <c r="R8">
        <v>1.7484011483880169</v>
      </c>
      <c r="S8">
        <v>1.8444166549213623</v>
      </c>
      <c r="T8">
        <v>1.9425611203507462</v>
      </c>
      <c r="U8">
        <v>2.0421075026106239</v>
      </c>
      <c r="V8">
        <v>2.1426868848414995</v>
      </c>
      <c r="W8">
        <v>2.2437392323774588</v>
      </c>
      <c r="X8">
        <v>2.3462785805927941</v>
      </c>
      <c r="Y8">
        <v>2.4502569852455487</v>
      </c>
      <c r="Z8">
        <v>2.5563261448413876</v>
      </c>
      <c r="AA8">
        <v>2.6646945875774497</v>
      </c>
      <c r="AB8">
        <v>2.7741683778284743</v>
      </c>
      <c r="AC8">
        <v>2.8861810126444851</v>
      </c>
      <c r="AD8">
        <v>3.0006483977921263</v>
      </c>
      <c r="AE8">
        <v>3.1178067464494834</v>
      </c>
      <c r="AF8">
        <v>3.2379088136458791</v>
      </c>
      <c r="AG8">
        <v>3.3599506707017635</v>
      </c>
      <c r="AH8">
        <v>3.4853482244808061</v>
      </c>
      <c r="AI8">
        <v>3.6142523819022676</v>
      </c>
      <c r="AJ8">
        <v>3.7469046488271371</v>
      </c>
      <c r="AK8">
        <v>3.8838229200243393</v>
      </c>
      <c r="AL8">
        <v>4.0255230508096362</v>
      </c>
      <c r="AM8">
        <v>4.1721751171097807</v>
      </c>
      <c r="AN8">
        <v>4.3239540565325276</v>
      </c>
      <c r="AO8">
        <v>4.4810401078839677</v>
      </c>
      <c r="AP8">
        <v>4.6436192023291802</v>
      </c>
      <c r="AQ8">
        <v>4.8118833186661023</v>
      </c>
      <c r="AR8">
        <v>4.9860308123885142</v>
      </c>
      <c r="AS8">
        <v>5.1662667261635624</v>
      </c>
      <c r="AT8">
        <v>5.3528030878145803</v>
      </c>
      <c r="AU8">
        <v>5.5458592007249612</v>
      </c>
      <c r="AV8">
        <v>5.7456619306586925</v>
      </c>
      <c r="AW8">
        <v>5.9524459922579718</v>
      </c>
      <c r="AX8">
        <v>6.1664542378822214</v>
      </c>
      <c r="AY8">
        <v>6.3879379509651564</v>
      </c>
      <c r="AZ8">
        <v>6.617157145666809</v>
      </c>
      <c r="BA8">
        <v>6.8543808742712589</v>
      </c>
      <c r="BB8">
        <v>7.0998875435171112</v>
      </c>
      <c r="BC8">
        <v>7.353965240838126</v>
      </c>
      <c r="BD8">
        <v>7.6169120713279144</v>
      </c>
      <c r="BE8">
        <v>7.8890365061189112</v>
      </c>
      <c r="BF8">
        <v>8.1706577427754716</v>
      </c>
      <c r="BG8">
        <v>8.4621060782381949</v>
      </c>
      <c r="BH8">
        <v>8.7637232948166925</v>
      </c>
      <c r="BI8">
        <v>9.0758630597057621</v>
      </c>
      <c r="BJ8">
        <v>9.3988913384920654</v>
      </c>
      <c r="BK8">
        <v>9.7331868231207324</v>
      </c>
      <c r="BL8">
        <v>10.079141374801564</v>
      </c>
      <c r="BM8">
        <v>10.437160482350253</v>
      </c>
      <c r="BN8">
        <v>10.807663736479421</v>
      </c>
      <c r="BO8">
        <v>11.191085320575908</v>
      </c>
      <c r="BP8">
        <v>11.587874518524034</v>
      </c>
      <c r="BQ8">
        <v>11.99849624015841</v>
      </c>
      <c r="BR8">
        <v>12.42343156495421</v>
      </c>
      <c r="BS8">
        <v>12.863178304587205</v>
      </c>
      <c r="BT8">
        <v>13.31825158502048</v>
      </c>
      <c r="BU8">
        <v>13.789184448799496</v>
      </c>
      <c r="BV8">
        <v>14.276528478261692</v>
      </c>
      <c r="BW8">
        <v>14.780854440392451</v>
      </c>
      <c r="BX8">
        <v>15.302752954084498</v>
      </c>
      <c r="BY8">
        <v>15.842835180584105</v>
      </c>
      <c r="BZ8">
        <v>16.401733537934376</v>
      </c>
      <c r="CA8">
        <v>16.980102440253599</v>
      </c>
      <c r="CB8">
        <v>17.578619062715219</v>
      </c>
      <c r="CC8">
        <v>18.197984133125505</v>
      </c>
      <c r="CD8">
        <v>18.838922751025944</v>
      </c>
      <c r="CE8">
        <v>19.502185235278809</v>
      </c>
      <c r="CF8">
        <v>20.188548001127529</v>
      </c>
      <c r="CG8">
        <v>20.898814467757671</v>
      </c>
      <c r="CH8">
        <v>21.633815997419649</v>
      </c>
      <c r="CI8">
        <v>22.394412867211102</v>
      </c>
    </row>
    <row r="9" spans="1:87" x14ac:dyDescent="0.3">
      <c r="A9" s="4" t="s">
        <v>981</v>
      </c>
      <c r="B9" s="4" t="s">
        <v>289</v>
      </c>
      <c r="C9" s="4" t="s">
        <v>1313</v>
      </c>
      <c r="D9">
        <v>1</v>
      </c>
      <c r="E9">
        <v>1.0093777918694253</v>
      </c>
      <c r="F9">
        <v>1.0177536013256139</v>
      </c>
      <c r="G9">
        <v>0.95916176841356415</v>
      </c>
      <c r="H9">
        <v>0.99667522572570433</v>
      </c>
      <c r="I9">
        <v>1.0286870450739567</v>
      </c>
      <c r="J9">
        <v>1.0403035980798525</v>
      </c>
      <c r="K9">
        <v>1.053159468902906</v>
      </c>
      <c r="L9">
        <v>1.1424862003583218</v>
      </c>
      <c r="M9">
        <v>1.2282506688498511</v>
      </c>
      <c r="N9">
        <v>1.3093217075652095</v>
      </c>
      <c r="O9">
        <v>1.3870228534250517</v>
      </c>
      <c r="P9">
        <v>1.4631126454562142</v>
      </c>
      <c r="Q9">
        <v>1.5388028354138967</v>
      </c>
      <c r="R9">
        <v>1.6133891898512478</v>
      </c>
      <c r="S9">
        <v>1.6890070119637761</v>
      </c>
      <c r="T9">
        <v>1.7656935166181202</v>
      </c>
      <c r="U9">
        <v>1.8428758978539206</v>
      </c>
      <c r="V9">
        <v>1.9202753135682564</v>
      </c>
      <c r="W9">
        <v>1.9974725464361316</v>
      </c>
      <c r="X9">
        <v>2.0752633887464298</v>
      </c>
      <c r="Y9">
        <v>2.1536143349190335</v>
      </c>
      <c r="Z9">
        <v>2.2330210463150348</v>
      </c>
      <c r="AA9">
        <v>2.3136338193929173</v>
      </c>
      <c r="AB9">
        <v>2.3945522520995262</v>
      </c>
      <c r="AC9">
        <v>2.4768470815876005</v>
      </c>
      <c r="AD9">
        <v>2.5604442227319235</v>
      </c>
      <c r="AE9">
        <v>2.6455063676141801</v>
      </c>
      <c r="AF9">
        <v>2.7322047079536538</v>
      </c>
      <c r="AG9">
        <v>2.8197949803697533</v>
      </c>
      <c r="AH9">
        <v>2.9092953940336654</v>
      </c>
      <c r="AI9">
        <v>3.0007943777891413</v>
      </c>
      <c r="AJ9">
        <v>3.0944433374536762</v>
      </c>
      <c r="AK9">
        <v>3.1905869322390532</v>
      </c>
      <c r="AL9">
        <v>3.2895613184940227</v>
      </c>
      <c r="AM9">
        <v>3.391452821550712</v>
      </c>
      <c r="AN9">
        <v>3.4963495384530563</v>
      </c>
      <c r="AO9">
        <v>3.6043415946406143</v>
      </c>
      <c r="AP9">
        <v>3.715521358931595</v>
      </c>
      <c r="AQ9">
        <v>3.8299836268166159</v>
      </c>
      <c r="AR9">
        <v>3.9478257797644973</v>
      </c>
      <c r="AS9">
        <v>4.0691479265398307</v>
      </c>
      <c r="AT9">
        <v>4.1940530312548434</v>
      </c>
      <c r="AU9">
        <v>4.3226470318991446</v>
      </c>
      <c r="AV9">
        <v>4.4550389523254523</v>
      </c>
      <c r="AW9">
        <v>4.5913410100605709</v>
      </c>
      <c r="AX9">
        <v>4.7316687218205988</v>
      </c>
      <c r="AY9">
        <v>4.8761410082118815</v>
      </c>
      <c r="AZ9">
        <v>5.0248802987766439</v>
      </c>
      <c r="BA9">
        <v>5.1780126382816869</v>
      </c>
      <c r="BB9">
        <v>5.3356677949397797</v>
      </c>
      <c r="BC9">
        <v>5.4979793710886762</v>
      </c>
      <c r="BD9">
        <v>5.6650849167247435</v>
      </c>
      <c r="BE9">
        <v>5.8371260461912344</v>
      </c>
      <c r="BF9">
        <v>6.0142485582497143</v>
      </c>
      <c r="BG9">
        <v>6.196602559712141</v>
      </c>
      <c r="BH9">
        <v>6.3843425927767168</v>
      </c>
      <c r="BI9">
        <v>6.5776277661886899</v>
      </c>
      <c r="BJ9">
        <v>6.7766218903352158</v>
      </c>
      <c r="BK9">
        <v>6.9814936163781294</v>
      </c>
      <c r="BL9">
        <v>7.1924165795281709</v>
      </c>
      <c r="BM9">
        <v>7.4095695465672931</v>
      </c>
      <c r="BN9">
        <v>7.6331365677306549</v>
      </c>
      <c r="BO9">
        <v>7.8633071330660016</v>
      </c>
      <c r="BP9">
        <v>8.1002763333947616</v>
      </c>
      <c r="BQ9">
        <v>8.3442450260058472</v>
      </c>
      <c r="BR9">
        <v>8.5954200052195784</v>
      </c>
      <c r="BS9">
        <v>8.8540141779652721</v>
      </c>
      <c r="BT9">
        <v>9.1202467445218236</v>
      </c>
      <c r="BU9">
        <v>9.3943433845761746</v>
      </c>
      <c r="BV9">
        <v>9.6765364487594407</v>
      </c>
      <c r="BW9">
        <v>9.9670651558258907</v>
      </c>
      <c r="BX9">
        <v>10.266175795644443</v>
      </c>
      <c r="BY9">
        <v>10.574121938177402</v>
      </c>
      <c r="BZ9">
        <v>10.891164648625949</v>
      </c>
      <c r="CA9">
        <v>11.217572708926831</v>
      </c>
      <c r="CB9">
        <v>11.553622845789844</v>
      </c>
      <c r="CC9">
        <v>11.899599965470758</v>
      </c>
      <c r="CD9">
        <v>12.255797395480046</v>
      </c>
      <c r="CE9">
        <v>12.622517133433124</v>
      </c>
      <c r="CF9">
        <v>13.000070103253798</v>
      </c>
      <c r="CG9">
        <v>13.388776418948654</v>
      </c>
      <c r="CH9">
        <v>13.788965656176442</v>
      </c>
      <c r="CI9">
        <v>14.20097713184289</v>
      </c>
    </row>
    <row r="10" spans="1:87" x14ac:dyDescent="0.3">
      <c r="A10" s="4" t="s">
        <v>981</v>
      </c>
      <c r="B10" s="4" t="s">
        <v>289</v>
      </c>
      <c r="C10" s="4" t="s">
        <v>1314</v>
      </c>
      <c r="D10">
        <v>1</v>
      </c>
      <c r="E10">
        <v>1.0108194614904826</v>
      </c>
      <c r="F10">
        <v>1.0205320227378079</v>
      </c>
      <c r="G10">
        <v>0.95495889397099087</v>
      </c>
      <c r="H10">
        <v>0.99713099779996384</v>
      </c>
      <c r="I10">
        <v>1.0333472418543748</v>
      </c>
      <c r="J10">
        <v>1.0467463266400405</v>
      </c>
      <c r="K10">
        <v>1.0615694859487121</v>
      </c>
      <c r="L10">
        <v>1.1628602887848831</v>
      </c>
      <c r="M10">
        <v>1.2611023794415455</v>
      </c>
      <c r="N10">
        <v>1.3548276749166963</v>
      </c>
      <c r="O10">
        <v>1.4453992310681685</v>
      </c>
      <c r="P10">
        <v>1.5347541555493207</v>
      </c>
      <c r="Q10">
        <v>1.6242529808485262</v>
      </c>
      <c r="R10">
        <v>1.7130296435572709</v>
      </c>
      <c r="S10">
        <v>1.8035822625383864</v>
      </c>
      <c r="T10">
        <v>1.8959573849881768</v>
      </c>
      <c r="U10">
        <v>1.9894683485896809</v>
      </c>
      <c r="V10">
        <v>2.0837698695266615</v>
      </c>
      <c r="W10">
        <v>2.1783396529553327</v>
      </c>
      <c r="X10">
        <v>2.274132114103292</v>
      </c>
      <c r="Y10">
        <v>2.3711025239386117</v>
      </c>
      <c r="Z10">
        <v>2.4698591313246672</v>
      </c>
      <c r="AA10">
        <v>2.5705934270886912</v>
      </c>
      <c r="AB10">
        <v>2.6721912361120701</v>
      </c>
      <c r="AC10">
        <v>2.7759853611757208</v>
      </c>
      <c r="AD10">
        <v>2.8818932556218839</v>
      </c>
      <c r="AE10">
        <v>2.99012954949717</v>
      </c>
      <c r="AF10">
        <v>3.1009230123844111</v>
      </c>
      <c r="AG10">
        <v>3.2133407729327086</v>
      </c>
      <c r="AH10">
        <v>3.3286866467126788</v>
      </c>
      <c r="AI10">
        <v>3.4470924322555319</v>
      </c>
      <c r="AJ10">
        <v>3.5687726545466396</v>
      </c>
      <c r="AK10">
        <v>3.6941946388212283</v>
      </c>
      <c r="AL10">
        <v>3.8238214675474924</v>
      </c>
      <c r="AM10">
        <v>3.95779719432538</v>
      </c>
      <c r="AN10">
        <v>4.0962697127307708</v>
      </c>
      <c r="AO10">
        <v>4.2393911370944402</v>
      </c>
      <c r="AP10">
        <v>4.3873181362468259</v>
      </c>
      <c r="AQ10">
        <v>4.540212232034218</v>
      </c>
      <c r="AR10">
        <v>4.6982400717432231</v>
      </c>
      <c r="AS10">
        <v>4.8615736816094399</v>
      </c>
      <c r="AT10">
        <v>5.0303907071171539</v>
      </c>
      <c r="AU10">
        <v>5.2048746446713094</v>
      </c>
      <c r="AV10">
        <v>5.385215068341628</v>
      </c>
      <c r="AW10">
        <v>5.5716078546751024</v>
      </c>
      <c r="AX10">
        <v>5.7642554080033257</v>
      </c>
      <c r="AY10">
        <v>5.9633668882059689</v>
      </c>
      <c r="AZ10">
        <v>6.1691584425111836</v>
      </c>
      <c r="BA10">
        <v>6.3818534426038687</v>
      </c>
      <c r="BB10">
        <v>6.6016827280626567</v>
      </c>
      <c r="BC10">
        <v>6.8288848569478029</v>
      </c>
      <c r="BD10">
        <v>7.0637063642071833</v>
      </c>
      <c r="BE10">
        <v>7.3064020284500248</v>
      </c>
      <c r="BF10">
        <v>7.5572351475515775</v>
      </c>
      <c r="BG10">
        <v>7.8164778234911649</v>
      </c>
      <c r="BH10">
        <v>8.0844112567863462</v>
      </c>
      <c r="BI10">
        <v>8.3613260508624396</v>
      </c>
      <c r="BJ10">
        <v>8.6475225266860374</v>
      </c>
      <c r="BK10">
        <v>8.9433110479900186</v>
      </c>
      <c r="BL10">
        <v>9.2490123574230623</v>
      </c>
      <c r="BM10">
        <v>9.5649579239673272</v>
      </c>
      <c r="BN10">
        <v>9.8914903019815004</v>
      </c>
      <c r="BO10">
        <v>10.22896350224182</v>
      </c>
      <c r="BP10">
        <v>10.577743375370382</v>
      </c>
      <c r="BQ10">
        <v>10.938208008057064</v>
      </c>
      <c r="BR10">
        <v>11.310748132498553</v>
      </c>
      <c r="BS10">
        <v>11.695767549495088</v>
      </c>
      <c r="BT10">
        <v>12.093683565662493</v>
      </c>
      <c r="BU10">
        <v>12.504927445234154</v>
      </c>
      <c r="BV10">
        <v>12.929944876944015</v>
      </c>
      <c r="BW10">
        <v>13.369196456499163</v>
      </c>
      <c r="BX10">
        <v>13.823158185167209</v>
      </c>
      <c r="BY10">
        <v>14.292321985021273</v>
      </c>
      <c r="BZ10">
        <v>14.777196231403199</v>
      </c>
      <c r="CA10">
        <v>15.278306303183873</v>
      </c>
      <c r="CB10">
        <v>15.796195151418443</v>
      </c>
      <c r="CC10">
        <v>16.33142388701355</v>
      </c>
      <c r="CD10">
        <v>16.884572388044273</v>
      </c>
      <c r="CE10">
        <v>17.456239927378977</v>
      </c>
      <c r="CF10">
        <v>18.04704582129213</v>
      </c>
      <c r="CG10">
        <v>18.657630099767704</v>
      </c>
      <c r="CH10">
        <v>19.288654199218875</v>
      </c>
      <c r="CI10">
        <v>19.940801678373969</v>
      </c>
    </row>
    <row r="11" spans="1:87" x14ac:dyDescent="0.3">
      <c r="A11" s="4" t="s">
        <v>981</v>
      </c>
      <c r="B11" s="4" t="s">
        <v>289</v>
      </c>
      <c r="C11" s="4" t="s">
        <v>1184</v>
      </c>
      <c r="D11">
        <v>1</v>
      </c>
      <c r="E11">
        <v>1.0084725000000001</v>
      </c>
      <c r="F11">
        <v>1.016010831937503</v>
      </c>
      <c r="G11">
        <v>0.96178379380991741</v>
      </c>
      <c r="H11">
        <v>0.99634955299768857</v>
      </c>
      <c r="I11">
        <v>1.0257220112558059</v>
      </c>
      <c r="J11">
        <v>1.0362268082007289</v>
      </c>
      <c r="K11">
        <v>1.047858854655384</v>
      </c>
      <c r="L11">
        <v>1.1297623713775375</v>
      </c>
      <c r="M11">
        <v>1.2078924885693192</v>
      </c>
      <c r="N11">
        <v>1.281313034561707</v>
      </c>
      <c r="O11">
        <v>1.3513123950336923</v>
      </c>
      <c r="P11">
        <v>1.4195356479415184</v>
      </c>
      <c r="Q11">
        <v>1.4871039429025845</v>
      </c>
      <c r="R11">
        <v>1.5534073032404212</v>
      </c>
      <c r="S11">
        <v>1.6203687385512209</v>
      </c>
      <c r="T11">
        <v>1.6880227827314171</v>
      </c>
      <c r="U11">
        <v>1.7558645086525499</v>
      </c>
      <c r="V11">
        <v>1.8236543066425319</v>
      </c>
      <c r="W11">
        <v>1.8910320741375328</v>
      </c>
      <c r="X11">
        <v>1.9587042510003785</v>
      </c>
      <c r="Y11">
        <v>2.0266450415474444</v>
      </c>
      <c r="Z11">
        <v>2.0952887152769808</v>
      </c>
      <c r="AA11">
        <v>2.164764951637896</v>
      </c>
      <c r="AB11">
        <v>2.2342937329999875</v>
      </c>
      <c r="AC11">
        <v>2.3048026454011441</v>
      </c>
      <c r="AD11">
        <v>2.3762249111973737</v>
      </c>
      <c r="AE11">
        <v>2.4486974732794047</v>
      </c>
      <c r="AF11">
        <v>2.5223631075143413</v>
      </c>
      <c r="AG11">
        <v>2.5965824071178303</v>
      </c>
      <c r="AH11">
        <v>2.6722217957039849</v>
      </c>
      <c r="AI11">
        <v>2.7493499956040162</v>
      </c>
      <c r="AJ11">
        <v>2.8280884185455473</v>
      </c>
      <c r="AK11">
        <v>2.9087205063834651</v>
      </c>
      <c r="AL11">
        <v>2.9915198211960572</v>
      </c>
      <c r="AM11">
        <v>3.0765474392460574</v>
      </c>
      <c r="AN11">
        <v>3.1638654216409745</v>
      </c>
      <c r="AO11">
        <v>3.2535370185331089</v>
      </c>
      <c r="AP11">
        <v>3.3456268355566485</v>
      </c>
      <c r="AQ11">
        <v>3.440200971472275</v>
      </c>
      <c r="AR11">
        <v>3.5373271338981938</v>
      </c>
      <c r="AS11">
        <v>3.637074738464606</v>
      </c>
      <c r="AT11">
        <v>3.739514995570671</v>
      </c>
      <c r="AU11">
        <v>3.8447209880359332</v>
      </c>
      <c r="AV11">
        <v>3.9527677422456686</v>
      </c>
      <c r="AW11">
        <v>4.0637322948404062</v>
      </c>
      <c r="AX11">
        <v>4.1776937565595089</v>
      </c>
      <c r="AY11">
        <v>4.2947333744934175</v>
      </c>
      <c r="AZ11">
        <v>4.4149345937125117</v>
      </c>
      <c r="BA11">
        <v>4.5383831190103514</v>
      </c>
      <c r="BB11">
        <v>4.6651669773157414</v>
      </c>
      <c r="BC11">
        <v>4.7953765811842892</v>
      </c>
      <c r="BD11">
        <v>4.9291047936689907</v>
      </c>
      <c r="BE11">
        <v>5.066446994785597</v>
      </c>
      <c r="BF11">
        <v>5.207501149726844</v>
      </c>
      <c r="BG11">
        <v>5.3523678789357776</v>
      </c>
      <c r="BH11">
        <v>5.5011505301186316</v>
      </c>
      <c r="BI11">
        <v>5.6539552522586458</v>
      </c>
      <c r="BJ11">
        <v>5.8108910716811986</v>
      </c>
      <c r="BK11">
        <v>5.9720699702154212</v>
      </c>
      <c r="BL11">
        <v>6.1376069654961301</v>
      </c>
      <c r="BM11">
        <v>6.307620193451366</v>
      </c>
      <c r="BN11">
        <v>6.4822309930237116</v>
      </c>
      <c r="BO11">
        <v>6.6615639931772108</v>
      </c>
      <c r="BP11">
        <v>6.8457472022457857</v>
      </c>
      <c r="BQ11">
        <v>7.0349120996829502</v>
      </c>
      <c r="BR11">
        <v>7.229193730276303</v>
      </c>
      <c r="BS11">
        <v>7.4287308008936686</v>
      </c>
      <c r="BT11">
        <v>7.6336657798307233</v>
      </c>
      <c r="BU11">
        <v>7.8441449988327241</v>
      </c>
      <c r="BV11">
        <v>8.0603187578651561</v>
      </c>
      <c r="BW11">
        <v>8.282341432710572</v>
      </c>
      <c r="BX11">
        <v>8.5103715854707076</v>
      </c>
      <c r="BY11">
        <v>8.7445720780550573</v>
      </c>
      <c r="BZ11">
        <v>8.9851101887389486</v>
      </c>
      <c r="CA11">
        <v>9.2321577318761623</v>
      </c>
      <c r="CB11">
        <v>9.4858911808530806</v>
      </c>
      <c r="CC11">
        <v>9.7464917943733695</v>
      </c>
      <c r="CD11">
        <v>10.014145746164512</v>
      </c>
      <c r="CE11">
        <v>10.289044258199509</v>
      </c>
      <c r="CF11">
        <v>10.571383737529597</v>
      </c>
      <c r="CG11">
        <v>10.861365916826188</v>
      </c>
      <c r="CH11">
        <v>11.159197998732786</v>
      </c>
      <c r="CI11">
        <v>11.465092804130338</v>
      </c>
    </row>
    <row r="12" spans="1:87" x14ac:dyDescent="0.3">
      <c r="A12" s="4" t="s">
        <v>981</v>
      </c>
      <c r="B12" s="4" t="s">
        <v>735</v>
      </c>
      <c r="C12" s="4" t="s">
        <v>1311</v>
      </c>
      <c r="D12">
        <v>8.7489845504819712</v>
      </c>
      <c r="E12">
        <v>8.847969679743052</v>
      </c>
      <c r="F12">
        <v>8.9369633566661619</v>
      </c>
      <c r="G12">
        <v>8.3422418703880989</v>
      </c>
      <c r="H12">
        <v>8.7250948970924256</v>
      </c>
      <c r="I12">
        <v>9.0545677315779116</v>
      </c>
      <c r="J12">
        <v>9.1771740699045132</v>
      </c>
      <c r="K12">
        <v>9.3128096130159825</v>
      </c>
      <c r="L12">
        <v>10.235251511762973</v>
      </c>
      <c r="M12">
        <v>11.133006731751113</v>
      </c>
      <c r="N12">
        <v>11.992160975426732</v>
      </c>
      <c r="O12">
        <v>12.824721398995345</v>
      </c>
      <c r="P12">
        <v>13.648169807761832</v>
      </c>
      <c r="Q12">
        <v>14.474870781065386</v>
      </c>
      <c r="R12">
        <v>15.296734635291696</v>
      </c>
      <c r="S12">
        <v>16.136772818558637</v>
      </c>
      <c r="T12">
        <v>16.995437230315627</v>
      </c>
      <c r="U12">
        <v>17.86636699076367</v>
      </c>
      <c r="V12">
        <v>18.746334451998621</v>
      </c>
      <c r="W12">
        <v>19.630439879380663</v>
      </c>
      <c r="X12">
        <v>20.527555052733124</v>
      </c>
      <c r="Y12">
        <v>21.437260508623837</v>
      </c>
      <c r="Z12">
        <v>22.365257947210438</v>
      </c>
      <c r="AA12">
        <v>23.313371778468035</v>
      </c>
      <c r="AB12">
        <v>24.271156278056953</v>
      </c>
      <c r="AC12">
        <v>25.251153089521011</v>
      </c>
      <c r="AD12">
        <v>26.252626473711793</v>
      </c>
      <c r="AE12">
        <v>27.277643056074989</v>
      </c>
      <c r="AF12">
        <v>28.328414186457206</v>
      </c>
      <c r="AG12">
        <v>29.396156508351265</v>
      </c>
      <c r="AH12">
        <v>30.49325776903234</v>
      </c>
      <c r="AI12">
        <v>31.621038250805604</v>
      </c>
      <c r="AJ12">
        <v>32.781610884717701</v>
      </c>
      <c r="AK12">
        <v>33.979506724100723</v>
      </c>
      <c r="AL12">
        <v>35.21923897914256</v>
      </c>
      <c r="AM12">
        <v>36.502295641498783</v>
      </c>
      <c r="AN12">
        <v>37.83020723759693</v>
      </c>
      <c r="AO12">
        <v>39.204550673966899</v>
      </c>
      <c r="AP12">
        <v>40.626952659499416</v>
      </c>
      <c r="AQ12">
        <v>42.099092813731644</v>
      </c>
      <c r="AR12">
        <v>43.622706545814182</v>
      </c>
      <c r="AS12">
        <v>45.199587770874082</v>
      </c>
      <c r="AT12">
        <v>46.831591517061952</v>
      </c>
      <c r="AU12">
        <v>48.520636466290981</v>
      </c>
      <c r="AV12">
        <v>50.268707463625319</v>
      </c>
      <c r="AW12">
        <v>52.077858023843319</v>
      </c>
      <c r="AX12">
        <v>53.950212858485635</v>
      </c>
      <c r="AY12">
        <v>55.887970442431616</v>
      </c>
      <c r="AZ12">
        <v>57.893405635550288</v>
      </c>
      <c r="BA12">
        <v>59.968872372118348</v>
      </c>
      <c r="BB12">
        <v>62.116806428390596</v>
      </c>
      <c r="BC12">
        <v>64.339728276874197</v>
      </c>
      <c r="BD12">
        <v>66.640246034427548</v>
      </c>
      <c r="BE12">
        <v>69.021058510222616</v>
      </c>
      <c r="BF12">
        <v>71.484958358818503</v>
      </c>
      <c r="BG12">
        <v>74.034835343045543</v>
      </c>
      <c r="BH12">
        <v>76.673679711050198</v>
      </c>
      <c r="BI12">
        <v>79.40458569165574</v>
      </c>
      <c r="BJ12">
        <v>82.230755112125891</v>
      </c>
      <c r="BK12">
        <v>85.155501142437984</v>
      </c>
      <c r="BL12">
        <v>88.182252170262501</v>
      </c>
      <c r="BM12">
        <v>91.314555810983322</v>
      </c>
      <c r="BN12">
        <v>94.556083057262711</v>
      </c>
      <c r="BO12">
        <v>97.910632572844193</v>
      </c>
      <c r="BP12">
        <v>101.38213513549049</v>
      </c>
      <c r="BQ12">
        <v>104.97465823416195</v>
      </c>
      <c r="BR12">
        <v>108.69241082575445</v>
      </c>
      <c r="BS12">
        <v>112.53974825692833</v>
      </c>
      <c r="BT12">
        <v>116.52117735677621</v>
      </c>
      <c r="BU12">
        <v>120.64136170629304</v>
      </c>
      <c r="BV12">
        <v>124.90512709082743</v>
      </c>
      <c r="BW12">
        <v>129.31746714191641</v>
      </c>
      <c r="BX12">
        <v>133.88354917512763</v>
      </c>
      <c r="BY12">
        <v>138.60872023076257</v>
      </c>
      <c r="BZ12">
        <v>143.49851332450987</v>
      </c>
      <c r="CA12">
        <v>148.55865391537995</v>
      </c>
      <c r="CB12">
        <v>153.79506659850333</v>
      </c>
      <c r="CC12">
        <v>159.21388203063108</v>
      </c>
      <c r="CD12">
        <v>164.82144409644928</v>
      </c>
      <c r="CE12">
        <v>170.62431732409189</v>
      </c>
      <c r="CF12">
        <v>176.62929455852844</v>
      </c>
      <c r="CG12">
        <v>182.84340490180097</v>
      </c>
      <c r="CH12">
        <v>189.27392192939422</v>
      </c>
      <c r="CI12">
        <v>195.9283721923446</v>
      </c>
    </row>
    <row r="13" spans="1:87" x14ac:dyDescent="0.3">
      <c r="A13" s="4" t="s">
        <v>981</v>
      </c>
      <c r="B13" s="4" t="s">
        <v>735</v>
      </c>
      <c r="C13" s="4" t="s">
        <v>1313</v>
      </c>
      <c r="D13">
        <v>46.660772063358884</v>
      </c>
      <c r="E13">
        <v>47.098347072235761</v>
      </c>
      <c r="F13">
        <v>47.4891688081171</v>
      </c>
      <c r="G13">
        <v>44.75522864783354</v>
      </c>
      <c r="H13">
        <v>46.505635528783856</v>
      </c>
      <c r="I13">
        <v>47.999331734726077</v>
      </c>
      <c r="J13">
        <v>48.541369066696113</v>
      </c>
      <c r="K13">
        <v>49.141233924846595</v>
      </c>
      <c r="L13">
        <v>53.309288180452626</v>
      </c>
      <c r="M13">
        <v>57.311124495870999</v>
      </c>
      <c r="N13">
        <v>61.093961754308076</v>
      </c>
      <c r="O13">
        <v>64.719557210335978</v>
      </c>
      <c r="P13">
        <v>68.269965652650427</v>
      </c>
      <c r="Q13">
        <v>71.801728353698195</v>
      </c>
      <c r="R13">
        <v>75.281985237136325</v>
      </c>
      <c r="S13">
        <v>78.810371198656625</v>
      </c>
      <c r="T13">
        <v>82.388622712668692</v>
      </c>
      <c r="U13">
        <v>85.990012210819643</v>
      </c>
      <c r="V13">
        <v>89.601528705303423</v>
      </c>
      <c r="W13">
        <v>93.203611192073382</v>
      </c>
      <c r="X13">
        <v>96.833391953730896</v>
      </c>
      <c r="Y13">
        <v>100.48930759403926</v>
      </c>
      <c r="Z13">
        <v>104.194486054789</v>
      </c>
      <c r="AA13">
        <v>107.95594028477136</v>
      </c>
      <c r="AB13">
        <v>111.73165682901868</v>
      </c>
      <c r="AC13">
        <v>115.57159710975469</v>
      </c>
      <c r="AD13">
        <v>119.47230425783839</v>
      </c>
      <c r="AE13">
        <v>123.44136961140977</v>
      </c>
      <c r="AF13">
        <v>127.48678110826147</v>
      </c>
      <c r="AG13">
        <v>131.57381084443659</v>
      </c>
      <c r="AH13">
        <v>135.74996924598474</v>
      </c>
      <c r="AI13">
        <v>140.01938247102797</v>
      </c>
      <c r="AJ13">
        <v>144.38911523190552</v>
      </c>
      <c r="AK13">
        <v>148.87524959353794</v>
      </c>
      <c r="AL13">
        <v>153.49347087069191</v>
      </c>
      <c r="AM13">
        <v>158.24780707001312</v>
      </c>
      <c r="AN13">
        <v>163.14236886758809</v>
      </c>
      <c r="AO13">
        <v>168.18136158600919</v>
      </c>
      <c r="AP13">
        <v>173.36909522564861</v>
      </c>
      <c r="AQ13">
        <v>178.70999301728668</v>
      </c>
      <c r="AR13">
        <v>184.20859885544326</v>
      </c>
      <c r="AS13">
        <v>189.86958389236446</v>
      </c>
      <c r="AT13">
        <v>195.69775251302164</v>
      </c>
      <c r="AU13">
        <v>201.69804786580082</v>
      </c>
      <c r="AV13">
        <v>207.87555708784311</v>
      </c>
      <c r="AW13">
        <v>214.23551633558824</v>
      </c>
      <c r="AX13">
        <v>220.78331570819563</v>
      </c>
      <c r="AY13">
        <v>227.52450413297157</v>
      </c>
      <c r="AZ13">
        <v>234.46479426687966</v>
      </c>
      <c r="BA13">
        <v>241.61006745605337</v>
      </c>
      <c r="BB13">
        <v>248.96637878548978</v>
      </c>
      <c r="BC13">
        <v>256.53996224341796</v>
      </c>
      <c r="BD13">
        <v>264.33723601886572</v>
      </c>
      <c r="BE13">
        <v>272.36480794642443</v>
      </c>
      <c r="BF13">
        <v>280.6294811088747</v>
      </c>
      <c r="BG13">
        <v>289.13825960595443</v>
      </c>
      <c r="BH13">
        <v>297.89835449594807</v>
      </c>
      <c r="BI13">
        <v>306.91718991575095</v>
      </c>
      <c r="BJ13">
        <v>316.20240938449973</v>
      </c>
      <c r="BK13">
        <v>325.76188229561501</v>
      </c>
      <c r="BL13">
        <v>335.60371060208735</v>
      </c>
      <c r="BM13">
        <v>345.73623569998188</v>
      </c>
      <c r="BN13">
        <v>356.16804551536967</v>
      </c>
      <c r="BO13">
        <v>366.90798180017674</v>
      </c>
      <c r="BP13">
        <v>377.96514764275344</v>
      </c>
      <c r="BQ13">
        <v>389.34891519927498</v>
      </c>
      <c r="BR13">
        <v>401.06893365238579</v>
      </c>
      <c r="BS13">
        <v>413.13513740378545</v>
      </c>
      <c r="BT13">
        <v>425.5577545077237</v>
      </c>
      <c r="BU13">
        <v>438.34731535263234</v>
      </c>
      <c r="BV13">
        <v>451.51466159834848</v>
      </c>
      <c r="BW13">
        <v>465.07095537663849</v>
      </c>
      <c r="BX13">
        <v>479.02768876293743</v>
      </c>
      <c r="BY13">
        <v>493.39669352745841</v>
      </c>
      <c r="BZ13">
        <v>508.19015117404757</v>
      </c>
      <c r="CA13">
        <v>523.42060327539014</v>
      </c>
      <c r="CB13">
        <v>539.10096211341568</v>
      </c>
      <c r="CC13">
        <v>555.24452163398428</v>
      </c>
      <c r="CD13">
        <v>571.86496872520195</v>
      </c>
      <c r="CE13">
        <v>588.97639482896523</v>
      </c>
      <c r="CF13">
        <v>606.59330789561182</v>
      </c>
      <c r="CG13">
        <v>624.73064469183748</v>
      </c>
      <c r="CH13">
        <v>643.40378347233286</v>
      </c>
      <c r="CI13">
        <v>662.62855702589309</v>
      </c>
    </row>
    <row r="14" spans="1:87" x14ac:dyDescent="0.3">
      <c r="A14" s="4" t="s">
        <v>981</v>
      </c>
      <c r="B14" s="4" t="s">
        <v>735</v>
      </c>
      <c r="C14" s="4" t="s">
        <v>1314</v>
      </c>
      <c r="D14">
        <v>58.607188433041514</v>
      </c>
      <c r="E14">
        <v>59.241286651358266</v>
      </c>
      <c r="F14">
        <v>59.810512558547714</v>
      </c>
      <c r="G14">
        <v>55.967455844766775</v>
      </c>
      <c r="H14">
        <v>58.439044280489185</v>
      </c>
      <c r="I14">
        <v>60.561576520123062</v>
      </c>
      <c r="J14">
        <v>61.346859206986878</v>
      </c>
      <c r="K14">
        <v>62.215602897763191</v>
      </c>
      <c r="L14">
        <v>68.151972066116713</v>
      </c>
      <c r="M14">
        <v>73.909664785287674</v>
      </c>
      <c r="N14">
        <v>79.402640838142332</v>
      </c>
      <c r="O14">
        <v>84.710785096185461</v>
      </c>
      <c r="P14">
        <v>89.947625992672542</v>
      </c>
      <c r="Q14">
        <v>95.192900511518943</v>
      </c>
      <c r="R14">
        <v>100.39585111134691</v>
      </c>
      <c r="S14">
        <v>105.70288551507856</v>
      </c>
      <c r="T14">
        <v>111.11673172301872</v>
      </c>
      <c r="U14">
        <v>116.59714638736735</v>
      </c>
      <c r="V14">
        <v>122.12389339444339</v>
      </c>
      <c r="W14">
        <v>127.66636251191944</v>
      </c>
      <c r="X14">
        <v>133.28048933288269</v>
      </c>
      <c r="Y14">
        <v>138.96365241453054</v>
      </c>
      <c r="Z14">
        <v>144.75149951261301</v>
      </c>
      <c r="AA14">
        <v>150.6552533661249</v>
      </c>
      <c r="AB14">
        <v>156.60961530394223</v>
      </c>
      <c r="AC14">
        <v>162.69269714979026</v>
      </c>
      <c r="AD14">
        <v>168.89966107614322</v>
      </c>
      <c r="AE14">
        <v>175.24308594658618</v>
      </c>
      <c r="AF14">
        <v>181.73637930316792</v>
      </c>
      <c r="AG14">
        <v>188.32486817884251</v>
      </c>
      <c r="AH14">
        <v>195.08496553843906</v>
      </c>
      <c r="AI14">
        <v>202.02439572331136</v>
      </c>
      <c r="AJ14">
        <v>209.15573143970067</v>
      </c>
      <c r="AK14">
        <v>216.50636130572747</v>
      </c>
      <c r="AL14">
        <v>224.10342528286523</v>
      </c>
      <c r="AM14">
        <v>231.95536594759056</v>
      </c>
      <c r="AN14">
        <v>240.07085092657312</v>
      </c>
      <c r="AO14">
        <v>248.45879521306</v>
      </c>
      <c r="AP14">
        <v>257.12838072671821</v>
      </c>
      <c r="AQ14">
        <v>266.08907380882943</v>
      </c>
      <c r="AR14">
        <v>275.35064118832156</v>
      </c>
      <c r="AS14">
        <v>284.92316483919984</v>
      </c>
      <c r="AT14">
        <v>294.81705606383599</v>
      </c>
      <c r="AU14">
        <v>305.04306907061141</v>
      </c>
      <c r="AV14">
        <v>315.61231426275231</v>
      </c>
      <c r="AW14">
        <v>326.53627141395793</v>
      </c>
      <c r="AX14">
        <v>337.82680287302952</v>
      </c>
      <c r="AY14">
        <v>349.49616691244762</v>
      </c>
      <c r="AZ14">
        <v>361.55703131354187</v>
      </c>
      <c r="BA14">
        <v>374.02248726273962</v>
      </c>
      <c r="BB14">
        <v>386.90606361872369</v>
      </c>
      <c r="BC14">
        <v>400.22174159868365</v>
      </c>
      <c r="BD14">
        <v>413.98396992276497</v>
      </c>
      <c r="BE14">
        <v>428.20768044892736</v>
      </c>
      <c r="BF14">
        <v>442.90830432535961</v>
      </c>
      <c r="BG14">
        <v>458.10178868403693</v>
      </c>
      <c r="BH14">
        <v>473.80461389667937</v>
      </c>
      <c r="BI14">
        <v>490.03381141299388</v>
      </c>
      <c r="BJ14">
        <v>506.80698220045986</v>
      </c>
      <c r="BK14">
        <v>524.14231580485296</v>
      </c>
      <c r="BL14">
        <v>542.05861005102292</v>
      </c>
      <c r="BM14">
        <v>560.57529140406677</v>
      </c>
      <c r="BN14">
        <v>579.71243601183255</v>
      </c>
      <c r="BO14">
        <v>599.49079145059056</v>
      </c>
      <c r="BP14">
        <v>619.93179919668853</v>
      </c>
      <c r="BQ14">
        <v>641.05761784800404</v>
      </c>
      <c r="BR14">
        <v>662.89114712001515</v>
      </c>
      <c r="BS14">
        <v>685.45605264231085</v>
      </c>
      <c r="BT14">
        <v>708.77679158235912</v>
      </c>
      <c r="BU14">
        <v>732.87863912435046</v>
      </c>
      <c r="BV14">
        <v>757.78771583189769</v>
      </c>
      <c r="BW14">
        <v>783.53101592439737</v>
      </c>
      <c r="BX14">
        <v>810.13643649783478</v>
      </c>
      <c r="BY14">
        <v>837.63280772184373</v>
      </c>
      <c r="BZ14">
        <v>866.04992404587824</v>
      </c>
      <c r="CA14">
        <v>895.41857644842321</v>
      </c>
      <c r="CB14">
        <v>925.77058576427748</v>
      </c>
      <c r="CC14">
        <v>957.13883712607844</v>
      </c>
      <c r="CD14">
        <v>989.55731555744046</v>
      </c>
      <c r="CE14">
        <v>1023.0611427562826</v>
      </c>
      <c r="CF14">
        <v>1057.6866151082024</v>
      </c>
      <c r="CG14">
        <v>1093.471242971073</v>
      </c>
      <c r="CH14">
        <v>1130.4537912733981</v>
      </c>
      <c r="CI14">
        <v>1168.6743214703738</v>
      </c>
    </row>
    <row r="15" spans="1:87" x14ac:dyDescent="0.3">
      <c r="A15" s="4" t="s">
        <v>981</v>
      </c>
      <c r="B15" s="4" t="s">
        <v>735</v>
      </c>
      <c r="C15" s="4" t="s">
        <v>1184</v>
      </c>
      <c r="D15">
        <v>1</v>
      </c>
      <c r="E15">
        <v>1.0084725000000001</v>
      </c>
      <c r="F15">
        <v>1.016010831937503</v>
      </c>
      <c r="G15">
        <v>0.96178379380991741</v>
      </c>
      <c r="H15">
        <v>0.99634955299768857</v>
      </c>
      <c r="I15">
        <v>1.0257220112558059</v>
      </c>
      <c r="J15">
        <v>1.0362268082007289</v>
      </c>
      <c r="K15">
        <v>1.047858854655384</v>
      </c>
      <c r="L15">
        <v>1.1297623713775375</v>
      </c>
      <c r="M15">
        <v>1.2078924885693192</v>
      </c>
      <c r="N15">
        <v>1.281313034561707</v>
      </c>
      <c r="O15">
        <v>1.3513123950336923</v>
      </c>
      <c r="P15">
        <v>1.4195356479415184</v>
      </c>
      <c r="Q15">
        <v>1.4871039429025845</v>
      </c>
      <c r="R15">
        <v>1.5534073032404212</v>
      </c>
      <c r="S15">
        <v>1.6203687385512209</v>
      </c>
      <c r="T15">
        <v>1.6880227827314171</v>
      </c>
      <c r="U15">
        <v>1.7558645086525499</v>
      </c>
      <c r="V15">
        <v>1.8236543066425319</v>
      </c>
      <c r="W15">
        <v>1.8910320741375328</v>
      </c>
      <c r="X15">
        <v>1.9587042510003785</v>
      </c>
      <c r="Y15">
        <v>2.0266450415474444</v>
      </c>
      <c r="Z15">
        <v>2.0952887152769808</v>
      </c>
      <c r="AA15">
        <v>2.164764951637896</v>
      </c>
      <c r="AB15">
        <v>2.2342937329999875</v>
      </c>
      <c r="AC15">
        <v>2.3048026454011441</v>
      </c>
      <c r="AD15">
        <v>2.3762249111973737</v>
      </c>
      <c r="AE15">
        <v>2.4486974732794047</v>
      </c>
      <c r="AF15">
        <v>2.5223631075143413</v>
      </c>
      <c r="AG15">
        <v>2.5965824071178303</v>
      </c>
      <c r="AH15">
        <v>2.6722217957039849</v>
      </c>
      <c r="AI15">
        <v>2.7493499956040162</v>
      </c>
      <c r="AJ15">
        <v>2.8280884185455473</v>
      </c>
      <c r="AK15">
        <v>2.9087205063834651</v>
      </c>
      <c r="AL15">
        <v>2.9915198211960572</v>
      </c>
      <c r="AM15">
        <v>3.0765474392460574</v>
      </c>
      <c r="AN15">
        <v>3.1638654216409745</v>
      </c>
      <c r="AO15">
        <v>3.2535370185331089</v>
      </c>
      <c r="AP15">
        <v>3.3456268355566485</v>
      </c>
      <c r="AQ15">
        <v>3.440200971472275</v>
      </c>
      <c r="AR15">
        <v>3.5373271338981938</v>
      </c>
      <c r="AS15">
        <v>3.637074738464606</v>
      </c>
      <c r="AT15">
        <v>3.739514995570671</v>
      </c>
      <c r="AU15">
        <v>3.8447209880359332</v>
      </c>
      <c r="AV15">
        <v>3.9527677422456686</v>
      </c>
      <c r="AW15">
        <v>4.0637322948404062</v>
      </c>
      <c r="AX15">
        <v>4.1776937565595089</v>
      </c>
      <c r="AY15">
        <v>4.2947333744934175</v>
      </c>
      <c r="AZ15">
        <v>4.4149345937125117</v>
      </c>
      <c r="BA15">
        <v>4.5383831190103514</v>
      </c>
      <c r="BB15">
        <v>4.6651669773157414</v>
      </c>
      <c r="BC15">
        <v>4.7953765811842892</v>
      </c>
      <c r="BD15">
        <v>4.9291047936689907</v>
      </c>
      <c r="BE15">
        <v>5.066446994785597</v>
      </c>
      <c r="BF15">
        <v>5.207501149726844</v>
      </c>
      <c r="BG15">
        <v>5.3523678789357776</v>
      </c>
      <c r="BH15">
        <v>5.5011505301186316</v>
      </c>
      <c r="BI15">
        <v>5.6539552522586458</v>
      </c>
      <c r="BJ15">
        <v>5.8108910716811986</v>
      </c>
      <c r="BK15">
        <v>5.9720699702154212</v>
      </c>
      <c r="BL15">
        <v>6.1376069654961301</v>
      </c>
      <c r="BM15">
        <v>6.307620193451366</v>
      </c>
      <c r="BN15">
        <v>6.4822309930237116</v>
      </c>
      <c r="BO15">
        <v>6.6615639931772108</v>
      </c>
      <c r="BP15">
        <v>6.8457472022457857</v>
      </c>
      <c r="BQ15">
        <v>7.0349120996829502</v>
      </c>
      <c r="BR15">
        <v>7.229193730276303</v>
      </c>
      <c r="BS15">
        <v>7.4287308008936686</v>
      </c>
      <c r="BT15">
        <v>7.6336657798307233</v>
      </c>
      <c r="BU15">
        <v>7.8441449988327241</v>
      </c>
      <c r="BV15">
        <v>8.0603187578651561</v>
      </c>
      <c r="BW15">
        <v>8.282341432710572</v>
      </c>
      <c r="BX15">
        <v>8.5103715854707076</v>
      </c>
      <c r="BY15">
        <v>8.7445720780550573</v>
      </c>
      <c r="BZ15">
        <v>8.9851101887389486</v>
      </c>
      <c r="CA15">
        <v>9.2321577318761623</v>
      </c>
      <c r="CB15">
        <v>9.4858911808530806</v>
      </c>
      <c r="CC15">
        <v>9.7464917943733695</v>
      </c>
      <c r="CD15">
        <v>10.014145746164512</v>
      </c>
      <c r="CE15">
        <v>10.289044258199509</v>
      </c>
      <c r="CF15">
        <v>10.571383737529597</v>
      </c>
      <c r="CG15">
        <v>10.861365916826188</v>
      </c>
      <c r="CH15">
        <v>11.159197998732786</v>
      </c>
      <c r="CI15">
        <v>11.465092804130338</v>
      </c>
    </row>
    <row r="16" spans="1:87" x14ac:dyDescent="0.3">
      <c r="A16" s="4" t="s">
        <v>981</v>
      </c>
      <c r="B16" s="4" t="s">
        <v>734</v>
      </c>
      <c r="C16" s="4" t="s">
        <v>1311</v>
      </c>
      <c r="D16">
        <v>8.7489845504819712</v>
      </c>
      <c r="E16">
        <v>8.847969679743052</v>
      </c>
      <c r="F16">
        <v>8.9369633566661619</v>
      </c>
      <c r="G16">
        <v>8.3422418703880989</v>
      </c>
      <c r="H16">
        <v>8.7250948970924256</v>
      </c>
      <c r="I16">
        <v>9.0545677315779116</v>
      </c>
      <c r="J16">
        <v>9.1771740699045132</v>
      </c>
      <c r="K16">
        <v>9.3128096130159825</v>
      </c>
      <c r="L16">
        <v>10.235251511762973</v>
      </c>
      <c r="M16">
        <v>11.133006731751113</v>
      </c>
      <c r="N16">
        <v>11.992160975426732</v>
      </c>
      <c r="O16">
        <v>12.824721398995345</v>
      </c>
      <c r="P16">
        <v>13.648169807761832</v>
      </c>
      <c r="Q16">
        <v>14.474870781065386</v>
      </c>
      <c r="R16">
        <v>15.296734635291696</v>
      </c>
      <c r="S16">
        <v>16.136772818558637</v>
      </c>
      <c r="T16">
        <v>16.995437230315627</v>
      </c>
      <c r="U16">
        <v>17.86636699076367</v>
      </c>
      <c r="V16">
        <v>18.746334451998621</v>
      </c>
      <c r="W16">
        <v>19.630439879380663</v>
      </c>
      <c r="X16">
        <v>20.527555052733124</v>
      </c>
      <c r="Y16">
        <v>21.437260508623837</v>
      </c>
      <c r="Z16">
        <v>22.365257947210438</v>
      </c>
      <c r="AA16">
        <v>23.313371778468035</v>
      </c>
      <c r="AB16">
        <v>24.271156278056953</v>
      </c>
      <c r="AC16">
        <v>25.251153089521011</v>
      </c>
      <c r="AD16">
        <v>26.252626473711793</v>
      </c>
      <c r="AE16">
        <v>27.277643056074989</v>
      </c>
      <c r="AF16">
        <v>28.328414186457206</v>
      </c>
      <c r="AG16">
        <v>29.396156508351265</v>
      </c>
      <c r="AH16">
        <v>30.49325776903234</v>
      </c>
      <c r="AI16">
        <v>31.621038250805604</v>
      </c>
      <c r="AJ16">
        <v>32.781610884717701</v>
      </c>
      <c r="AK16">
        <v>33.979506724100723</v>
      </c>
      <c r="AL16">
        <v>35.21923897914256</v>
      </c>
      <c r="AM16">
        <v>36.502295641498783</v>
      </c>
      <c r="AN16">
        <v>37.83020723759693</v>
      </c>
      <c r="AO16">
        <v>39.204550673966899</v>
      </c>
      <c r="AP16">
        <v>40.626952659499416</v>
      </c>
      <c r="AQ16">
        <v>42.099092813731644</v>
      </c>
      <c r="AR16">
        <v>43.622706545814182</v>
      </c>
      <c r="AS16">
        <v>45.199587770874082</v>
      </c>
      <c r="AT16">
        <v>46.831591517061952</v>
      </c>
      <c r="AU16">
        <v>48.520636466290981</v>
      </c>
      <c r="AV16">
        <v>50.268707463625319</v>
      </c>
      <c r="AW16">
        <v>52.077858023843319</v>
      </c>
      <c r="AX16">
        <v>53.950212858485635</v>
      </c>
      <c r="AY16">
        <v>55.887970442431616</v>
      </c>
      <c r="AZ16">
        <v>57.893405635550288</v>
      </c>
      <c r="BA16">
        <v>59.968872372118348</v>
      </c>
      <c r="BB16">
        <v>62.116806428390596</v>
      </c>
      <c r="BC16">
        <v>64.339728276874197</v>
      </c>
      <c r="BD16">
        <v>66.640246034427548</v>
      </c>
      <c r="BE16">
        <v>69.021058510222616</v>
      </c>
      <c r="BF16">
        <v>71.484958358818503</v>
      </c>
      <c r="BG16">
        <v>74.034835343045543</v>
      </c>
      <c r="BH16">
        <v>76.673679711050198</v>
      </c>
      <c r="BI16">
        <v>79.40458569165574</v>
      </c>
      <c r="BJ16">
        <v>82.230755112125891</v>
      </c>
      <c r="BK16">
        <v>85.155501142437984</v>
      </c>
      <c r="BL16">
        <v>88.182252170262501</v>
      </c>
      <c r="BM16">
        <v>91.314555810983322</v>
      </c>
      <c r="BN16">
        <v>94.556083057262711</v>
      </c>
      <c r="BO16">
        <v>97.910632572844193</v>
      </c>
      <c r="BP16">
        <v>101.38213513549049</v>
      </c>
      <c r="BQ16">
        <v>104.97465823416195</v>
      </c>
      <c r="BR16">
        <v>108.69241082575445</v>
      </c>
      <c r="BS16">
        <v>112.53974825692833</v>
      </c>
      <c r="BT16">
        <v>116.52117735677621</v>
      </c>
      <c r="BU16">
        <v>120.64136170629304</v>
      </c>
      <c r="BV16">
        <v>124.90512709082743</v>
      </c>
      <c r="BW16">
        <v>129.31746714191641</v>
      </c>
      <c r="BX16">
        <v>133.88354917512763</v>
      </c>
      <c r="BY16">
        <v>138.60872023076257</v>
      </c>
      <c r="BZ16">
        <v>143.49851332450987</v>
      </c>
      <c r="CA16">
        <v>148.55865391537995</v>
      </c>
      <c r="CB16">
        <v>153.79506659850333</v>
      </c>
      <c r="CC16">
        <v>159.21388203063108</v>
      </c>
      <c r="CD16">
        <v>164.82144409644928</v>
      </c>
      <c r="CE16">
        <v>170.62431732409189</v>
      </c>
      <c r="CF16">
        <v>176.62929455852844</v>
      </c>
      <c r="CG16">
        <v>182.84340490180097</v>
      </c>
      <c r="CH16">
        <v>189.27392192939422</v>
      </c>
      <c r="CI16">
        <v>195.9283721923446</v>
      </c>
    </row>
    <row r="17" spans="1:87" x14ac:dyDescent="0.3">
      <c r="A17" s="4" t="s">
        <v>981</v>
      </c>
      <c r="B17" s="4" t="s">
        <v>734</v>
      </c>
      <c r="C17" s="4" t="s">
        <v>1313</v>
      </c>
      <c r="D17">
        <v>46.660772063358884</v>
      </c>
      <c r="E17">
        <v>47.098347072235761</v>
      </c>
      <c r="F17">
        <v>47.4891688081171</v>
      </c>
      <c r="G17">
        <v>44.75522864783354</v>
      </c>
      <c r="H17">
        <v>46.505635528783856</v>
      </c>
      <c r="I17">
        <v>47.999331734726077</v>
      </c>
      <c r="J17">
        <v>48.541369066696113</v>
      </c>
      <c r="K17">
        <v>49.141233924846595</v>
      </c>
      <c r="L17">
        <v>53.309288180452626</v>
      </c>
      <c r="M17">
        <v>57.311124495870999</v>
      </c>
      <c r="N17">
        <v>61.093961754308076</v>
      </c>
      <c r="O17">
        <v>64.719557210335978</v>
      </c>
      <c r="P17">
        <v>68.269965652650427</v>
      </c>
      <c r="Q17">
        <v>71.801728353698195</v>
      </c>
      <c r="R17">
        <v>75.281985237136325</v>
      </c>
      <c r="S17">
        <v>78.810371198656625</v>
      </c>
      <c r="T17">
        <v>82.388622712668692</v>
      </c>
      <c r="U17">
        <v>85.990012210819643</v>
      </c>
      <c r="V17">
        <v>89.601528705303423</v>
      </c>
      <c r="W17">
        <v>93.203611192073382</v>
      </c>
      <c r="X17">
        <v>96.833391953730896</v>
      </c>
      <c r="Y17">
        <v>100.48930759403926</v>
      </c>
      <c r="Z17">
        <v>104.194486054789</v>
      </c>
      <c r="AA17">
        <v>107.95594028477136</v>
      </c>
      <c r="AB17">
        <v>111.73165682901868</v>
      </c>
      <c r="AC17">
        <v>115.57159710975469</v>
      </c>
      <c r="AD17">
        <v>119.47230425783839</v>
      </c>
      <c r="AE17">
        <v>123.44136961140977</v>
      </c>
      <c r="AF17">
        <v>127.48678110826147</v>
      </c>
      <c r="AG17">
        <v>131.57381084443659</v>
      </c>
      <c r="AH17">
        <v>135.74996924598474</v>
      </c>
      <c r="AI17">
        <v>140.01938247102797</v>
      </c>
      <c r="AJ17">
        <v>144.38911523190552</v>
      </c>
      <c r="AK17">
        <v>148.87524959353794</v>
      </c>
      <c r="AL17">
        <v>153.49347087069191</v>
      </c>
      <c r="AM17">
        <v>158.24780707001312</v>
      </c>
      <c r="AN17">
        <v>163.14236886758809</v>
      </c>
      <c r="AO17">
        <v>168.18136158600919</v>
      </c>
      <c r="AP17">
        <v>173.36909522564861</v>
      </c>
      <c r="AQ17">
        <v>178.70999301728668</v>
      </c>
      <c r="AR17">
        <v>184.20859885544326</v>
      </c>
      <c r="AS17">
        <v>189.86958389236446</v>
      </c>
      <c r="AT17">
        <v>195.69775251302164</v>
      </c>
      <c r="AU17">
        <v>201.69804786580082</v>
      </c>
      <c r="AV17">
        <v>207.87555708784311</v>
      </c>
      <c r="AW17">
        <v>214.23551633558824</v>
      </c>
      <c r="AX17">
        <v>220.78331570819563</v>
      </c>
      <c r="AY17">
        <v>227.52450413297157</v>
      </c>
      <c r="AZ17">
        <v>234.46479426687966</v>
      </c>
      <c r="BA17">
        <v>241.61006745605337</v>
      </c>
      <c r="BB17">
        <v>248.96637878548978</v>
      </c>
      <c r="BC17">
        <v>256.53996224341796</v>
      </c>
      <c r="BD17">
        <v>264.33723601886572</v>
      </c>
      <c r="BE17">
        <v>272.36480794642443</v>
      </c>
      <c r="BF17">
        <v>280.6294811088747</v>
      </c>
      <c r="BG17">
        <v>289.13825960595443</v>
      </c>
      <c r="BH17">
        <v>297.89835449594807</v>
      </c>
      <c r="BI17">
        <v>306.91718991575095</v>
      </c>
      <c r="BJ17">
        <v>316.20240938449973</v>
      </c>
      <c r="BK17">
        <v>325.76188229561501</v>
      </c>
      <c r="BL17">
        <v>335.60371060208735</v>
      </c>
      <c r="BM17">
        <v>345.73623569998188</v>
      </c>
      <c r="BN17">
        <v>356.16804551536967</v>
      </c>
      <c r="BO17">
        <v>366.90798180017674</v>
      </c>
      <c r="BP17">
        <v>377.96514764275344</v>
      </c>
      <c r="BQ17">
        <v>389.34891519927498</v>
      </c>
      <c r="BR17">
        <v>401.06893365238579</v>
      </c>
      <c r="BS17">
        <v>413.13513740378545</v>
      </c>
      <c r="BT17">
        <v>425.5577545077237</v>
      </c>
      <c r="BU17">
        <v>438.34731535263234</v>
      </c>
      <c r="BV17">
        <v>451.51466159834848</v>
      </c>
      <c r="BW17">
        <v>465.07095537663849</v>
      </c>
      <c r="BX17">
        <v>479.02768876293743</v>
      </c>
      <c r="BY17">
        <v>493.39669352745841</v>
      </c>
      <c r="BZ17">
        <v>508.19015117404757</v>
      </c>
      <c r="CA17">
        <v>523.42060327539014</v>
      </c>
      <c r="CB17">
        <v>539.10096211341568</v>
      </c>
      <c r="CC17">
        <v>555.24452163398428</v>
      </c>
      <c r="CD17">
        <v>571.86496872520195</v>
      </c>
      <c r="CE17">
        <v>588.97639482896523</v>
      </c>
      <c r="CF17">
        <v>606.59330789561182</v>
      </c>
      <c r="CG17">
        <v>624.73064469183748</v>
      </c>
      <c r="CH17">
        <v>643.40378347233286</v>
      </c>
      <c r="CI17">
        <v>662.62855702589309</v>
      </c>
    </row>
    <row r="18" spans="1:87" x14ac:dyDescent="0.3">
      <c r="A18" s="4" t="s">
        <v>981</v>
      </c>
      <c r="B18" s="4" t="s">
        <v>734</v>
      </c>
      <c r="C18" s="4" t="s">
        <v>1314</v>
      </c>
      <c r="D18">
        <v>58.607188433041514</v>
      </c>
      <c r="E18">
        <v>59.241286651358266</v>
      </c>
      <c r="F18">
        <v>59.810512558547714</v>
      </c>
      <c r="G18">
        <v>55.967455844766775</v>
      </c>
      <c r="H18">
        <v>58.439044280489185</v>
      </c>
      <c r="I18">
        <v>60.561576520123062</v>
      </c>
      <c r="J18">
        <v>61.346859206986878</v>
      </c>
      <c r="K18">
        <v>62.215602897763191</v>
      </c>
      <c r="L18">
        <v>68.151972066116713</v>
      </c>
      <c r="M18">
        <v>73.909664785287674</v>
      </c>
      <c r="N18">
        <v>79.402640838142332</v>
      </c>
      <c r="O18">
        <v>84.710785096185461</v>
      </c>
      <c r="P18">
        <v>89.947625992672542</v>
      </c>
      <c r="Q18">
        <v>95.192900511518943</v>
      </c>
      <c r="R18">
        <v>100.39585111134691</v>
      </c>
      <c r="S18">
        <v>105.70288551507856</v>
      </c>
      <c r="T18">
        <v>111.11673172301872</v>
      </c>
      <c r="U18">
        <v>116.59714638736735</v>
      </c>
      <c r="V18">
        <v>122.12389339444339</v>
      </c>
      <c r="W18">
        <v>127.66636251191944</v>
      </c>
      <c r="X18">
        <v>133.28048933288269</v>
      </c>
      <c r="Y18">
        <v>138.96365241453054</v>
      </c>
      <c r="Z18">
        <v>144.75149951261301</v>
      </c>
      <c r="AA18">
        <v>150.6552533661249</v>
      </c>
      <c r="AB18">
        <v>156.60961530394223</v>
      </c>
      <c r="AC18">
        <v>162.69269714979026</v>
      </c>
      <c r="AD18">
        <v>168.89966107614322</v>
      </c>
      <c r="AE18">
        <v>175.24308594658618</v>
      </c>
      <c r="AF18">
        <v>181.73637930316792</v>
      </c>
      <c r="AG18">
        <v>188.32486817884251</v>
      </c>
      <c r="AH18">
        <v>195.08496553843906</v>
      </c>
      <c r="AI18">
        <v>202.02439572331136</v>
      </c>
      <c r="AJ18">
        <v>209.15573143970067</v>
      </c>
      <c r="AK18">
        <v>216.50636130572747</v>
      </c>
      <c r="AL18">
        <v>224.10342528286523</v>
      </c>
      <c r="AM18">
        <v>231.95536594759056</v>
      </c>
      <c r="AN18">
        <v>240.07085092657312</v>
      </c>
      <c r="AO18">
        <v>248.45879521306</v>
      </c>
      <c r="AP18">
        <v>257.12838072671821</v>
      </c>
      <c r="AQ18">
        <v>266.08907380882943</v>
      </c>
      <c r="AR18">
        <v>275.35064118832156</v>
      </c>
      <c r="AS18">
        <v>284.92316483919984</v>
      </c>
      <c r="AT18">
        <v>294.81705606383599</v>
      </c>
      <c r="AU18">
        <v>305.04306907061141</v>
      </c>
      <c r="AV18">
        <v>315.61231426275231</v>
      </c>
      <c r="AW18">
        <v>326.53627141395793</v>
      </c>
      <c r="AX18">
        <v>337.82680287302952</v>
      </c>
      <c r="AY18">
        <v>349.49616691244762</v>
      </c>
      <c r="AZ18">
        <v>361.55703131354187</v>
      </c>
      <c r="BA18">
        <v>374.02248726273962</v>
      </c>
      <c r="BB18">
        <v>386.90606361872369</v>
      </c>
      <c r="BC18">
        <v>400.22174159868365</v>
      </c>
      <c r="BD18">
        <v>413.98396992276497</v>
      </c>
      <c r="BE18">
        <v>428.20768044892736</v>
      </c>
      <c r="BF18">
        <v>442.90830432535961</v>
      </c>
      <c r="BG18">
        <v>458.10178868403693</v>
      </c>
      <c r="BH18">
        <v>473.80461389667937</v>
      </c>
      <c r="BI18">
        <v>490.03381141299388</v>
      </c>
      <c r="BJ18">
        <v>506.80698220045986</v>
      </c>
      <c r="BK18">
        <v>524.14231580485296</v>
      </c>
      <c r="BL18">
        <v>542.05861005102292</v>
      </c>
      <c r="BM18">
        <v>560.57529140406677</v>
      </c>
      <c r="BN18">
        <v>579.71243601183255</v>
      </c>
      <c r="BO18">
        <v>599.49079145059056</v>
      </c>
      <c r="BP18">
        <v>619.93179919668853</v>
      </c>
      <c r="BQ18">
        <v>641.05761784800404</v>
      </c>
      <c r="BR18">
        <v>662.89114712001515</v>
      </c>
      <c r="BS18">
        <v>685.45605264231085</v>
      </c>
      <c r="BT18">
        <v>708.77679158235912</v>
      </c>
      <c r="BU18">
        <v>732.87863912435046</v>
      </c>
      <c r="BV18">
        <v>757.78771583189769</v>
      </c>
      <c r="BW18">
        <v>783.53101592439737</v>
      </c>
      <c r="BX18">
        <v>810.13643649783478</v>
      </c>
      <c r="BY18">
        <v>837.63280772184373</v>
      </c>
      <c r="BZ18">
        <v>866.04992404587824</v>
      </c>
      <c r="CA18">
        <v>895.41857644842321</v>
      </c>
      <c r="CB18">
        <v>925.77058576427748</v>
      </c>
      <c r="CC18">
        <v>957.13883712607844</v>
      </c>
      <c r="CD18">
        <v>989.55731555744046</v>
      </c>
      <c r="CE18">
        <v>1023.0611427562826</v>
      </c>
      <c r="CF18">
        <v>1057.6866151082024</v>
      </c>
      <c r="CG18">
        <v>1093.471242971073</v>
      </c>
      <c r="CH18">
        <v>1130.4537912733981</v>
      </c>
      <c r="CI18">
        <v>1168.6743214703738</v>
      </c>
    </row>
    <row r="19" spans="1:87" x14ac:dyDescent="0.3">
      <c r="A19" s="4" t="s">
        <v>981</v>
      </c>
      <c r="B19" s="4" t="s">
        <v>734</v>
      </c>
      <c r="C19" s="4" t="s">
        <v>1184</v>
      </c>
      <c r="D19">
        <v>1</v>
      </c>
      <c r="E19">
        <v>1.0084725000000001</v>
      </c>
      <c r="F19">
        <v>1.016010831937503</v>
      </c>
      <c r="G19">
        <v>0.96178379380991741</v>
      </c>
      <c r="H19">
        <v>0.99634955299768857</v>
      </c>
      <c r="I19">
        <v>1.0257220112558059</v>
      </c>
      <c r="J19">
        <v>1.0362268082007289</v>
      </c>
      <c r="K19">
        <v>1.047858854655384</v>
      </c>
      <c r="L19">
        <v>1.1297623713775375</v>
      </c>
      <c r="M19">
        <v>1.2078924885693192</v>
      </c>
      <c r="N19">
        <v>1.281313034561707</v>
      </c>
      <c r="O19">
        <v>1.3513123950336923</v>
      </c>
      <c r="P19">
        <v>1.4195356479415184</v>
      </c>
      <c r="Q19">
        <v>1.4871039429025845</v>
      </c>
      <c r="R19">
        <v>1.5534073032404212</v>
      </c>
      <c r="S19">
        <v>1.6203687385512209</v>
      </c>
      <c r="T19">
        <v>1.6880227827314171</v>
      </c>
      <c r="U19">
        <v>1.7558645086525499</v>
      </c>
      <c r="V19">
        <v>1.8236543066425319</v>
      </c>
      <c r="W19">
        <v>1.8910320741375328</v>
      </c>
      <c r="X19">
        <v>1.9587042510003785</v>
      </c>
      <c r="Y19">
        <v>2.0266450415474444</v>
      </c>
      <c r="Z19">
        <v>2.0952887152769808</v>
      </c>
      <c r="AA19">
        <v>2.164764951637896</v>
      </c>
      <c r="AB19">
        <v>2.2342937329999875</v>
      </c>
      <c r="AC19">
        <v>2.3048026454011441</v>
      </c>
      <c r="AD19">
        <v>2.3762249111973737</v>
      </c>
      <c r="AE19">
        <v>2.4486974732794047</v>
      </c>
      <c r="AF19">
        <v>2.5223631075143413</v>
      </c>
      <c r="AG19">
        <v>2.5965824071178303</v>
      </c>
      <c r="AH19">
        <v>2.6722217957039849</v>
      </c>
      <c r="AI19">
        <v>2.7493499956040162</v>
      </c>
      <c r="AJ19">
        <v>2.8280884185455473</v>
      </c>
      <c r="AK19">
        <v>2.9087205063834651</v>
      </c>
      <c r="AL19">
        <v>2.9915198211960572</v>
      </c>
      <c r="AM19">
        <v>3.0765474392460574</v>
      </c>
      <c r="AN19">
        <v>3.1638654216409745</v>
      </c>
      <c r="AO19">
        <v>3.2535370185331089</v>
      </c>
      <c r="AP19">
        <v>3.3456268355566485</v>
      </c>
      <c r="AQ19">
        <v>3.440200971472275</v>
      </c>
      <c r="AR19">
        <v>3.5373271338981938</v>
      </c>
      <c r="AS19">
        <v>3.637074738464606</v>
      </c>
      <c r="AT19">
        <v>3.739514995570671</v>
      </c>
      <c r="AU19">
        <v>3.8447209880359332</v>
      </c>
      <c r="AV19">
        <v>3.9527677422456686</v>
      </c>
      <c r="AW19">
        <v>4.0637322948404062</v>
      </c>
      <c r="AX19">
        <v>4.1776937565595089</v>
      </c>
      <c r="AY19">
        <v>4.2947333744934175</v>
      </c>
      <c r="AZ19">
        <v>4.4149345937125117</v>
      </c>
      <c r="BA19">
        <v>4.5383831190103514</v>
      </c>
      <c r="BB19">
        <v>4.6651669773157414</v>
      </c>
      <c r="BC19">
        <v>4.7953765811842892</v>
      </c>
      <c r="BD19">
        <v>4.9291047936689907</v>
      </c>
      <c r="BE19">
        <v>5.066446994785597</v>
      </c>
      <c r="BF19">
        <v>5.207501149726844</v>
      </c>
      <c r="BG19">
        <v>5.3523678789357776</v>
      </c>
      <c r="BH19">
        <v>5.5011505301186316</v>
      </c>
      <c r="BI19">
        <v>5.6539552522586458</v>
      </c>
      <c r="BJ19">
        <v>5.8108910716811986</v>
      </c>
      <c r="BK19">
        <v>5.9720699702154212</v>
      </c>
      <c r="BL19">
        <v>6.1376069654961301</v>
      </c>
      <c r="BM19">
        <v>6.307620193451366</v>
      </c>
      <c r="BN19">
        <v>6.4822309930237116</v>
      </c>
      <c r="BO19">
        <v>6.6615639931772108</v>
      </c>
      <c r="BP19">
        <v>6.8457472022457857</v>
      </c>
      <c r="BQ19">
        <v>7.0349120996829502</v>
      </c>
      <c r="BR19">
        <v>7.229193730276303</v>
      </c>
      <c r="BS19">
        <v>7.4287308008936686</v>
      </c>
      <c r="BT19">
        <v>7.6336657798307233</v>
      </c>
      <c r="BU19">
        <v>7.8441449988327241</v>
      </c>
      <c r="BV19">
        <v>8.0603187578651561</v>
      </c>
      <c r="BW19">
        <v>8.282341432710572</v>
      </c>
      <c r="BX19">
        <v>8.5103715854707076</v>
      </c>
      <c r="BY19">
        <v>8.7445720780550573</v>
      </c>
      <c r="BZ19">
        <v>8.9851101887389486</v>
      </c>
      <c r="CA19">
        <v>9.2321577318761623</v>
      </c>
      <c r="CB19">
        <v>9.4858911808530806</v>
      </c>
      <c r="CC19">
        <v>9.7464917943733695</v>
      </c>
      <c r="CD19">
        <v>10.014145746164512</v>
      </c>
      <c r="CE19">
        <v>10.289044258199509</v>
      </c>
      <c r="CF19">
        <v>10.571383737529597</v>
      </c>
      <c r="CG19">
        <v>10.861365916826188</v>
      </c>
      <c r="CH19">
        <v>11.159197998732786</v>
      </c>
      <c r="CI19">
        <v>11.465092804130338</v>
      </c>
    </row>
    <row r="20" spans="1:87" x14ac:dyDescent="0.3">
      <c r="A20" s="4" t="s">
        <v>981</v>
      </c>
      <c r="B20" s="4" t="s">
        <v>1543</v>
      </c>
      <c r="C20" s="4" t="s">
        <v>1311</v>
      </c>
      <c r="D20">
        <v>1</v>
      </c>
      <c r="E20">
        <v>1.0138485204960475</v>
      </c>
      <c r="F20">
        <v>1.0266124314196663</v>
      </c>
      <c r="G20">
        <v>0.96069695612888117</v>
      </c>
      <c r="H20">
        <v>1.0073047737383209</v>
      </c>
      <c r="I20">
        <v>1.0479620369234246</v>
      </c>
      <c r="J20">
        <v>1.0648143457928088</v>
      </c>
      <c r="K20">
        <v>1.0832600935708561</v>
      </c>
      <c r="L20">
        <v>1.1935418032992684</v>
      </c>
      <c r="M20">
        <v>1.3014835487038414</v>
      </c>
      <c r="N20">
        <v>1.4054349730015558</v>
      </c>
      <c r="O20">
        <v>1.506774777656362</v>
      </c>
      <c r="P20">
        <v>1.607540470688674</v>
      </c>
      <c r="Q20">
        <v>1.7091858515801617</v>
      </c>
      <c r="R20">
        <v>1.8107580393665281</v>
      </c>
      <c r="S20">
        <v>1.9149854114764966</v>
      </c>
      <c r="T20">
        <v>2.0219398068543493</v>
      </c>
      <c r="U20">
        <v>2.1308811461352479</v>
      </c>
      <c r="V20">
        <v>2.2414364643780011</v>
      </c>
      <c r="W20">
        <v>2.3530285625381131</v>
      </c>
      <c r="X20">
        <v>2.4667292790031858</v>
      </c>
      <c r="Y20">
        <v>2.5825018685986398</v>
      </c>
      <c r="Z20">
        <v>2.7010483971311254</v>
      </c>
      <c r="AA20">
        <v>2.8226084643840097</v>
      </c>
      <c r="AB20">
        <v>2.9459346755701388</v>
      </c>
      <c r="AC20">
        <v>3.0725641308839906</v>
      </c>
      <c r="AD20">
        <v>3.2024296379874486</v>
      </c>
      <c r="AE20">
        <v>3.3358059176200761</v>
      </c>
      <c r="AF20">
        <v>3.4729880733366474</v>
      </c>
      <c r="AG20">
        <v>3.6129227429216058</v>
      </c>
      <c r="AH20">
        <v>3.7571544163009869</v>
      </c>
      <c r="AI20">
        <v>3.9058759026651813</v>
      </c>
      <c r="AJ20">
        <v>4.0593799453505106</v>
      </c>
      <c r="AK20">
        <v>4.218262251184921</v>
      </c>
      <c r="AL20">
        <v>4.3831221073417952</v>
      </c>
      <c r="AM20">
        <v>4.5541871761126407</v>
      </c>
      <c r="AN20">
        <v>4.7316925068051949</v>
      </c>
      <c r="AO20">
        <v>4.915881097090514</v>
      </c>
      <c r="AP20">
        <v>5.1070044089814219</v>
      </c>
      <c r="AQ20">
        <v>5.3053228523247382</v>
      </c>
      <c r="AR20">
        <v>5.5111062458682047</v>
      </c>
      <c r="AS20">
        <v>5.7246342638988539</v>
      </c>
      <c r="AT20">
        <v>5.9461968749093801</v>
      </c>
      <c r="AU20">
        <v>6.1760947775730015</v>
      </c>
      <c r="AV20">
        <v>6.4146398383876102</v>
      </c>
      <c r="AW20">
        <v>6.6621555346154446</v>
      </c>
      <c r="AX20">
        <v>6.9189774055484534</v>
      </c>
      <c r="AY20">
        <v>7.1854535146411402</v>
      </c>
      <c r="AZ20">
        <v>7.4619449246517568</v>
      </c>
      <c r="BA20">
        <v>7.7488261876053892</v>
      </c>
      <c r="BB20">
        <v>8.0464858511280433</v>
      </c>
      <c r="BC20">
        <v>8.3553269824915155</v>
      </c>
      <c r="BD20">
        <v>8.6757677115469782</v>
      </c>
      <c r="BE20">
        <v>9.0082417936048902</v>
      </c>
      <c r="BF20">
        <v>9.3531991932336798</v>
      </c>
      <c r="BG20">
        <v>9.7111066898941178</v>
      </c>
      <c r="BH20">
        <v>10.082448506295517</v>
      </c>
      <c r="BI20">
        <v>10.467726960348685</v>
      </c>
      <c r="BJ20">
        <v>10.867463141595433</v>
      </c>
      <c r="BK20">
        <v>11.282197613011231</v>
      </c>
      <c r="BL20">
        <v>11.712491139103605</v>
      </c>
      <c r="BM20">
        <v>12.158925441261884</v>
      </c>
      <c r="BN20">
        <v>12.622103981351607</v>
      </c>
      <c r="BO20">
        <v>13.102652774587952</v>
      </c>
      <c r="BP20">
        <v>13.60122123276625</v>
      </c>
      <c r="BQ20">
        <v>14.118483038972863</v>
      </c>
      <c r="BR20">
        <v>14.65513705494619</v>
      </c>
      <c r="BS20">
        <v>15.211908262305073</v>
      </c>
      <c r="BT20">
        <v>15.789548738910407</v>
      </c>
      <c r="BU20">
        <v>16.388838671675284</v>
      </c>
      <c r="BV20">
        <v>17.010587407189291</v>
      </c>
      <c r="BW20">
        <v>17.655634541574848</v>
      </c>
      <c r="BX20">
        <v>18.324851051046387</v>
      </c>
      <c r="BY20">
        <v>19.019140464698115</v>
      </c>
      <c r="BZ20">
        <v>19.739440081102881</v>
      </c>
      <c r="CA20">
        <v>20.486722230363267</v>
      </c>
      <c r="CB20">
        <v>21.261995583316732</v>
      </c>
      <c r="CC20">
        <v>22.066306509659562</v>
      </c>
      <c r="CD20">
        <v>22.900740486820116</v>
      </c>
      <c r="CE20">
        <v>23.766423561479332</v>
      </c>
      <c r="CF20">
        <v>24.664523865707174</v>
      </c>
      <c r="CG20">
        <v>25.596253189756929</v>
      </c>
      <c r="CH20">
        <v>26.562868613635256</v>
      </c>
      <c r="CI20">
        <v>27.565674199644679</v>
      </c>
    </row>
    <row r="21" spans="1:87" x14ac:dyDescent="0.3">
      <c r="A21" s="4" t="s">
        <v>981</v>
      </c>
      <c r="B21" s="4" t="s">
        <v>1543</v>
      </c>
      <c r="C21" s="4" t="s">
        <v>1313</v>
      </c>
      <c r="D21">
        <v>1</v>
      </c>
      <c r="E21">
        <v>1.0119075607713537</v>
      </c>
      <c r="F21">
        <v>1.0228615160212449</v>
      </c>
      <c r="G21">
        <v>0.96639160067599006</v>
      </c>
      <c r="H21">
        <v>1.00670458301369</v>
      </c>
      <c r="I21">
        <v>1.041642637936611</v>
      </c>
      <c r="J21">
        <v>1.0560456073099096</v>
      </c>
      <c r="K21">
        <v>1.0717754534745205</v>
      </c>
      <c r="L21">
        <v>1.1655951407384004</v>
      </c>
      <c r="M21">
        <v>1.2562349448879964</v>
      </c>
      <c r="N21">
        <v>1.3425093672112223</v>
      </c>
      <c r="O21">
        <v>1.4257443817239037</v>
      </c>
      <c r="P21">
        <v>1.5077276923299125</v>
      </c>
      <c r="Q21">
        <v>1.5897001719400765</v>
      </c>
      <c r="R21">
        <v>1.6709308666627845</v>
      </c>
      <c r="S21">
        <v>1.7536296796940609</v>
      </c>
      <c r="T21">
        <v>1.8378448793982873</v>
      </c>
      <c r="U21">
        <v>1.922988628357609</v>
      </c>
      <c r="V21">
        <v>2.008774655749658</v>
      </c>
      <c r="W21">
        <v>2.0947665784092626</v>
      </c>
      <c r="X21">
        <v>2.1818010039416675</v>
      </c>
      <c r="Y21">
        <v>2.2698488679594</v>
      </c>
      <c r="Z21">
        <v>2.3594399056163979</v>
      </c>
      <c r="AA21">
        <v>2.4507432981430726</v>
      </c>
      <c r="AB21">
        <v>2.5428141162240303</v>
      </c>
      <c r="AC21">
        <v>2.6367963295544605</v>
      </c>
      <c r="AD21">
        <v>2.7326235460721544</v>
      </c>
      <c r="AE21">
        <v>2.8304819746248375</v>
      </c>
      <c r="AF21">
        <v>2.9305687438284518</v>
      </c>
      <c r="AG21">
        <v>3.0320985078112019</v>
      </c>
      <c r="AH21">
        <v>3.1361778892684362</v>
      </c>
      <c r="AI21">
        <v>3.2429197550644933</v>
      </c>
      <c r="AJ21">
        <v>3.3525062427235732</v>
      </c>
      <c r="AK21">
        <v>3.4653311164103116</v>
      </c>
      <c r="AL21">
        <v>3.5817827289916107</v>
      </c>
      <c r="AM21">
        <v>3.7019805053141726</v>
      </c>
      <c r="AN21">
        <v>3.8260468765333826</v>
      </c>
      <c r="AO21">
        <v>3.9541075924263249</v>
      </c>
      <c r="AP21">
        <v>4.0862919922913985</v>
      </c>
      <c r="AQ21">
        <v>4.2227332447064549</v>
      </c>
      <c r="AR21">
        <v>4.3635685640773634</v>
      </c>
      <c r="AS21">
        <v>4.5089394101882068</v>
      </c>
      <c r="AT21">
        <v>4.6589916756742902</v>
      </c>
      <c r="AU21">
        <v>4.8138758653508313</v>
      </c>
      <c r="AV21">
        <v>4.9737472705567409</v>
      </c>
      <c r="AW21">
        <v>5.1387661410563608</v>
      </c>
      <c r="AX21">
        <v>5.3090978565439819</v>
      </c>
      <c r="AY21">
        <v>5.4849130993903996</v>
      </c>
      <c r="AZ21">
        <v>5.6663880299400962</v>
      </c>
      <c r="BA21">
        <v>5.8537044653992387</v>
      </c>
      <c r="BB21">
        <v>6.0470500631386557</v>
      </c>
      <c r="BC21">
        <v>6.2466185090648452</v>
      </c>
      <c r="BD21">
        <v>6.4526097115788046</v>
      </c>
      <c r="BE21">
        <v>6.6652300015414552</v>
      </c>
      <c r="BF21">
        <v>6.8846923385900851</v>
      </c>
      <c r="BG21">
        <v>7.1112165240977649</v>
      </c>
      <c r="BH21">
        <v>7.3450294210329536</v>
      </c>
      <c r="BI21">
        <v>7.5863651809554336</v>
      </c>
      <c r="BJ21">
        <v>7.8354654783743989</v>
      </c>
      <c r="BK21">
        <v>8.0925797526919041</v>
      </c>
      <c r="BL21">
        <v>8.3579654579578797</v>
      </c>
      <c r="BM21">
        <v>8.6318883206698782</v>
      </c>
      <c r="BN21">
        <v>8.9146226058600782</v>
      </c>
      <c r="BO21">
        <v>9.2064513917227835</v>
      </c>
      <c r="BP21">
        <v>9.5076668530473327</v>
      </c>
      <c r="BQ21">
        <v>9.8185705537331458</v>
      </c>
      <c r="BR21">
        <v>10.139473748675453</v>
      </c>
      <c r="BS21">
        <v>10.47069769532192</v>
      </c>
      <c r="BT21">
        <v>10.812573975211842</v>
      </c>
      <c r="BU21">
        <v>11.165444825820938</v>
      </c>
      <c r="BV21">
        <v>11.529663483045679</v>
      </c>
      <c r="BW21">
        <v>11.90559453467254</v>
      </c>
      <c r="BX21">
        <v>12.293614285188392</v>
      </c>
      <c r="BY21">
        <v>12.694111132299692</v>
      </c>
      <c r="BZ21">
        <v>13.107485955539609</v>
      </c>
      <c r="CA21">
        <v>13.534152517354032</v>
      </c>
      <c r="CB21">
        <v>13.974537877069567</v>
      </c>
      <c r="CC21">
        <v>14.42908281815904</v>
      </c>
      <c r="CD21">
        <v>14.898242289233318</v>
      </c>
      <c r="CE21">
        <v>15.382485859201347</v>
      </c>
      <c r="CF21">
        <v>15.882298187054454</v>
      </c>
      <c r="CG21">
        <v>16.39817950674534</v>
      </c>
      <c r="CH21">
        <v>16.930646127647137</v>
      </c>
      <c r="CI21">
        <v>17.480230951093304</v>
      </c>
    </row>
    <row r="22" spans="1:87" x14ac:dyDescent="0.3">
      <c r="A22" s="4" t="s">
        <v>981</v>
      </c>
      <c r="B22" s="4" t="s">
        <v>1543</v>
      </c>
      <c r="C22" s="4" t="s">
        <v>1314</v>
      </c>
      <c r="D22">
        <v>1</v>
      </c>
      <c r="E22">
        <v>1.0133528435994812</v>
      </c>
      <c r="F22">
        <v>1.0256538818100969</v>
      </c>
      <c r="G22">
        <v>0.96215704640813549</v>
      </c>
      <c r="H22">
        <v>1.0071649414375012</v>
      </c>
      <c r="I22">
        <v>1.046361526631578</v>
      </c>
      <c r="J22">
        <v>1.0625858280758811</v>
      </c>
      <c r="K22">
        <v>1.0803341286791284</v>
      </c>
      <c r="L22">
        <v>1.1863813335690239</v>
      </c>
      <c r="M22">
        <v>1.2898351438467959</v>
      </c>
      <c r="N22">
        <v>1.3891687841294562</v>
      </c>
      <c r="O22">
        <v>1.4857504531772634</v>
      </c>
      <c r="P22">
        <v>1.5815537842737963</v>
      </c>
      <c r="Q22">
        <v>1.6779766604956736</v>
      </c>
      <c r="R22">
        <v>1.7741250064977172</v>
      </c>
      <c r="S22">
        <v>1.872588664791708</v>
      </c>
      <c r="T22">
        <v>1.9734317075773131</v>
      </c>
      <c r="U22">
        <v>2.0759536848197482</v>
      </c>
      <c r="V22">
        <v>2.1798041524274083</v>
      </c>
      <c r="W22">
        <v>2.2844434631033699</v>
      </c>
      <c r="X22">
        <v>2.3908790356696281</v>
      </c>
      <c r="Y22">
        <v>2.4990752951967492</v>
      </c>
      <c r="Z22">
        <v>2.6096861940979346</v>
      </c>
      <c r="AA22">
        <v>2.7229307252006225</v>
      </c>
      <c r="AB22">
        <v>2.8376434844878435</v>
      </c>
      <c r="AC22">
        <v>2.9552522905666403</v>
      </c>
      <c r="AD22">
        <v>3.0756887018520369</v>
      </c>
      <c r="AE22">
        <v>3.1992014440991667</v>
      </c>
      <c r="AF22">
        <v>3.3260568033785383</v>
      </c>
      <c r="AG22">
        <v>3.4552745254623303</v>
      </c>
      <c r="AH22">
        <v>3.5882755264839208</v>
      </c>
      <c r="AI22">
        <v>3.7252283024905997</v>
      </c>
      <c r="AJ22">
        <v>3.8663925296088557</v>
      </c>
      <c r="AK22">
        <v>4.0123049156349397</v>
      </c>
      <c r="AL22">
        <v>4.1635027789903321</v>
      </c>
      <c r="AM22">
        <v>4.3201804147994398</v>
      </c>
      <c r="AN22">
        <v>4.4825380779194335</v>
      </c>
      <c r="AO22">
        <v>4.6507824639527326</v>
      </c>
      <c r="AP22">
        <v>4.8251271452616322</v>
      </c>
      <c r="AQ22">
        <v>5.005792974151472</v>
      </c>
      <c r="AR22">
        <v>5.1930084626911457</v>
      </c>
      <c r="AS22">
        <v>5.3870101466629521</v>
      </c>
      <c r="AT22">
        <v>5.5880429396563942</v>
      </c>
      <c r="AU22">
        <v>5.796360482190833</v>
      </c>
      <c r="AV22">
        <v>6.0122254898678413</v>
      </c>
      <c r="AW22">
        <v>6.2359101038479325</v>
      </c>
      <c r="AX22">
        <v>6.4676962463736114</v>
      </c>
      <c r="AY22">
        <v>6.7078759835918618</v>
      </c>
      <c r="AZ22">
        <v>6.9567518975446729</v>
      </c>
      <c r="BA22">
        <v>7.2146374688824197</v>
      </c>
      <c r="BB22">
        <v>7.4818574716013071</v>
      </c>
      <c r="BC22">
        <v>7.7587483809048958</v>
      </c>
      <c r="BD22">
        <v>8.0456587951334502</v>
      </c>
      <c r="BE22">
        <v>8.3429498725875195</v>
      </c>
      <c r="BF22">
        <v>8.6509957839876463</v>
      </c>
      <c r="BG22">
        <v>8.9701841812550018</v>
      </c>
      <c r="BH22">
        <v>9.3009166832633436</v>
      </c>
      <c r="BI22">
        <v>9.643609379196171</v>
      </c>
      <c r="BJ22">
        <v>9.9986933501408153</v>
      </c>
      <c r="BK22">
        <v>10.366615209559754</v>
      </c>
      <c r="BL22">
        <v>10.747837663296009</v>
      </c>
      <c r="BM22">
        <v>11.142840089792056</v>
      </c>
      <c r="BN22">
        <v>11.552119141228173</v>
      </c>
      <c r="BO22">
        <v>11.976189366315232</v>
      </c>
      <c r="BP22">
        <v>12.415583855508055</v>
      </c>
      <c r="BQ22">
        <v>12.870854909437545</v>
      </c>
      <c r="BR22">
        <v>13.342574731392576</v>
      </c>
      <c r="BS22">
        <v>13.831336144716015</v>
      </c>
      <c r="BT22">
        <v>14.337753336012995</v>
      </c>
      <c r="BU22">
        <v>14.86246262510395</v>
      </c>
      <c r="BV22">
        <v>15.406123262689427</v>
      </c>
      <c r="BW22">
        <v>15.969418256729648</v>
      </c>
      <c r="BX22">
        <v>16.553055228577737</v>
      </c>
      <c r="BY22">
        <v>17.157767299943004</v>
      </c>
      <c r="BZ22">
        <v>17.784314011799172</v>
      </c>
      <c r="CA22">
        <v>18.433482276392059</v>
      </c>
      <c r="CB22">
        <v>19.106087363542361</v>
      </c>
      <c r="CC22">
        <v>19.802973922481513</v>
      </c>
      <c r="CD22">
        <v>20.525017040503176</v>
      </c>
      <c r="CE22">
        <v>21.273123339758129</v>
      </c>
      <c r="CF22">
        <v>22.04823211356808</v>
      </c>
      <c r="CG22">
        <v>22.851316503683194</v>
      </c>
      <c r="CH22">
        <v>23.683384719959086</v>
      </c>
      <c r="CI22">
        <v>24.545481303982026</v>
      </c>
    </row>
    <row r="23" spans="1:87" x14ac:dyDescent="0.3">
      <c r="A23" s="4" t="s">
        <v>981</v>
      </c>
      <c r="B23" s="4" t="s">
        <v>1543</v>
      </c>
      <c r="C23" s="4" t="s">
        <v>1184</v>
      </c>
      <c r="D23">
        <v>1</v>
      </c>
      <c r="E23">
        <v>1.0110000000000001</v>
      </c>
      <c r="F23">
        <v>1.0211100000000028</v>
      </c>
      <c r="G23">
        <v>0.96903339000000144</v>
      </c>
      <c r="H23">
        <v>1.0063756331016289</v>
      </c>
      <c r="I23">
        <v>1.0386402615941659</v>
      </c>
      <c r="J23">
        <v>1.0519071269165701</v>
      </c>
      <c r="K23">
        <v>1.0663811438693953</v>
      </c>
      <c r="L23">
        <v>1.1526139482942928</v>
      </c>
      <c r="M23">
        <v>1.2354129269307967</v>
      </c>
      <c r="N23">
        <v>1.3137907523336898</v>
      </c>
      <c r="O23">
        <v>1.3890369941747069</v>
      </c>
      <c r="P23">
        <v>1.4628218909170541</v>
      </c>
      <c r="Q23">
        <v>1.5362912904232715</v>
      </c>
      <c r="R23">
        <v>1.6088097204389538</v>
      </c>
      <c r="S23">
        <v>1.6823652547588055</v>
      </c>
      <c r="T23">
        <v>1.7570002938519853</v>
      </c>
      <c r="U23">
        <v>1.8321947164253489</v>
      </c>
      <c r="V23">
        <v>1.9077006959096234</v>
      </c>
      <c r="W23">
        <v>1.9831415428817314</v>
      </c>
      <c r="X23">
        <v>2.0592580799292479</v>
      </c>
      <c r="Y23">
        <v>2.1360268079219229</v>
      </c>
      <c r="Z23">
        <v>2.2139100823838649</v>
      </c>
      <c r="AA23">
        <v>2.2930522335957462</v>
      </c>
      <c r="AB23">
        <v>2.3726329793312497</v>
      </c>
      <c r="AC23">
        <v>2.4536416482545804</v>
      </c>
      <c r="AD23">
        <v>2.5360162449361834</v>
      </c>
      <c r="AE23">
        <v>2.6199120683566446</v>
      </c>
      <c r="AF23">
        <v>2.7054921843700019</v>
      </c>
      <c r="AG23">
        <v>2.7920801678278084</v>
      </c>
      <c r="AH23">
        <v>2.8806160172304098</v>
      </c>
      <c r="AI23">
        <v>2.9711870564419067</v>
      </c>
      <c r="AJ23">
        <v>3.0639385001471591</v>
      </c>
      <c r="AK23">
        <v>3.1591929302605708</v>
      </c>
      <c r="AL23">
        <v>3.2572653285883959</v>
      </c>
      <c r="AM23">
        <v>3.3582418046303464</v>
      </c>
      <c r="AN23">
        <v>3.4622103085257514</v>
      </c>
      <c r="AO23">
        <v>3.5692608731511242</v>
      </c>
      <c r="AP23">
        <v>3.679485818179101</v>
      </c>
      <c r="AQ23">
        <v>3.7929799252906804</v>
      </c>
      <c r="AR23">
        <v>3.909840591612129</v>
      </c>
      <c r="AS23">
        <v>4.0301679668863972</v>
      </c>
      <c r="AT23">
        <v>4.1540650787170028</v>
      </c>
      <c r="AU23">
        <v>4.2816379493244288</v>
      </c>
      <c r="AV23">
        <v>4.4129957065531187</v>
      </c>
      <c r="AW23">
        <v>4.5482506913089544</v>
      </c>
      <c r="AX23">
        <v>4.6875185631578145</v>
      </c>
      <c r="AY23">
        <v>4.8309184054515963</v>
      </c>
      <c r="AZ23">
        <v>4.97857283105263</v>
      </c>
      <c r="BA23">
        <v>5.1306080894888293</v>
      </c>
      <c r="BB23">
        <v>5.2871541761808505</v>
      </c>
      <c r="BC23">
        <v>5.4483449442318284</v>
      </c>
      <c r="BD23">
        <v>5.6143182191532803</v>
      </c>
      <c r="BE23">
        <v>5.7852159168121844</v>
      </c>
      <c r="BF23">
        <v>5.9611841648189614</v>
      </c>
      <c r="BG23">
        <v>6.1423734275296722</v>
      </c>
      <c r="BH23">
        <v>6.3289386348044818</v>
      </c>
      <c r="BI23">
        <v>6.5210393146447068</v>
      </c>
      <c r="BJ23">
        <v>6.718839729819984</v>
      </c>
      <c r="BK23">
        <v>6.922509018592657</v>
      </c>
      <c r="BL23">
        <v>7.1322213396465308</v>
      </c>
      <c r="BM23">
        <v>7.3481560213303334</v>
      </c>
      <c r="BN23">
        <v>7.5704977153312054</v>
      </c>
      <c r="BO23">
        <v>7.7994365548994686</v>
      </c>
      <c r="BP23">
        <v>8.0351683177524755</v>
      </c>
      <c r="BQ23">
        <v>8.2778945937918138</v>
      </c>
      <c r="BR23">
        <v>8.5278229577745019</v>
      </c>
      <c r="BS23">
        <v>8.785167147084886</v>
      </c>
      <c r="BT23">
        <v>9.0501472447597084</v>
      </c>
      <c r="BU23">
        <v>9.3229898679243721</v>
      </c>
      <c r="BV23">
        <v>9.6039283618034883</v>
      </c>
      <c r="BW23">
        <v>9.8932029994741431</v>
      </c>
      <c r="BX23">
        <v>10.191061187535073</v>
      </c>
      <c r="BY23">
        <v>10.49775767787003</v>
      </c>
      <c r="BZ23">
        <v>10.813554785688599</v>
      </c>
      <c r="CA23">
        <v>11.13872261403287</v>
      </c>
      <c r="CB23">
        <v>11.473539284943589</v>
      </c>
      <c r="CC23">
        <v>11.818291177484747</v>
      </c>
      <c r="CD23">
        <v>12.17327317283139</v>
      </c>
      <c r="CE23">
        <v>12.538788906630982</v>
      </c>
      <c r="CF23">
        <v>12.915151028854837</v>
      </c>
      <c r="CG23">
        <v>13.302681471362355</v>
      </c>
      <c r="CH23">
        <v>13.701711723407266</v>
      </c>
      <c r="CI23">
        <v>14.112583115321749</v>
      </c>
    </row>
    <row r="24" spans="1:87" x14ac:dyDescent="0.3">
      <c r="A24" s="4" t="s">
        <v>981</v>
      </c>
      <c r="B24" s="4" t="s">
        <v>987</v>
      </c>
      <c r="C24" s="4" t="s">
        <v>1261</v>
      </c>
      <c r="D24">
        <v>1</v>
      </c>
      <c r="E24">
        <v>1.0049999999999999</v>
      </c>
      <c r="F24">
        <v>1.0100249999999997</v>
      </c>
      <c r="G24">
        <v>1.0150751249999996</v>
      </c>
      <c r="H24">
        <v>1.0201505006249996</v>
      </c>
      <c r="I24">
        <v>1.0252512531281244</v>
      </c>
      <c r="J24">
        <v>1.030377509393765</v>
      </c>
      <c r="K24">
        <v>1.0355293969407338</v>
      </c>
      <c r="L24">
        <v>1.0407070439254373</v>
      </c>
      <c r="M24">
        <v>1.0459105791450642</v>
      </c>
      <c r="N24">
        <v>1.0511401320407896</v>
      </c>
      <c r="O24">
        <v>1.0563958327009935</v>
      </c>
      <c r="P24">
        <v>1.0616778118644983</v>
      </c>
      <c r="Q24">
        <v>1.0669862009238207</v>
      </c>
      <c r="R24">
        <v>1.0723211319284396</v>
      </c>
      <c r="S24">
        <v>1.0776827375880818</v>
      </c>
      <c r="T24">
        <v>1.083071151276022</v>
      </c>
      <c r="U24">
        <v>1.0884865070324019</v>
      </c>
      <c r="V24">
        <v>1.0939289395675638</v>
      </c>
      <c r="W24">
        <v>1.0993985842654015</v>
      </c>
      <c r="X24">
        <v>1.1048955771867284</v>
      </c>
      <c r="Y24">
        <v>1.1104200550726619</v>
      </c>
      <c r="Z24">
        <v>1.1159721553480251</v>
      </c>
      <c r="AA24">
        <v>1.1215520161247652</v>
      </c>
      <c r="AB24">
        <v>1.1271597762053889</v>
      </c>
      <c r="AC24">
        <v>1.1327955750864158</v>
      </c>
      <c r="AD24">
        <v>1.1384595529618478</v>
      </c>
      <c r="AE24">
        <v>1.1441518507266568</v>
      </c>
      <c r="AF24">
        <v>1.1498726099802901</v>
      </c>
      <c r="AG24">
        <v>1.1556219730301913</v>
      </c>
      <c r="AH24">
        <v>1.1614000828953421</v>
      </c>
      <c r="AI24">
        <v>1.1672070833098187</v>
      </c>
      <c r="AJ24">
        <v>1.1730431187263677</v>
      </c>
      <c r="AK24">
        <v>1.1789083343199993</v>
      </c>
      <c r="AL24">
        <v>1.1848028759915992</v>
      </c>
      <c r="AM24">
        <v>1.1907268903715571</v>
      </c>
      <c r="AN24">
        <v>1.1966805248234147</v>
      </c>
      <c r="AO24">
        <v>1.2026639274475317</v>
      </c>
      <c r="AP24">
        <v>1.2086772470847693</v>
      </c>
      <c r="AQ24">
        <v>1.214720633320193</v>
      </c>
      <c r="AR24">
        <v>1.2207942364867939</v>
      </c>
      <c r="AS24">
        <v>1.2268982076692276</v>
      </c>
      <c r="AT24">
        <v>1.2330326987075737</v>
      </c>
      <c r="AU24">
        <v>1.2391978622011115</v>
      </c>
      <c r="AV24">
        <v>1.2453938515121168</v>
      </c>
      <c r="AW24">
        <v>1.2516208207696773</v>
      </c>
      <c r="AX24">
        <v>1.2578789248735256</v>
      </c>
      <c r="AY24">
        <v>1.264168319497893</v>
      </c>
      <c r="AZ24">
        <v>1.2704891610953823</v>
      </c>
      <c r="BA24">
        <v>1.2768416069008592</v>
      </c>
      <c r="BB24">
        <v>1.2832258149353633</v>
      </c>
      <c r="BC24">
        <v>1.28964194401004</v>
      </c>
      <c r="BD24">
        <v>1.29609015373009</v>
      </c>
      <c r="BE24">
        <v>1.3025706044987404</v>
      </c>
      <c r="BF24">
        <v>1.309083457521234</v>
      </c>
      <c r="BG24">
        <v>1.3156288748088401</v>
      </c>
      <c r="BH24">
        <v>1.3222070191828841</v>
      </c>
      <c r="BI24">
        <v>1.3288180542787984</v>
      </c>
      <c r="BJ24">
        <v>1.3354621445501922</v>
      </c>
      <c r="BK24">
        <v>1.3421394552729429</v>
      </c>
      <c r="BL24">
        <v>1.3488501525493075</v>
      </c>
      <c r="BM24">
        <v>1.3555944033120539</v>
      </c>
      <c r="BN24">
        <v>1.3623723753286141</v>
      </c>
      <c r="BO24">
        <v>1.3691842372052569</v>
      </c>
      <c r="BP24">
        <v>1.3760301583912831</v>
      </c>
      <c r="BQ24">
        <v>1.3829103091832393</v>
      </c>
      <c r="BR24">
        <v>1.3898248607291555</v>
      </c>
      <c r="BS24">
        <v>1.3967739850328011</v>
      </c>
      <c r="BT24">
        <v>1.403757854957965</v>
      </c>
      <c r="BU24">
        <v>1.4107766442327547</v>
      </c>
      <c r="BV24">
        <v>1.4178305274539182</v>
      </c>
      <c r="BW24">
        <v>1.4249196800911876</v>
      </c>
      <c r="BX24">
        <v>1.4320442784916434</v>
      </c>
      <c r="BY24">
        <v>1.4392044998841016</v>
      </c>
      <c r="BZ24">
        <v>1.4464005223835219</v>
      </c>
      <c r="CA24">
        <v>1.4536325249954394</v>
      </c>
      <c r="CB24">
        <v>1.4609006876204165</v>
      </c>
      <c r="CC24">
        <v>1.4682051910585183</v>
      </c>
      <c r="CD24">
        <v>1.4755462170138107</v>
      </c>
      <c r="CE24">
        <v>1.4829239480988796</v>
      </c>
      <c r="CF24">
        <v>1.4903385678393739</v>
      </c>
      <c r="CG24">
        <v>1.4977902606785705</v>
      </c>
      <c r="CH24">
        <v>1.5052792119819631</v>
      </c>
      <c r="CI24">
        <v>1.5128056080418728</v>
      </c>
    </row>
    <row r="25" spans="1:87" x14ac:dyDescent="0.3">
      <c r="A25" s="4" t="s">
        <v>981</v>
      </c>
      <c r="B25" s="4" t="s">
        <v>987</v>
      </c>
      <c r="C25" s="4" t="s">
        <v>1262</v>
      </c>
      <c r="D25">
        <v>1</v>
      </c>
      <c r="E25">
        <v>1.0049999999999999</v>
      </c>
      <c r="F25">
        <v>1.0100249999999997</v>
      </c>
      <c r="G25">
        <v>1.0150751249999996</v>
      </c>
      <c r="H25">
        <v>1.0201505006249996</v>
      </c>
      <c r="I25">
        <v>1.0252512531281244</v>
      </c>
      <c r="J25">
        <v>1.030377509393765</v>
      </c>
      <c r="K25">
        <v>1.0355293969407338</v>
      </c>
      <c r="L25">
        <v>1.0407070439254373</v>
      </c>
      <c r="M25">
        <v>1.0459105791450642</v>
      </c>
      <c r="N25">
        <v>1.0511401320407896</v>
      </c>
      <c r="O25">
        <v>1.0563958327009935</v>
      </c>
      <c r="P25">
        <v>1.0616778118644983</v>
      </c>
      <c r="Q25">
        <v>1.0669862009238207</v>
      </c>
      <c r="R25">
        <v>1.0723211319284396</v>
      </c>
      <c r="S25">
        <v>1.0776827375880818</v>
      </c>
      <c r="T25">
        <v>1.083071151276022</v>
      </c>
      <c r="U25">
        <v>1.0884865070324019</v>
      </c>
      <c r="V25">
        <v>1.0939289395675638</v>
      </c>
      <c r="W25">
        <v>1.0993985842654015</v>
      </c>
      <c r="X25">
        <v>1.1048955771867284</v>
      </c>
      <c r="Y25">
        <v>1.1104200550726619</v>
      </c>
      <c r="Z25">
        <v>1.1159721553480251</v>
      </c>
      <c r="AA25">
        <v>1.1215520161247652</v>
      </c>
      <c r="AB25">
        <v>1.1271597762053889</v>
      </c>
      <c r="AC25">
        <v>1.1327955750864158</v>
      </c>
      <c r="AD25">
        <v>1.1384595529618478</v>
      </c>
      <c r="AE25">
        <v>1.1441518507266568</v>
      </c>
      <c r="AF25">
        <v>1.1498726099802901</v>
      </c>
      <c r="AG25">
        <v>1.1556219730301913</v>
      </c>
      <c r="AH25">
        <v>1.1614000828953421</v>
      </c>
      <c r="AI25">
        <v>1.1672070833098187</v>
      </c>
      <c r="AJ25">
        <v>1.1730431187263677</v>
      </c>
      <c r="AK25">
        <v>1.1789083343199993</v>
      </c>
      <c r="AL25">
        <v>1.1848028759915992</v>
      </c>
      <c r="AM25">
        <v>1.1907268903715571</v>
      </c>
      <c r="AN25">
        <v>1.1966805248234147</v>
      </c>
      <c r="AO25">
        <v>1.2026639274475317</v>
      </c>
      <c r="AP25">
        <v>1.2086772470847693</v>
      </c>
      <c r="AQ25">
        <v>1.214720633320193</v>
      </c>
      <c r="AR25">
        <v>1.2207942364867939</v>
      </c>
      <c r="AS25">
        <v>1.2268982076692276</v>
      </c>
      <c r="AT25">
        <v>1.2330326987075737</v>
      </c>
      <c r="AU25">
        <v>1.2391978622011115</v>
      </c>
      <c r="AV25">
        <v>1.2453938515121168</v>
      </c>
      <c r="AW25">
        <v>1.2516208207696773</v>
      </c>
      <c r="AX25">
        <v>1.2578789248735256</v>
      </c>
      <c r="AY25">
        <v>1.264168319497893</v>
      </c>
      <c r="AZ25">
        <v>1.2704891610953823</v>
      </c>
      <c r="BA25">
        <v>1.2768416069008592</v>
      </c>
      <c r="BB25">
        <v>1.2832258149353633</v>
      </c>
      <c r="BC25">
        <v>1.28964194401004</v>
      </c>
      <c r="BD25">
        <v>1.29609015373009</v>
      </c>
      <c r="BE25">
        <v>1.3025706044987404</v>
      </c>
      <c r="BF25">
        <v>1.309083457521234</v>
      </c>
      <c r="BG25">
        <v>1.3156288748088401</v>
      </c>
      <c r="BH25">
        <v>1.3222070191828841</v>
      </c>
      <c r="BI25">
        <v>1.3288180542787984</v>
      </c>
      <c r="BJ25">
        <v>1.3354621445501922</v>
      </c>
      <c r="BK25">
        <v>1.3421394552729429</v>
      </c>
      <c r="BL25">
        <v>1.3488501525493075</v>
      </c>
      <c r="BM25">
        <v>1.3555944033120539</v>
      </c>
      <c r="BN25">
        <v>1.3623723753286141</v>
      </c>
      <c r="BO25">
        <v>1.3691842372052569</v>
      </c>
      <c r="BP25">
        <v>1.3760301583912831</v>
      </c>
      <c r="BQ25">
        <v>1.3829103091832393</v>
      </c>
      <c r="BR25">
        <v>1.3898248607291555</v>
      </c>
      <c r="BS25">
        <v>1.3967739850328011</v>
      </c>
      <c r="BT25">
        <v>1.403757854957965</v>
      </c>
      <c r="BU25">
        <v>1.4107766442327547</v>
      </c>
      <c r="BV25">
        <v>1.4178305274539182</v>
      </c>
      <c r="BW25">
        <v>1.4249196800911876</v>
      </c>
      <c r="BX25">
        <v>1.4320442784916434</v>
      </c>
      <c r="BY25">
        <v>1.4392044998841016</v>
      </c>
      <c r="BZ25">
        <v>1.4464005223835219</v>
      </c>
      <c r="CA25">
        <v>1.4536325249954394</v>
      </c>
      <c r="CB25">
        <v>1.4609006876204165</v>
      </c>
      <c r="CC25">
        <v>1.4682051910585183</v>
      </c>
      <c r="CD25">
        <v>1.4755462170138107</v>
      </c>
      <c r="CE25">
        <v>1.4829239480988796</v>
      </c>
      <c r="CF25">
        <v>1.4903385678393739</v>
      </c>
      <c r="CG25">
        <v>1.4977902606785705</v>
      </c>
      <c r="CH25">
        <v>1.5052792119819631</v>
      </c>
      <c r="CI25">
        <v>1.5128056080418728</v>
      </c>
    </row>
    <row r="26" spans="1:87" x14ac:dyDescent="0.3">
      <c r="A26" s="4" t="s">
        <v>981</v>
      </c>
      <c r="B26" s="4" t="s">
        <v>987</v>
      </c>
      <c r="C26" s="4" t="s">
        <v>1263</v>
      </c>
      <c r="D26">
        <v>1</v>
      </c>
      <c r="E26">
        <v>1.0049999999999999</v>
      </c>
      <c r="F26">
        <v>1.0100249999999997</v>
      </c>
      <c r="G26">
        <v>1.0150751249999996</v>
      </c>
      <c r="H26">
        <v>1.0201505006249996</v>
      </c>
      <c r="I26">
        <v>1.0252512531281244</v>
      </c>
      <c r="J26">
        <v>1.030377509393765</v>
      </c>
      <c r="K26">
        <v>1.0355293969407338</v>
      </c>
      <c r="L26">
        <v>1.0407070439254373</v>
      </c>
      <c r="M26">
        <v>1.0459105791450642</v>
      </c>
      <c r="N26">
        <v>1.0511401320407896</v>
      </c>
      <c r="O26">
        <v>1.0563958327009935</v>
      </c>
      <c r="P26">
        <v>1.0616778118644983</v>
      </c>
      <c r="Q26">
        <v>1.0669862009238207</v>
      </c>
      <c r="R26">
        <v>1.0723211319284396</v>
      </c>
      <c r="S26">
        <v>1.0776827375880818</v>
      </c>
      <c r="T26">
        <v>1.083071151276022</v>
      </c>
      <c r="U26">
        <v>1.0884865070324019</v>
      </c>
      <c r="V26">
        <v>1.0939289395675638</v>
      </c>
      <c r="W26">
        <v>1.0993985842654015</v>
      </c>
      <c r="X26">
        <v>1.1048955771867284</v>
      </c>
      <c r="Y26">
        <v>1.1104200550726619</v>
      </c>
      <c r="Z26">
        <v>1.1159721553480251</v>
      </c>
      <c r="AA26">
        <v>1.1215520161247652</v>
      </c>
      <c r="AB26">
        <v>1.1271597762053889</v>
      </c>
      <c r="AC26">
        <v>1.1327955750864158</v>
      </c>
      <c r="AD26">
        <v>1.1384595529618478</v>
      </c>
      <c r="AE26">
        <v>1.1441518507266568</v>
      </c>
      <c r="AF26">
        <v>1.1498726099802901</v>
      </c>
      <c r="AG26">
        <v>1.1556219730301913</v>
      </c>
      <c r="AH26">
        <v>1.1614000828953421</v>
      </c>
      <c r="AI26">
        <v>1.1672070833098187</v>
      </c>
      <c r="AJ26">
        <v>1.1730431187263677</v>
      </c>
      <c r="AK26">
        <v>1.1789083343199993</v>
      </c>
      <c r="AL26">
        <v>1.1848028759915992</v>
      </c>
      <c r="AM26">
        <v>1.1907268903715571</v>
      </c>
      <c r="AN26">
        <v>1.1966805248234147</v>
      </c>
      <c r="AO26">
        <v>1.2026639274475317</v>
      </c>
      <c r="AP26">
        <v>1.2086772470847693</v>
      </c>
      <c r="AQ26">
        <v>1.214720633320193</v>
      </c>
      <c r="AR26">
        <v>1.2207942364867939</v>
      </c>
      <c r="AS26">
        <v>1.2268982076692276</v>
      </c>
      <c r="AT26">
        <v>1.2330326987075737</v>
      </c>
      <c r="AU26">
        <v>1.2391978622011115</v>
      </c>
      <c r="AV26">
        <v>1.2453938515121168</v>
      </c>
      <c r="AW26">
        <v>1.2516208207696773</v>
      </c>
      <c r="AX26">
        <v>1.2578789248735256</v>
      </c>
      <c r="AY26">
        <v>1.264168319497893</v>
      </c>
      <c r="AZ26">
        <v>1.2704891610953823</v>
      </c>
      <c r="BA26">
        <v>1.2768416069008592</v>
      </c>
      <c r="BB26">
        <v>1.2832258149353633</v>
      </c>
      <c r="BC26">
        <v>1.28964194401004</v>
      </c>
      <c r="BD26">
        <v>1.29609015373009</v>
      </c>
      <c r="BE26">
        <v>1.3025706044987404</v>
      </c>
      <c r="BF26">
        <v>1.309083457521234</v>
      </c>
      <c r="BG26">
        <v>1.3156288748088401</v>
      </c>
      <c r="BH26">
        <v>1.3222070191828841</v>
      </c>
      <c r="BI26">
        <v>1.3288180542787984</v>
      </c>
      <c r="BJ26">
        <v>1.3354621445501922</v>
      </c>
      <c r="BK26">
        <v>1.3421394552729429</v>
      </c>
      <c r="BL26">
        <v>1.3488501525493075</v>
      </c>
      <c r="BM26">
        <v>1.3555944033120539</v>
      </c>
      <c r="BN26">
        <v>1.3623723753286141</v>
      </c>
      <c r="BO26">
        <v>1.3691842372052569</v>
      </c>
      <c r="BP26">
        <v>1.3760301583912831</v>
      </c>
      <c r="BQ26">
        <v>1.3829103091832393</v>
      </c>
      <c r="BR26">
        <v>1.3898248607291555</v>
      </c>
      <c r="BS26">
        <v>1.3967739850328011</v>
      </c>
      <c r="BT26">
        <v>1.403757854957965</v>
      </c>
      <c r="BU26">
        <v>1.4107766442327547</v>
      </c>
      <c r="BV26">
        <v>1.4178305274539182</v>
      </c>
      <c r="BW26">
        <v>1.4249196800911876</v>
      </c>
      <c r="BX26">
        <v>1.4320442784916434</v>
      </c>
      <c r="BY26">
        <v>1.4392044998841016</v>
      </c>
      <c r="BZ26">
        <v>1.4464005223835219</v>
      </c>
      <c r="CA26">
        <v>1.4536325249954394</v>
      </c>
      <c r="CB26">
        <v>1.4609006876204165</v>
      </c>
      <c r="CC26">
        <v>1.4682051910585183</v>
      </c>
      <c r="CD26">
        <v>1.4755462170138107</v>
      </c>
      <c r="CE26">
        <v>1.4829239480988796</v>
      </c>
      <c r="CF26">
        <v>1.4903385678393739</v>
      </c>
      <c r="CG26">
        <v>1.4977902606785705</v>
      </c>
      <c r="CH26">
        <v>1.5052792119819631</v>
      </c>
      <c r="CI26">
        <v>1.5128056080418728</v>
      </c>
    </row>
    <row r="27" spans="1:87" x14ac:dyDescent="0.3">
      <c r="A27" s="4" t="s">
        <v>981</v>
      </c>
      <c r="B27" s="4" t="s">
        <v>987</v>
      </c>
      <c r="C27" s="4" t="s">
        <v>1264</v>
      </c>
      <c r="D27">
        <v>1</v>
      </c>
      <c r="E27">
        <v>1.0049999999999999</v>
      </c>
      <c r="F27">
        <v>1.0100249999999997</v>
      </c>
      <c r="G27">
        <v>1.0150751249999996</v>
      </c>
      <c r="H27">
        <v>1.0201505006249996</v>
      </c>
      <c r="I27">
        <v>1.0252512531281244</v>
      </c>
      <c r="J27">
        <v>1.030377509393765</v>
      </c>
      <c r="K27">
        <v>1.0355293969407338</v>
      </c>
      <c r="L27">
        <v>1.0407070439254373</v>
      </c>
      <c r="M27">
        <v>1.0459105791450642</v>
      </c>
      <c r="N27">
        <v>1.0511401320407896</v>
      </c>
      <c r="O27">
        <v>1.0563958327009935</v>
      </c>
      <c r="P27">
        <v>1.0616778118644983</v>
      </c>
      <c r="Q27">
        <v>1.0669862009238207</v>
      </c>
      <c r="R27">
        <v>1.0723211319284396</v>
      </c>
      <c r="S27">
        <v>1.0776827375880818</v>
      </c>
      <c r="T27">
        <v>1.083071151276022</v>
      </c>
      <c r="U27">
        <v>1.0884865070324019</v>
      </c>
      <c r="V27">
        <v>1.0939289395675638</v>
      </c>
      <c r="W27">
        <v>1.0993985842654015</v>
      </c>
      <c r="X27">
        <v>1.1048955771867284</v>
      </c>
      <c r="Y27">
        <v>1.1104200550726619</v>
      </c>
      <c r="Z27">
        <v>1.1159721553480251</v>
      </c>
      <c r="AA27">
        <v>1.1215520161247652</v>
      </c>
      <c r="AB27">
        <v>1.1271597762053889</v>
      </c>
      <c r="AC27">
        <v>1.1327955750864158</v>
      </c>
      <c r="AD27">
        <v>1.1384595529618478</v>
      </c>
      <c r="AE27">
        <v>1.1441518507266568</v>
      </c>
      <c r="AF27">
        <v>1.1498726099802901</v>
      </c>
      <c r="AG27">
        <v>1.1556219730301913</v>
      </c>
      <c r="AH27">
        <v>1.1614000828953421</v>
      </c>
      <c r="AI27">
        <v>1.1672070833098187</v>
      </c>
      <c r="AJ27">
        <v>1.1730431187263677</v>
      </c>
      <c r="AK27">
        <v>1.1789083343199993</v>
      </c>
      <c r="AL27">
        <v>1.1848028759915992</v>
      </c>
      <c r="AM27">
        <v>1.1907268903715571</v>
      </c>
      <c r="AN27">
        <v>1.1966805248234147</v>
      </c>
      <c r="AO27">
        <v>1.2026639274475317</v>
      </c>
      <c r="AP27">
        <v>1.2086772470847693</v>
      </c>
      <c r="AQ27">
        <v>1.214720633320193</v>
      </c>
      <c r="AR27">
        <v>1.2207942364867939</v>
      </c>
      <c r="AS27">
        <v>1.2268982076692276</v>
      </c>
      <c r="AT27">
        <v>1.2330326987075737</v>
      </c>
      <c r="AU27">
        <v>1.2391978622011115</v>
      </c>
      <c r="AV27">
        <v>1.2453938515121168</v>
      </c>
      <c r="AW27">
        <v>1.2516208207696773</v>
      </c>
      <c r="AX27">
        <v>1.2578789248735256</v>
      </c>
      <c r="AY27">
        <v>1.264168319497893</v>
      </c>
      <c r="AZ27">
        <v>1.2704891610953823</v>
      </c>
      <c r="BA27">
        <v>1.2768416069008592</v>
      </c>
      <c r="BB27">
        <v>1.2832258149353633</v>
      </c>
      <c r="BC27">
        <v>1.28964194401004</v>
      </c>
      <c r="BD27">
        <v>1.29609015373009</v>
      </c>
      <c r="BE27">
        <v>1.3025706044987404</v>
      </c>
      <c r="BF27">
        <v>1.309083457521234</v>
      </c>
      <c r="BG27">
        <v>1.3156288748088401</v>
      </c>
      <c r="BH27">
        <v>1.3222070191828841</v>
      </c>
      <c r="BI27">
        <v>1.3288180542787984</v>
      </c>
      <c r="BJ27">
        <v>1.3354621445501922</v>
      </c>
      <c r="BK27">
        <v>1.3421394552729429</v>
      </c>
      <c r="BL27">
        <v>1.3488501525493075</v>
      </c>
      <c r="BM27">
        <v>1.3555944033120539</v>
      </c>
      <c r="BN27">
        <v>1.3623723753286141</v>
      </c>
      <c r="BO27">
        <v>1.3691842372052569</v>
      </c>
      <c r="BP27">
        <v>1.3760301583912831</v>
      </c>
      <c r="BQ27">
        <v>1.3829103091832393</v>
      </c>
      <c r="BR27">
        <v>1.3898248607291555</v>
      </c>
      <c r="BS27">
        <v>1.3967739850328011</v>
      </c>
      <c r="BT27">
        <v>1.403757854957965</v>
      </c>
      <c r="BU27">
        <v>1.4107766442327547</v>
      </c>
      <c r="BV27">
        <v>1.4178305274539182</v>
      </c>
      <c r="BW27">
        <v>1.4249196800911876</v>
      </c>
      <c r="BX27">
        <v>1.4320442784916434</v>
      </c>
      <c r="BY27">
        <v>1.4392044998841016</v>
      </c>
      <c r="BZ27">
        <v>1.4464005223835219</v>
      </c>
      <c r="CA27">
        <v>1.4536325249954394</v>
      </c>
      <c r="CB27">
        <v>1.4609006876204165</v>
      </c>
      <c r="CC27">
        <v>1.4682051910585183</v>
      </c>
      <c r="CD27">
        <v>1.4755462170138107</v>
      </c>
      <c r="CE27">
        <v>1.4829239480988796</v>
      </c>
      <c r="CF27">
        <v>1.4903385678393739</v>
      </c>
      <c r="CG27">
        <v>1.4977902606785705</v>
      </c>
      <c r="CH27">
        <v>1.5052792119819631</v>
      </c>
      <c r="CI27">
        <v>1.5128056080418728</v>
      </c>
    </row>
    <row r="28" spans="1:87" x14ac:dyDescent="0.3">
      <c r="A28" s="4" t="s">
        <v>981</v>
      </c>
      <c r="B28" s="4" t="s">
        <v>987</v>
      </c>
      <c r="C28" s="4" t="s">
        <v>1265</v>
      </c>
      <c r="D28">
        <v>1</v>
      </c>
      <c r="E28">
        <v>1.0049999999999999</v>
      </c>
      <c r="F28">
        <v>1.0100249999999997</v>
      </c>
      <c r="G28">
        <v>1.0150751249999996</v>
      </c>
      <c r="H28">
        <v>1.0201505006249996</v>
      </c>
      <c r="I28">
        <v>1.0252512531281244</v>
      </c>
      <c r="J28">
        <v>1.030377509393765</v>
      </c>
      <c r="K28">
        <v>1.0355293969407338</v>
      </c>
      <c r="L28">
        <v>1.0407070439254373</v>
      </c>
      <c r="M28">
        <v>1.0459105791450642</v>
      </c>
      <c r="N28">
        <v>1.0511401320407896</v>
      </c>
      <c r="O28">
        <v>1.0563958327009935</v>
      </c>
      <c r="P28">
        <v>1.0616778118644983</v>
      </c>
      <c r="Q28">
        <v>1.0669862009238207</v>
      </c>
      <c r="R28">
        <v>1.0723211319284396</v>
      </c>
      <c r="S28">
        <v>1.0776827375880818</v>
      </c>
      <c r="T28">
        <v>1.083071151276022</v>
      </c>
      <c r="U28">
        <v>1.0884865070324019</v>
      </c>
      <c r="V28">
        <v>1.0939289395675638</v>
      </c>
      <c r="W28">
        <v>1.0993985842654015</v>
      </c>
      <c r="X28">
        <v>1.1048955771867284</v>
      </c>
      <c r="Y28">
        <v>1.1104200550726619</v>
      </c>
      <c r="Z28">
        <v>1.1159721553480251</v>
      </c>
      <c r="AA28">
        <v>1.1215520161247652</v>
      </c>
      <c r="AB28">
        <v>1.1271597762053889</v>
      </c>
      <c r="AC28">
        <v>1.1327955750864158</v>
      </c>
      <c r="AD28">
        <v>1.1384595529618478</v>
      </c>
      <c r="AE28">
        <v>1.1441518507266568</v>
      </c>
      <c r="AF28">
        <v>1.1498726099802901</v>
      </c>
      <c r="AG28">
        <v>1.1556219730301913</v>
      </c>
      <c r="AH28">
        <v>1.1614000828953421</v>
      </c>
      <c r="AI28">
        <v>1.1672070833098187</v>
      </c>
      <c r="AJ28">
        <v>1.1730431187263677</v>
      </c>
      <c r="AK28">
        <v>1.1789083343199993</v>
      </c>
      <c r="AL28">
        <v>1.1848028759915992</v>
      </c>
      <c r="AM28">
        <v>1.1907268903715571</v>
      </c>
      <c r="AN28">
        <v>1.1966805248234147</v>
      </c>
      <c r="AO28">
        <v>1.2026639274475317</v>
      </c>
      <c r="AP28">
        <v>1.2086772470847693</v>
      </c>
      <c r="AQ28">
        <v>1.214720633320193</v>
      </c>
      <c r="AR28">
        <v>1.2207942364867939</v>
      </c>
      <c r="AS28">
        <v>1.2268982076692276</v>
      </c>
      <c r="AT28">
        <v>1.2330326987075737</v>
      </c>
      <c r="AU28">
        <v>1.2391978622011115</v>
      </c>
      <c r="AV28">
        <v>1.2453938515121168</v>
      </c>
      <c r="AW28">
        <v>1.2516208207696773</v>
      </c>
      <c r="AX28">
        <v>1.2578789248735256</v>
      </c>
      <c r="AY28">
        <v>1.264168319497893</v>
      </c>
      <c r="AZ28">
        <v>1.2704891610953823</v>
      </c>
      <c r="BA28">
        <v>1.2768416069008592</v>
      </c>
      <c r="BB28">
        <v>1.2832258149353633</v>
      </c>
      <c r="BC28">
        <v>1.28964194401004</v>
      </c>
      <c r="BD28">
        <v>1.29609015373009</v>
      </c>
      <c r="BE28">
        <v>1.3025706044987404</v>
      </c>
      <c r="BF28">
        <v>1.309083457521234</v>
      </c>
      <c r="BG28">
        <v>1.3156288748088401</v>
      </c>
      <c r="BH28">
        <v>1.3222070191828841</v>
      </c>
      <c r="BI28">
        <v>1.3288180542787984</v>
      </c>
      <c r="BJ28">
        <v>1.3354621445501922</v>
      </c>
      <c r="BK28">
        <v>1.3421394552729429</v>
      </c>
      <c r="BL28">
        <v>1.3488501525493075</v>
      </c>
      <c r="BM28">
        <v>1.3555944033120539</v>
      </c>
      <c r="BN28">
        <v>1.3623723753286141</v>
      </c>
      <c r="BO28">
        <v>1.3691842372052569</v>
      </c>
      <c r="BP28">
        <v>1.3760301583912831</v>
      </c>
      <c r="BQ28">
        <v>1.3829103091832393</v>
      </c>
      <c r="BR28">
        <v>1.3898248607291555</v>
      </c>
      <c r="BS28">
        <v>1.3967739850328011</v>
      </c>
      <c r="BT28">
        <v>1.403757854957965</v>
      </c>
      <c r="BU28">
        <v>1.4107766442327547</v>
      </c>
      <c r="BV28">
        <v>1.4178305274539182</v>
      </c>
      <c r="BW28">
        <v>1.4249196800911876</v>
      </c>
      <c r="BX28">
        <v>1.4320442784916434</v>
      </c>
      <c r="BY28">
        <v>1.4392044998841016</v>
      </c>
      <c r="BZ28">
        <v>1.4464005223835219</v>
      </c>
      <c r="CA28">
        <v>1.4536325249954394</v>
      </c>
      <c r="CB28">
        <v>1.4609006876204165</v>
      </c>
      <c r="CC28">
        <v>1.4682051910585183</v>
      </c>
      <c r="CD28">
        <v>1.4755462170138107</v>
      </c>
      <c r="CE28">
        <v>1.4829239480988796</v>
      </c>
      <c r="CF28">
        <v>1.4903385678393739</v>
      </c>
      <c r="CG28">
        <v>1.4977902606785705</v>
      </c>
      <c r="CH28">
        <v>1.5052792119819631</v>
      </c>
      <c r="CI28">
        <v>1.5128056080418728</v>
      </c>
    </row>
    <row r="29" spans="1:87" x14ac:dyDescent="0.3">
      <c r="A29" s="4" t="s">
        <v>981</v>
      </c>
      <c r="B29" s="4" t="s">
        <v>987</v>
      </c>
      <c r="C29" s="4" t="s">
        <v>1266</v>
      </c>
      <c r="D29">
        <v>1</v>
      </c>
      <c r="E29">
        <v>1.0049999999999999</v>
      </c>
      <c r="F29">
        <v>1.0100249999999997</v>
      </c>
      <c r="G29">
        <v>1.0150751249999996</v>
      </c>
      <c r="H29">
        <v>1.0201505006249996</v>
      </c>
      <c r="I29">
        <v>1.0252512531281244</v>
      </c>
      <c r="J29">
        <v>1.030377509393765</v>
      </c>
      <c r="K29">
        <v>1.0355293969407338</v>
      </c>
      <c r="L29">
        <v>1.0407070439254373</v>
      </c>
      <c r="M29">
        <v>1.0459105791450642</v>
      </c>
      <c r="N29">
        <v>1.0511401320407896</v>
      </c>
      <c r="O29">
        <v>1.0563958327009935</v>
      </c>
      <c r="P29">
        <v>1.0616778118644983</v>
      </c>
      <c r="Q29">
        <v>1.0669862009238207</v>
      </c>
      <c r="R29">
        <v>1.0723211319284396</v>
      </c>
      <c r="S29">
        <v>1.0776827375880818</v>
      </c>
      <c r="T29">
        <v>1.083071151276022</v>
      </c>
      <c r="U29">
        <v>1.0884865070324019</v>
      </c>
      <c r="V29">
        <v>1.0939289395675638</v>
      </c>
      <c r="W29">
        <v>1.0993985842654015</v>
      </c>
      <c r="X29">
        <v>1.1048955771867284</v>
      </c>
      <c r="Y29">
        <v>1.1104200550726619</v>
      </c>
      <c r="Z29">
        <v>1.1159721553480251</v>
      </c>
      <c r="AA29">
        <v>1.1215520161247652</v>
      </c>
      <c r="AB29">
        <v>1.1271597762053889</v>
      </c>
      <c r="AC29">
        <v>1.1327955750864158</v>
      </c>
      <c r="AD29">
        <v>1.1384595529618478</v>
      </c>
      <c r="AE29">
        <v>1.1441518507266568</v>
      </c>
      <c r="AF29">
        <v>1.1498726099802901</v>
      </c>
      <c r="AG29">
        <v>1.1556219730301913</v>
      </c>
      <c r="AH29">
        <v>1.1614000828953421</v>
      </c>
      <c r="AI29">
        <v>1.1672070833098187</v>
      </c>
      <c r="AJ29">
        <v>1.1730431187263677</v>
      </c>
      <c r="AK29">
        <v>1.1789083343199993</v>
      </c>
      <c r="AL29">
        <v>1.1848028759915992</v>
      </c>
      <c r="AM29">
        <v>1.1907268903715571</v>
      </c>
      <c r="AN29">
        <v>1.1966805248234147</v>
      </c>
      <c r="AO29">
        <v>1.2026639274475317</v>
      </c>
      <c r="AP29">
        <v>1.2086772470847693</v>
      </c>
      <c r="AQ29">
        <v>1.214720633320193</v>
      </c>
      <c r="AR29">
        <v>1.2207942364867939</v>
      </c>
      <c r="AS29">
        <v>1.2268982076692276</v>
      </c>
      <c r="AT29">
        <v>1.2330326987075737</v>
      </c>
      <c r="AU29">
        <v>1.2391978622011115</v>
      </c>
      <c r="AV29">
        <v>1.2453938515121168</v>
      </c>
      <c r="AW29">
        <v>1.2516208207696773</v>
      </c>
      <c r="AX29">
        <v>1.2578789248735256</v>
      </c>
      <c r="AY29">
        <v>1.264168319497893</v>
      </c>
      <c r="AZ29">
        <v>1.2704891610953823</v>
      </c>
      <c r="BA29">
        <v>1.2768416069008592</v>
      </c>
      <c r="BB29">
        <v>1.2832258149353633</v>
      </c>
      <c r="BC29">
        <v>1.28964194401004</v>
      </c>
      <c r="BD29">
        <v>1.29609015373009</v>
      </c>
      <c r="BE29">
        <v>1.3025706044987404</v>
      </c>
      <c r="BF29">
        <v>1.309083457521234</v>
      </c>
      <c r="BG29">
        <v>1.3156288748088401</v>
      </c>
      <c r="BH29">
        <v>1.3222070191828841</v>
      </c>
      <c r="BI29">
        <v>1.3288180542787984</v>
      </c>
      <c r="BJ29">
        <v>1.3354621445501922</v>
      </c>
      <c r="BK29">
        <v>1.3421394552729429</v>
      </c>
      <c r="BL29">
        <v>1.3488501525493075</v>
      </c>
      <c r="BM29">
        <v>1.3555944033120539</v>
      </c>
      <c r="BN29">
        <v>1.3623723753286141</v>
      </c>
      <c r="BO29">
        <v>1.3691842372052569</v>
      </c>
      <c r="BP29">
        <v>1.3760301583912831</v>
      </c>
      <c r="BQ29">
        <v>1.3829103091832393</v>
      </c>
      <c r="BR29">
        <v>1.3898248607291555</v>
      </c>
      <c r="BS29">
        <v>1.3967739850328011</v>
      </c>
      <c r="BT29">
        <v>1.403757854957965</v>
      </c>
      <c r="BU29">
        <v>1.4107766442327547</v>
      </c>
      <c r="BV29">
        <v>1.4178305274539182</v>
      </c>
      <c r="BW29">
        <v>1.4249196800911876</v>
      </c>
      <c r="BX29">
        <v>1.4320442784916434</v>
      </c>
      <c r="BY29">
        <v>1.4392044998841016</v>
      </c>
      <c r="BZ29">
        <v>1.4464005223835219</v>
      </c>
      <c r="CA29">
        <v>1.4536325249954394</v>
      </c>
      <c r="CB29">
        <v>1.4609006876204165</v>
      </c>
      <c r="CC29">
        <v>1.4682051910585183</v>
      </c>
      <c r="CD29">
        <v>1.4755462170138107</v>
      </c>
      <c r="CE29">
        <v>1.4829239480988796</v>
      </c>
      <c r="CF29">
        <v>1.4903385678393739</v>
      </c>
      <c r="CG29">
        <v>1.4977902606785705</v>
      </c>
      <c r="CH29">
        <v>1.5052792119819631</v>
      </c>
      <c r="CI29">
        <v>1.5128056080418728</v>
      </c>
    </row>
    <row r="30" spans="1:87" x14ac:dyDescent="0.3">
      <c r="A30" s="4" t="s">
        <v>981</v>
      </c>
      <c r="B30" s="4" t="s">
        <v>987</v>
      </c>
      <c r="C30" s="4" t="s">
        <v>1267</v>
      </c>
      <c r="D30">
        <v>1</v>
      </c>
      <c r="E30">
        <v>1.0049999999999999</v>
      </c>
      <c r="F30">
        <v>1.0100249999999997</v>
      </c>
      <c r="G30">
        <v>1.0150751249999996</v>
      </c>
      <c r="H30">
        <v>1.0201505006249996</v>
      </c>
      <c r="I30">
        <v>1.0252512531281244</v>
      </c>
      <c r="J30">
        <v>1.030377509393765</v>
      </c>
      <c r="K30">
        <v>1.0355293969407338</v>
      </c>
      <c r="L30">
        <v>1.0407070439254373</v>
      </c>
      <c r="M30">
        <v>1.0459105791450642</v>
      </c>
      <c r="N30">
        <v>1.0511401320407896</v>
      </c>
      <c r="O30">
        <v>1.0563958327009935</v>
      </c>
      <c r="P30">
        <v>1.0616778118644983</v>
      </c>
      <c r="Q30">
        <v>1.0669862009238207</v>
      </c>
      <c r="R30">
        <v>1.0723211319284396</v>
      </c>
      <c r="S30">
        <v>1.0776827375880818</v>
      </c>
      <c r="T30">
        <v>1.083071151276022</v>
      </c>
      <c r="U30">
        <v>1.0884865070324019</v>
      </c>
      <c r="V30">
        <v>1.0939289395675638</v>
      </c>
      <c r="W30">
        <v>1.0993985842654015</v>
      </c>
      <c r="X30">
        <v>1.1048955771867284</v>
      </c>
      <c r="Y30">
        <v>1.1104200550726619</v>
      </c>
      <c r="Z30">
        <v>1.1159721553480251</v>
      </c>
      <c r="AA30">
        <v>1.1215520161247652</v>
      </c>
      <c r="AB30">
        <v>1.1271597762053889</v>
      </c>
      <c r="AC30">
        <v>1.1327955750864158</v>
      </c>
      <c r="AD30">
        <v>1.1384595529618478</v>
      </c>
      <c r="AE30">
        <v>1.1441518507266568</v>
      </c>
      <c r="AF30">
        <v>1.1498726099802901</v>
      </c>
      <c r="AG30">
        <v>1.1556219730301913</v>
      </c>
      <c r="AH30">
        <v>1.1614000828953421</v>
      </c>
      <c r="AI30">
        <v>1.1672070833098187</v>
      </c>
      <c r="AJ30">
        <v>1.1730431187263677</v>
      </c>
      <c r="AK30">
        <v>1.1789083343199993</v>
      </c>
      <c r="AL30">
        <v>1.1848028759915992</v>
      </c>
      <c r="AM30">
        <v>1.1907268903715571</v>
      </c>
      <c r="AN30">
        <v>1.1966805248234147</v>
      </c>
      <c r="AO30">
        <v>1.2026639274475317</v>
      </c>
      <c r="AP30">
        <v>1.2086772470847693</v>
      </c>
      <c r="AQ30">
        <v>1.214720633320193</v>
      </c>
      <c r="AR30">
        <v>1.2207942364867939</v>
      </c>
      <c r="AS30">
        <v>1.2268982076692276</v>
      </c>
      <c r="AT30">
        <v>1.2330326987075737</v>
      </c>
      <c r="AU30">
        <v>1.2391978622011115</v>
      </c>
      <c r="AV30">
        <v>1.2453938515121168</v>
      </c>
      <c r="AW30">
        <v>1.2516208207696773</v>
      </c>
      <c r="AX30">
        <v>1.2578789248735256</v>
      </c>
      <c r="AY30">
        <v>1.264168319497893</v>
      </c>
      <c r="AZ30">
        <v>1.2704891610953823</v>
      </c>
      <c r="BA30">
        <v>1.2768416069008592</v>
      </c>
      <c r="BB30">
        <v>1.2832258149353633</v>
      </c>
      <c r="BC30">
        <v>1.28964194401004</v>
      </c>
      <c r="BD30">
        <v>1.29609015373009</v>
      </c>
      <c r="BE30">
        <v>1.3025706044987404</v>
      </c>
      <c r="BF30">
        <v>1.309083457521234</v>
      </c>
      <c r="BG30">
        <v>1.3156288748088401</v>
      </c>
      <c r="BH30">
        <v>1.3222070191828841</v>
      </c>
      <c r="BI30">
        <v>1.3288180542787984</v>
      </c>
      <c r="BJ30">
        <v>1.3354621445501922</v>
      </c>
      <c r="BK30">
        <v>1.3421394552729429</v>
      </c>
      <c r="BL30">
        <v>1.3488501525493075</v>
      </c>
      <c r="BM30">
        <v>1.3555944033120539</v>
      </c>
      <c r="BN30">
        <v>1.3623723753286141</v>
      </c>
      <c r="BO30">
        <v>1.3691842372052569</v>
      </c>
      <c r="BP30">
        <v>1.3760301583912831</v>
      </c>
      <c r="BQ30">
        <v>1.3829103091832393</v>
      </c>
      <c r="BR30">
        <v>1.3898248607291555</v>
      </c>
      <c r="BS30">
        <v>1.3967739850328011</v>
      </c>
      <c r="BT30">
        <v>1.403757854957965</v>
      </c>
      <c r="BU30">
        <v>1.4107766442327547</v>
      </c>
      <c r="BV30">
        <v>1.4178305274539182</v>
      </c>
      <c r="BW30">
        <v>1.4249196800911876</v>
      </c>
      <c r="BX30">
        <v>1.4320442784916434</v>
      </c>
      <c r="BY30">
        <v>1.4392044998841016</v>
      </c>
      <c r="BZ30">
        <v>1.4464005223835219</v>
      </c>
      <c r="CA30">
        <v>1.4536325249954394</v>
      </c>
      <c r="CB30">
        <v>1.4609006876204165</v>
      </c>
      <c r="CC30">
        <v>1.4682051910585183</v>
      </c>
      <c r="CD30">
        <v>1.4755462170138107</v>
      </c>
      <c r="CE30">
        <v>1.4829239480988796</v>
      </c>
      <c r="CF30">
        <v>1.4903385678393739</v>
      </c>
      <c r="CG30">
        <v>1.4977902606785705</v>
      </c>
      <c r="CH30">
        <v>1.5052792119819631</v>
      </c>
      <c r="CI30">
        <v>1.5128056080418728</v>
      </c>
    </row>
    <row r="31" spans="1:87" x14ac:dyDescent="0.3">
      <c r="A31" s="4" t="s">
        <v>981</v>
      </c>
      <c r="B31" s="4" t="s">
        <v>987</v>
      </c>
      <c r="C31" s="4" t="s">
        <v>1268</v>
      </c>
      <c r="D31">
        <v>1</v>
      </c>
      <c r="E31">
        <v>1.0049999999999999</v>
      </c>
      <c r="F31">
        <v>1.0100249999999997</v>
      </c>
      <c r="G31">
        <v>1.0150751249999996</v>
      </c>
      <c r="H31">
        <v>1.0201505006249996</v>
      </c>
      <c r="I31">
        <v>1.0252512531281244</v>
      </c>
      <c r="J31">
        <v>1.030377509393765</v>
      </c>
      <c r="K31">
        <v>1.0355293969407338</v>
      </c>
      <c r="L31">
        <v>1.0407070439254373</v>
      </c>
      <c r="M31">
        <v>1.0459105791450642</v>
      </c>
      <c r="N31">
        <v>1.0511401320407896</v>
      </c>
      <c r="O31">
        <v>1.0563958327009935</v>
      </c>
      <c r="P31">
        <v>1.0616778118644983</v>
      </c>
      <c r="Q31">
        <v>1.0669862009238207</v>
      </c>
      <c r="R31">
        <v>1.0723211319284396</v>
      </c>
      <c r="S31">
        <v>1.0776827375880818</v>
      </c>
      <c r="T31">
        <v>1.083071151276022</v>
      </c>
      <c r="U31">
        <v>1.0884865070324019</v>
      </c>
      <c r="V31">
        <v>1.0939289395675638</v>
      </c>
      <c r="W31">
        <v>1.0993985842654015</v>
      </c>
      <c r="X31">
        <v>1.1048955771867284</v>
      </c>
      <c r="Y31">
        <v>1.1104200550726619</v>
      </c>
      <c r="Z31">
        <v>1.1159721553480251</v>
      </c>
      <c r="AA31">
        <v>1.1215520161247652</v>
      </c>
      <c r="AB31">
        <v>1.1271597762053889</v>
      </c>
      <c r="AC31">
        <v>1.1327955750864158</v>
      </c>
      <c r="AD31">
        <v>1.1384595529618478</v>
      </c>
      <c r="AE31">
        <v>1.1441518507266568</v>
      </c>
      <c r="AF31">
        <v>1.1498726099802901</v>
      </c>
      <c r="AG31">
        <v>1.1556219730301913</v>
      </c>
      <c r="AH31">
        <v>1.1614000828953421</v>
      </c>
      <c r="AI31">
        <v>1.1672070833098187</v>
      </c>
      <c r="AJ31">
        <v>1.1730431187263677</v>
      </c>
      <c r="AK31">
        <v>1.1789083343199993</v>
      </c>
      <c r="AL31">
        <v>1.1848028759915992</v>
      </c>
      <c r="AM31">
        <v>1.1907268903715571</v>
      </c>
      <c r="AN31">
        <v>1.1966805248234147</v>
      </c>
      <c r="AO31">
        <v>1.2026639274475317</v>
      </c>
      <c r="AP31">
        <v>1.2086772470847693</v>
      </c>
      <c r="AQ31">
        <v>1.214720633320193</v>
      </c>
      <c r="AR31">
        <v>1.2207942364867939</v>
      </c>
      <c r="AS31">
        <v>1.2268982076692276</v>
      </c>
      <c r="AT31">
        <v>1.2330326987075737</v>
      </c>
      <c r="AU31">
        <v>1.2391978622011115</v>
      </c>
      <c r="AV31">
        <v>1.2453938515121168</v>
      </c>
      <c r="AW31">
        <v>1.2516208207696773</v>
      </c>
      <c r="AX31">
        <v>1.2578789248735256</v>
      </c>
      <c r="AY31">
        <v>1.264168319497893</v>
      </c>
      <c r="AZ31">
        <v>1.2704891610953823</v>
      </c>
      <c r="BA31">
        <v>1.2768416069008592</v>
      </c>
      <c r="BB31">
        <v>1.2832258149353633</v>
      </c>
      <c r="BC31">
        <v>1.28964194401004</v>
      </c>
      <c r="BD31">
        <v>1.29609015373009</v>
      </c>
      <c r="BE31">
        <v>1.3025706044987404</v>
      </c>
      <c r="BF31">
        <v>1.309083457521234</v>
      </c>
      <c r="BG31">
        <v>1.3156288748088401</v>
      </c>
      <c r="BH31">
        <v>1.3222070191828841</v>
      </c>
      <c r="BI31">
        <v>1.3288180542787984</v>
      </c>
      <c r="BJ31">
        <v>1.3354621445501922</v>
      </c>
      <c r="BK31">
        <v>1.3421394552729429</v>
      </c>
      <c r="BL31">
        <v>1.3488501525493075</v>
      </c>
      <c r="BM31">
        <v>1.3555944033120539</v>
      </c>
      <c r="BN31">
        <v>1.3623723753286141</v>
      </c>
      <c r="BO31">
        <v>1.3691842372052569</v>
      </c>
      <c r="BP31">
        <v>1.3760301583912831</v>
      </c>
      <c r="BQ31">
        <v>1.3829103091832393</v>
      </c>
      <c r="BR31">
        <v>1.3898248607291555</v>
      </c>
      <c r="BS31">
        <v>1.3967739850328011</v>
      </c>
      <c r="BT31">
        <v>1.403757854957965</v>
      </c>
      <c r="BU31">
        <v>1.4107766442327547</v>
      </c>
      <c r="BV31">
        <v>1.4178305274539182</v>
      </c>
      <c r="BW31">
        <v>1.4249196800911876</v>
      </c>
      <c r="BX31">
        <v>1.4320442784916434</v>
      </c>
      <c r="BY31">
        <v>1.4392044998841016</v>
      </c>
      <c r="BZ31">
        <v>1.4464005223835219</v>
      </c>
      <c r="CA31">
        <v>1.4536325249954394</v>
      </c>
      <c r="CB31">
        <v>1.4609006876204165</v>
      </c>
      <c r="CC31">
        <v>1.4682051910585183</v>
      </c>
      <c r="CD31">
        <v>1.4755462170138107</v>
      </c>
      <c r="CE31">
        <v>1.4829239480988796</v>
      </c>
      <c r="CF31">
        <v>1.4903385678393739</v>
      </c>
      <c r="CG31">
        <v>1.4977902606785705</v>
      </c>
      <c r="CH31">
        <v>1.5052792119819631</v>
      </c>
      <c r="CI31">
        <v>1.5128056080418728</v>
      </c>
    </row>
    <row r="32" spans="1:87" x14ac:dyDescent="0.3">
      <c r="A32" s="4" t="s">
        <v>981</v>
      </c>
      <c r="B32" s="4" t="s">
        <v>987</v>
      </c>
      <c r="C32" s="4" t="s">
        <v>1269</v>
      </c>
      <c r="D32">
        <v>1</v>
      </c>
      <c r="E32">
        <v>1.0049999999999999</v>
      </c>
      <c r="F32">
        <v>1.0100249999999997</v>
      </c>
      <c r="G32">
        <v>1.0150751249999996</v>
      </c>
      <c r="H32">
        <v>1.0201505006249996</v>
      </c>
      <c r="I32">
        <v>1.0252512531281244</v>
      </c>
      <c r="J32">
        <v>1.030377509393765</v>
      </c>
      <c r="K32">
        <v>1.0355293969407338</v>
      </c>
      <c r="L32">
        <v>1.0407070439254373</v>
      </c>
      <c r="M32">
        <v>1.0459105791450642</v>
      </c>
      <c r="N32">
        <v>1.0511401320407896</v>
      </c>
      <c r="O32">
        <v>1.0563958327009935</v>
      </c>
      <c r="P32">
        <v>1.0616778118644983</v>
      </c>
      <c r="Q32">
        <v>1.0669862009238207</v>
      </c>
      <c r="R32">
        <v>1.0723211319284396</v>
      </c>
      <c r="S32">
        <v>1.0776827375880818</v>
      </c>
      <c r="T32">
        <v>1.083071151276022</v>
      </c>
      <c r="U32">
        <v>1.0884865070324019</v>
      </c>
      <c r="V32">
        <v>1.0939289395675638</v>
      </c>
      <c r="W32">
        <v>1.0993985842654015</v>
      </c>
      <c r="X32">
        <v>1.1048955771867284</v>
      </c>
      <c r="Y32">
        <v>1.1104200550726619</v>
      </c>
      <c r="Z32">
        <v>1.1159721553480251</v>
      </c>
      <c r="AA32">
        <v>1.1215520161247652</v>
      </c>
      <c r="AB32">
        <v>1.1271597762053889</v>
      </c>
      <c r="AC32">
        <v>1.1327955750864158</v>
      </c>
      <c r="AD32">
        <v>1.1384595529618478</v>
      </c>
      <c r="AE32">
        <v>1.1441518507266568</v>
      </c>
      <c r="AF32">
        <v>1.1498726099802901</v>
      </c>
      <c r="AG32">
        <v>1.1556219730301913</v>
      </c>
      <c r="AH32">
        <v>1.1614000828953421</v>
      </c>
      <c r="AI32">
        <v>1.1672070833098187</v>
      </c>
      <c r="AJ32">
        <v>1.1730431187263677</v>
      </c>
      <c r="AK32">
        <v>1.1789083343199993</v>
      </c>
      <c r="AL32">
        <v>1.1848028759915992</v>
      </c>
      <c r="AM32">
        <v>1.1907268903715571</v>
      </c>
      <c r="AN32">
        <v>1.1966805248234147</v>
      </c>
      <c r="AO32">
        <v>1.2026639274475317</v>
      </c>
      <c r="AP32">
        <v>1.2086772470847693</v>
      </c>
      <c r="AQ32">
        <v>1.214720633320193</v>
      </c>
      <c r="AR32">
        <v>1.2207942364867939</v>
      </c>
      <c r="AS32">
        <v>1.2268982076692276</v>
      </c>
      <c r="AT32">
        <v>1.2330326987075737</v>
      </c>
      <c r="AU32">
        <v>1.2391978622011115</v>
      </c>
      <c r="AV32">
        <v>1.2453938515121168</v>
      </c>
      <c r="AW32">
        <v>1.2516208207696773</v>
      </c>
      <c r="AX32">
        <v>1.2578789248735256</v>
      </c>
      <c r="AY32">
        <v>1.264168319497893</v>
      </c>
      <c r="AZ32">
        <v>1.2704891610953823</v>
      </c>
      <c r="BA32">
        <v>1.2768416069008592</v>
      </c>
      <c r="BB32">
        <v>1.2832258149353633</v>
      </c>
      <c r="BC32">
        <v>1.28964194401004</v>
      </c>
      <c r="BD32">
        <v>1.29609015373009</v>
      </c>
      <c r="BE32">
        <v>1.3025706044987404</v>
      </c>
      <c r="BF32">
        <v>1.309083457521234</v>
      </c>
      <c r="BG32">
        <v>1.3156288748088401</v>
      </c>
      <c r="BH32">
        <v>1.3222070191828841</v>
      </c>
      <c r="BI32">
        <v>1.3288180542787984</v>
      </c>
      <c r="BJ32">
        <v>1.3354621445501922</v>
      </c>
      <c r="BK32">
        <v>1.3421394552729429</v>
      </c>
      <c r="BL32">
        <v>1.3488501525493075</v>
      </c>
      <c r="BM32">
        <v>1.3555944033120539</v>
      </c>
      <c r="BN32">
        <v>1.3623723753286141</v>
      </c>
      <c r="BO32">
        <v>1.3691842372052569</v>
      </c>
      <c r="BP32">
        <v>1.3760301583912831</v>
      </c>
      <c r="BQ32">
        <v>1.3829103091832393</v>
      </c>
      <c r="BR32">
        <v>1.3898248607291555</v>
      </c>
      <c r="BS32">
        <v>1.3967739850328011</v>
      </c>
      <c r="BT32">
        <v>1.403757854957965</v>
      </c>
      <c r="BU32">
        <v>1.4107766442327547</v>
      </c>
      <c r="BV32">
        <v>1.4178305274539182</v>
      </c>
      <c r="BW32">
        <v>1.4249196800911876</v>
      </c>
      <c r="BX32">
        <v>1.4320442784916434</v>
      </c>
      <c r="BY32">
        <v>1.4392044998841016</v>
      </c>
      <c r="BZ32">
        <v>1.4464005223835219</v>
      </c>
      <c r="CA32">
        <v>1.4536325249954394</v>
      </c>
      <c r="CB32">
        <v>1.4609006876204165</v>
      </c>
      <c r="CC32">
        <v>1.4682051910585183</v>
      </c>
      <c r="CD32">
        <v>1.4755462170138107</v>
      </c>
      <c r="CE32">
        <v>1.4829239480988796</v>
      </c>
      <c r="CF32">
        <v>1.4903385678393739</v>
      </c>
      <c r="CG32">
        <v>1.4977902606785705</v>
      </c>
      <c r="CH32">
        <v>1.5052792119819631</v>
      </c>
      <c r="CI32">
        <v>1.5128056080418728</v>
      </c>
    </row>
    <row r="33" spans="1:87" x14ac:dyDescent="0.3">
      <c r="A33" s="4" t="s">
        <v>981</v>
      </c>
      <c r="B33" s="4" t="s">
        <v>987</v>
      </c>
      <c r="C33" s="4" t="s">
        <v>1270</v>
      </c>
      <c r="D33">
        <v>1</v>
      </c>
      <c r="E33">
        <v>1.0049999999999999</v>
      </c>
      <c r="F33">
        <v>1.0100249999999997</v>
      </c>
      <c r="G33">
        <v>1.0150751249999996</v>
      </c>
      <c r="H33">
        <v>1.0201505006249996</v>
      </c>
      <c r="I33">
        <v>1.0252512531281244</v>
      </c>
      <c r="J33">
        <v>1.030377509393765</v>
      </c>
      <c r="K33">
        <v>1.0355293969407338</v>
      </c>
      <c r="L33">
        <v>1.0407070439254373</v>
      </c>
      <c r="M33">
        <v>1.0459105791450642</v>
      </c>
      <c r="N33">
        <v>1.0511401320407896</v>
      </c>
      <c r="O33">
        <v>1.0563958327009935</v>
      </c>
      <c r="P33">
        <v>1.0616778118644983</v>
      </c>
      <c r="Q33">
        <v>1.0669862009238207</v>
      </c>
      <c r="R33">
        <v>1.0723211319284396</v>
      </c>
      <c r="S33">
        <v>1.0776827375880818</v>
      </c>
      <c r="T33">
        <v>1.083071151276022</v>
      </c>
      <c r="U33">
        <v>1.0884865070324019</v>
      </c>
      <c r="V33">
        <v>1.0939289395675638</v>
      </c>
      <c r="W33">
        <v>1.0993985842654015</v>
      </c>
      <c r="X33">
        <v>1.1048955771867284</v>
      </c>
      <c r="Y33">
        <v>1.1104200550726619</v>
      </c>
      <c r="Z33">
        <v>1.1159721553480251</v>
      </c>
      <c r="AA33">
        <v>1.1215520161247652</v>
      </c>
      <c r="AB33">
        <v>1.1271597762053889</v>
      </c>
      <c r="AC33">
        <v>1.1327955750864158</v>
      </c>
      <c r="AD33">
        <v>1.1384595529618478</v>
      </c>
      <c r="AE33">
        <v>1.1441518507266568</v>
      </c>
      <c r="AF33">
        <v>1.1498726099802901</v>
      </c>
      <c r="AG33">
        <v>1.1556219730301913</v>
      </c>
      <c r="AH33">
        <v>1.1614000828953421</v>
      </c>
      <c r="AI33">
        <v>1.1672070833098187</v>
      </c>
      <c r="AJ33">
        <v>1.1730431187263677</v>
      </c>
      <c r="AK33">
        <v>1.1789083343199993</v>
      </c>
      <c r="AL33">
        <v>1.1848028759915992</v>
      </c>
      <c r="AM33">
        <v>1.1907268903715571</v>
      </c>
      <c r="AN33">
        <v>1.1966805248234147</v>
      </c>
      <c r="AO33">
        <v>1.2026639274475317</v>
      </c>
      <c r="AP33">
        <v>1.2086772470847693</v>
      </c>
      <c r="AQ33">
        <v>1.214720633320193</v>
      </c>
      <c r="AR33">
        <v>1.2207942364867939</v>
      </c>
      <c r="AS33">
        <v>1.2268982076692276</v>
      </c>
      <c r="AT33">
        <v>1.2330326987075737</v>
      </c>
      <c r="AU33">
        <v>1.2391978622011115</v>
      </c>
      <c r="AV33">
        <v>1.2453938515121168</v>
      </c>
      <c r="AW33">
        <v>1.2516208207696773</v>
      </c>
      <c r="AX33">
        <v>1.2578789248735256</v>
      </c>
      <c r="AY33">
        <v>1.264168319497893</v>
      </c>
      <c r="AZ33">
        <v>1.2704891610953823</v>
      </c>
      <c r="BA33">
        <v>1.2768416069008592</v>
      </c>
      <c r="BB33">
        <v>1.2832258149353633</v>
      </c>
      <c r="BC33">
        <v>1.28964194401004</v>
      </c>
      <c r="BD33">
        <v>1.29609015373009</v>
      </c>
      <c r="BE33">
        <v>1.3025706044987404</v>
      </c>
      <c r="BF33">
        <v>1.309083457521234</v>
      </c>
      <c r="BG33">
        <v>1.3156288748088401</v>
      </c>
      <c r="BH33">
        <v>1.3222070191828841</v>
      </c>
      <c r="BI33">
        <v>1.3288180542787984</v>
      </c>
      <c r="BJ33">
        <v>1.3354621445501922</v>
      </c>
      <c r="BK33">
        <v>1.3421394552729429</v>
      </c>
      <c r="BL33">
        <v>1.3488501525493075</v>
      </c>
      <c r="BM33">
        <v>1.3555944033120539</v>
      </c>
      <c r="BN33">
        <v>1.3623723753286141</v>
      </c>
      <c r="BO33">
        <v>1.3691842372052569</v>
      </c>
      <c r="BP33">
        <v>1.3760301583912831</v>
      </c>
      <c r="BQ33">
        <v>1.3829103091832393</v>
      </c>
      <c r="BR33">
        <v>1.3898248607291555</v>
      </c>
      <c r="BS33">
        <v>1.3967739850328011</v>
      </c>
      <c r="BT33">
        <v>1.403757854957965</v>
      </c>
      <c r="BU33">
        <v>1.4107766442327547</v>
      </c>
      <c r="BV33">
        <v>1.4178305274539182</v>
      </c>
      <c r="BW33">
        <v>1.4249196800911876</v>
      </c>
      <c r="BX33">
        <v>1.4320442784916434</v>
      </c>
      <c r="BY33">
        <v>1.4392044998841016</v>
      </c>
      <c r="BZ33">
        <v>1.4464005223835219</v>
      </c>
      <c r="CA33">
        <v>1.4536325249954394</v>
      </c>
      <c r="CB33">
        <v>1.4609006876204165</v>
      </c>
      <c r="CC33">
        <v>1.4682051910585183</v>
      </c>
      <c r="CD33">
        <v>1.4755462170138107</v>
      </c>
      <c r="CE33">
        <v>1.4829239480988796</v>
      </c>
      <c r="CF33">
        <v>1.4903385678393739</v>
      </c>
      <c r="CG33">
        <v>1.4977902606785705</v>
      </c>
      <c r="CH33">
        <v>1.5052792119819631</v>
      </c>
      <c r="CI33">
        <v>1.5128056080418728</v>
      </c>
    </row>
    <row r="34" spans="1:87" x14ac:dyDescent="0.3">
      <c r="A34" s="4" t="s">
        <v>981</v>
      </c>
      <c r="B34" s="4" t="s">
        <v>987</v>
      </c>
      <c r="C34" s="4" t="s">
        <v>1271</v>
      </c>
      <c r="D34">
        <v>1</v>
      </c>
      <c r="E34">
        <v>1.0049999999999999</v>
      </c>
      <c r="F34">
        <v>1.0100249999999997</v>
      </c>
      <c r="G34">
        <v>1.0150751249999996</v>
      </c>
      <c r="H34">
        <v>1.0201505006249996</v>
      </c>
      <c r="I34">
        <v>1.0252512531281244</v>
      </c>
      <c r="J34">
        <v>1.030377509393765</v>
      </c>
      <c r="K34">
        <v>1.0355293969407338</v>
      </c>
      <c r="L34">
        <v>1.0407070439254373</v>
      </c>
      <c r="M34">
        <v>1.0459105791450642</v>
      </c>
      <c r="N34">
        <v>1.0511401320407896</v>
      </c>
      <c r="O34">
        <v>1.0563958327009935</v>
      </c>
      <c r="P34">
        <v>1.0616778118644983</v>
      </c>
      <c r="Q34">
        <v>1.0669862009238207</v>
      </c>
      <c r="R34">
        <v>1.0723211319284396</v>
      </c>
      <c r="S34">
        <v>1.0776827375880818</v>
      </c>
      <c r="T34">
        <v>1.083071151276022</v>
      </c>
      <c r="U34">
        <v>1.0884865070324019</v>
      </c>
      <c r="V34">
        <v>1.0939289395675638</v>
      </c>
      <c r="W34">
        <v>1.0993985842654015</v>
      </c>
      <c r="X34">
        <v>1.1048955771867284</v>
      </c>
      <c r="Y34">
        <v>1.1104200550726619</v>
      </c>
      <c r="Z34">
        <v>1.1159721553480251</v>
      </c>
      <c r="AA34">
        <v>1.1215520161247652</v>
      </c>
      <c r="AB34">
        <v>1.1271597762053889</v>
      </c>
      <c r="AC34">
        <v>1.1327955750864158</v>
      </c>
      <c r="AD34">
        <v>1.1384595529618478</v>
      </c>
      <c r="AE34">
        <v>1.1441518507266568</v>
      </c>
      <c r="AF34">
        <v>1.1498726099802901</v>
      </c>
      <c r="AG34">
        <v>1.1556219730301913</v>
      </c>
      <c r="AH34">
        <v>1.1614000828953421</v>
      </c>
      <c r="AI34">
        <v>1.1672070833098187</v>
      </c>
      <c r="AJ34">
        <v>1.1730431187263677</v>
      </c>
      <c r="AK34">
        <v>1.1789083343199993</v>
      </c>
      <c r="AL34">
        <v>1.1848028759915992</v>
      </c>
      <c r="AM34">
        <v>1.1907268903715571</v>
      </c>
      <c r="AN34">
        <v>1.1966805248234147</v>
      </c>
      <c r="AO34">
        <v>1.2026639274475317</v>
      </c>
      <c r="AP34">
        <v>1.2086772470847693</v>
      </c>
      <c r="AQ34">
        <v>1.214720633320193</v>
      </c>
      <c r="AR34">
        <v>1.2207942364867939</v>
      </c>
      <c r="AS34">
        <v>1.2268982076692276</v>
      </c>
      <c r="AT34">
        <v>1.2330326987075737</v>
      </c>
      <c r="AU34">
        <v>1.2391978622011115</v>
      </c>
      <c r="AV34">
        <v>1.2453938515121168</v>
      </c>
      <c r="AW34">
        <v>1.2516208207696773</v>
      </c>
      <c r="AX34">
        <v>1.2578789248735256</v>
      </c>
      <c r="AY34">
        <v>1.264168319497893</v>
      </c>
      <c r="AZ34">
        <v>1.2704891610953823</v>
      </c>
      <c r="BA34">
        <v>1.2768416069008592</v>
      </c>
      <c r="BB34">
        <v>1.2832258149353633</v>
      </c>
      <c r="BC34">
        <v>1.28964194401004</v>
      </c>
      <c r="BD34">
        <v>1.29609015373009</v>
      </c>
      <c r="BE34">
        <v>1.3025706044987404</v>
      </c>
      <c r="BF34">
        <v>1.309083457521234</v>
      </c>
      <c r="BG34">
        <v>1.3156288748088401</v>
      </c>
      <c r="BH34">
        <v>1.3222070191828841</v>
      </c>
      <c r="BI34">
        <v>1.3288180542787984</v>
      </c>
      <c r="BJ34">
        <v>1.3354621445501922</v>
      </c>
      <c r="BK34">
        <v>1.3421394552729429</v>
      </c>
      <c r="BL34">
        <v>1.3488501525493075</v>
      </c>
      <c r="BM34">
        <v>1.3555944033120539</v>
      </c>
      <c r="BN34">
        <v>1.3623723753286141</v>
      </c>
      <c r="BO34">
        <v>1.3691842372052569</v>
      </c>
      <c r="BP34">
        <v>1.3760301583912831</v>
      </c>
      <c r="BQ34">
        <v>1.3829103091832393</v>
      </c>
      <c r="BR34">
        <v>1.3898248607291555</v>
      </c>
      <c r="BS34">
        <v>1.3967739850328011</v>
      </c>
      <c r="BT34">
        <v>1.403757854957965</v>
      </c>
      <c r="BU34">
        <v>1.4107766442327547</v>
      </c>
      <c r="BV34">
        <v>1.4178305274539182</v>
      </c>
      <c r="BW34">
        <v>1.4249196800911876</v>
      </c>
      <c r="BX34">
        <v>1.4320442784916434</v>
      </c>
      <c r="BY34">
        <v>1.4392044998841016</v>
      </c>
      <c r="BZ34">
        <v>1.4464005223835219</v>
      </c>
      <c r="CA34">
        <v>1.4536325249954394</v>
      </c>
      <c r="CB34">
        <v>1.4609006876204165</v>
      </c>
      <c r="CC34">
        <v>1.4682051910585183</v>
      </c>
      <c r="CD34">
        <v>1.4755462170138107</v>
      </c>
      <c r="CE34">
        <v>1.4829239480988796</v>
      </c>
      <c r="CF34">
        <v>1.4903385678393739</v>
      </c>
      <c r="CG34">
        <v>1.4977902606785705</v>
      </c>
      <c r="CH34">
        <v>1.5052792119819631</v>
      </c>
      <c r="CI34">
        <v>1.5128056080418728</v>
      </c>
    </row>
    <row r="35" spans="1:87" x14ac:dyDescent="0.3">
      <c r="A35" s="4" t="s">
        <v>981</v>
      </c>
      <c r="B35" s="4" t="s">
        <v>987</v>
      </c>
      <c r="C35" s="4" t="s">
        <v>1272</v>
      </c>
      <c r="D35">
        <v>1</v>
      </c>
      <c r="E35">
        <v>1.0049999999999999</v>
      </c>
      <c r="F35">
        <v>1.0100249999999997</v>
      </c>
      <c r="G35">
        <v>1.0150751249999996</v>
      </c>
      <c r="H35">
        <v>1.0201505006249996</v>
      </c>
      <c r="I35">
        <v>1.0252512531281244</v>
      </c>
      <c r="J35">
        <v>1.030377509393765</v>
      </c>
      <c r="K35">
        <v>1.0355293969407338</v>
      </c>
      <c r="L35">
        <v>1.0407070439254373</v>
      </c>
      <c r="M35">
        <v>1.0459105791450642</v>
      </c>
      <c r="N35">
        <v>1.0511401320407896</v>
      </c>
      <c r="O35">
        <v>1.0563958327009935</v>
      </c>
      <c r="P35">
        <v>1.0616778118644983</v>
      </c>
      <c r="Q35">
        <v>1.0669862009238207</v>
      </c>
      <c r="R35">
        <v>1.0723211319284396</v>
      </c>
      <c r="S35">
        <v>1.0776827375880818</v>
      </c>
      <c r="T35">
        <v>1.083071151276022</v>
      </c>
      <c r="U35">
        <v>1.0884865070324019</v>
      </c>
      <c r="V35">
        <v>1.0939289395675638</v>
      </c>
      <c r="W35">
        <v>1.0993985842654015</v>
      </c>
      <c r="X35">
        <v>1.1048955771867284</v>
      </c>
      <c r="Y35">
        <v>1.1104200550726619</v>
      </c>
      <c r="Z35">
        <v>1.1159721553480251</v>
      </c>
      <c r="AA35">
        <v>1.1215520161247652</v>
      </c>
      <c r="AB35">
        <v>1.1271597762053889</v>
      </c>
      <c r="AC35">
        <v>1.1327955750864158</v>
      </c>
      <c r="AD35">
        <v>1.1384595529618478</v>
      </c>
      <c r="AE35">
        <v>1.1441518507266568</v>
      </c>
      <c r="AF35">
        <v>1.1498726099802901</v>
      </c>
      <c r="AG35">
        <v>1.1556219730301913</v>
      </c>
      <c r="AH35">
        <v>1.1614000828953421</v>
      </c>
      <c r="AI35">
        <v>1.1672070833098187</v>
      </c>
      <c r="AJ35">
        <v>1.1730431187263677</v>
      </c>
      <c r="AK35">
        <v>1.1789083343199993</v>
      </c>
      <c r="AL35">
        <v>1.1848028759915992</v>
      </c>
      <c r="AM35">
        <v>1.1907268903715571</v>
      </c>
      <c r="AN35">
        <v>1.1966805248234147</v>
      </c>
      <c r="AO35">
        <v>1.2026639274475317</v>
      </c>
      <c r="AP35">
        <v>1.2086772470847693</v>
      </c>
      <c r="AQ35">
        <v>1.214720633320193</v>
      </c>
      <c r="AR35">
        <v>1.2207942364867939</v>
      </c>
      <c r="AS35">
        <v>1.2268982076692276</v>
      </c>
      <c r="AT35">
        <v>1.2330326987075737</v>
      </c>
      <c r="AU35">
        <v>1.2391978622011115</v>
      </c>
      <c r="AV35">
        <v>1.2453938515121168</v>
      </c>
      <c r="AW35">
        <v>1.2516208207696773</v>
      </c>
      <c r="AX35">
        <v>1.2578789248735256</v>
      </c>
      <c r="AY35">
        <v>1.264168319497893</v>
      </c>
      <c r="AZ35">
        <v>1.2704891610953823</v>
      </c>
      <c r="BA35">
        <v>1.2768416069008592</v>
      </c>
      <c r="BB35">
        <v>1.2832258149353633</v>
      </c>
      <c r="BC35">
        <v>1.28964194401004</v>
      </c>
      <c r="BD35">
        <v>1.29609015373009</v>
      </c>
      <c r="BE35">
        <v>1.3025706044987404</v>
      </c>
      <c r="BF35">
        <v>1.309083457521234</v>
      </c>
      <c r="BG35">
        <v>1.3156288748088401</v>
      </c>
      <c r="BH35">
        <v>1.3222070191828841</v>
      </c>
      <c r="BI35">
        <v>1.3288180542787984</v>
      </c>
      <c r="BJ35">
        <v>1.3354621445501922</v>
      </c>
      <c r="BK35">
        <v>1.3421394552729429</v>
      </c>
      <c r="BL35">
        <v>1.3488501525493075</v>
      </c>
      <c r="BM35">
        <v>1.3555944033120539</v>
      </c>
      <c r="BN35">
        <v>1.3623723753286141</v>
      </c>
      <c r="BO35">
        <v>1.3691842372052569</v>
      </c>
      <c r="BP35">
        <v>1.3760301583912831</v>
      </c>
      <c r="BQ35">
        <v>1.3829103091832393</v>
      </c>
      <c r="BR35">
        <v>1.3898248607291555</v>
      </c>
      <c r="BS35">
        <v>1.3967739850328011</v>
      </c>
      <c r="BT35">
        <v>1.403757854957965</v>
      </c>
      <c r="BU35">
        <v>1.4107766442327547</v>
      </c>
      <c r="BV35">
        <v>1.4178305274539182</v>
      </c>
      <c r="BW35">
        <v>1.4249196800911876</v>
      </c>
      <c r="BX35">
        <v>1.4320442784916434</v>
      </c>
      <c r="BY35">
        <v>1.4392044998841016</v>
      </c>
      <c r="BZ35">
        <v>1.4464005223835219</v>
      </c>
      <c r="CA35">
        <v>1.4536325249954394</v>
      </c>
      <c r="CB35">
        <v>1.4609006876204165</v>
      </c>
      <c r="CC35">
        <v>1.4682051910585183</v>
      </c>
      <c r="CD35">
        <v>1.4755462170138107</v>
      </c>
      <c r="CE35">
        <v>1.4829239480988796</v>
      </c>
      <c r="CF35">
        <v>1.4903385678393739</v>
      </c>
      <c r="CG35">
        <v>1.4977902606785705</v>
      </c>
      <c r="CH35">
        <v>1.5052792119819631</v>
      </c>
      <c r="CI35">
        <v>1.5128056080418728</v>
      </c>
    </row>
    <row r="36" spans="1:87" x14ac:dyDescent="0.3">
      <c r="A36" s="4" t="s">
        <v>981</v>
      </c>
      <c r="B36" s="4" t="s">
        <v>987</v>
      </c>
      <c r="C36" s="4" t="s">
        <v>1273</v>
      </c>
      <c r="D36">
        <v>1</v>
      </c>
      <c r="E36">
        <v>1.0049999999999999</v>
      </c>
      <c r="F36">
        <v>1.0100249999999997</v>
      </c>
      <c r="G36">
        <v>1.0150751249999996</v>
      </c>
      <c r="H36">
        <v>1.0201505006249996</v>
      </c>
      <c r="I36">
        <v>1.0252512531281244</v>
      </c>
      <c r="J36">
        <v>1.030377509393765</v>
      </c>
      <c r="K36">
        <v>1.0355293969407338</v>
      </c>
      <c r="L36">
        <v>1.0407070439254373</v>
      </c>
      <c r="M36">
        <v>1.0459105791450642</v>
      </c>
      <c r="N36">
        <v>1.0511401320407896</v>
      </c>
      <c r="O36">
        <v>1.0563958327009935</v>
      </c>
      <c r="P36">
        <v>1.0616778118644983</v>
      </c>
      <c r="Q36">
        <v>1.0669862009238207</v>
      </c>
      <c r="R36">
        <v>1.0723211319284396</v>
      </c>
      <c r="S36">
        <v>1.0776827375880818</v>
      </c>
      <c r="T36">
        <v>1.083071151276022</v>
      </c>
      <c r="U36">
        <v>1.0884865070324019</v>
      </c>
      <c r="V36">
        <v>1.0939289395675638</v>
      </c>
      <c r="W36">
        <v>1.0993985842654015</v>
      </c>
      <c r="X36">
        <v>1.1048955771867284</v>
      </c>
      <c r="Y36">
        <v>1.1104200550726619</v>
      </c>
      <c r="Z36">
        <v>1.1159721553480251</v>
      </c>
      <c r="AA36">
        <v>1.1215520161247652</v>
      </c>
      <c r="AB36">
        <v>1.1271597762053889</v>
      </c>
      <c r="AC36">
        <v>1.1327955750864158</v>
      </c>
      <c r="AD36">
        <v>1.1384595529618478</v>
      </c>
      <c r="AE36">
        <v>1.1441518507266568</v>
      </c>
      <c r="AF36">
        <v>1.1498726099802901</v>
      </c>
      <c r="AG36">
        <v>1.1556219730301913</v>
      </c>
      <c r="AH36">
        <v>1.1614000828953421</v>
      </c>
      <c r="AI36">
        <v>1.1672070833098187</v>
      </c>
      <c r="AJ36">
        <v>1.1730431187263677</v>
      </c>
      <c r="AK36">
        <v>1.1789083343199993</v>
      </c>
      <c r="AL36">
        <v>1.1848028759915992</v>
      </c>
      <c r="AM36">
        <v>1.1907268903715571</v>
      </c>
      <c r="AN36">
        <v>1.1966805248234147</v>
      </c>
      <c r="AO36">
        <v>1.2026639274475317</v>
      </c>
      <c r="AP36">
        <v>1.2086772470847693</v>
      </c>
      <c r="AQ36">
        <v>1.214720633320193</v>
      </c>
      <c r="AR36">
        <v>1.2207942364867939</v>
      </c>
      <c r="AS36">
        <v>1.2268982076692276</v>
      </c>
      <c r="AT36">
        <v>1.2330326987075737</v>
      </c>
      <c r="AU36">
        <v>1.2391978622011115</v>
      </c>
      <c r="AV36">
        <v>1.2453938515121168</v>
      </c>
      <c r="AW36">
        <v>1.2516208207696773</v>
      </c>
      <c r="AX36">
        <v>1.2578789248735256</v>
      </c>
      <c r="AY36">
        <v>1.264168319497893</v>
      </c>
      <c r="AZ36">
        <v>1.2704891610953823</v>
      </c>
      <c r="BA36">
        <v>1.2768416069008592</v>
      </c>
      <c r="BB36">
        <v>1.2832258149353633</v>
      </c>
      <c r="BC36">
        <v>1.28964194401004</v>
      </c>
      <c r="BD36">
        <v>1.29609015373009</v>
      </c>
      <c r="BE36">
        <v>1.3025706044987404</v>
      </c>
      <c r="BF36">
        <v>1.309083457521234</v>
      </c>
      <c r="BG36">
        <v>1.3156288748088401</v>
      </c>
      <c r="BH36">
        <v>1.3222070191828841</v>
      </c>
      <c r="BI36">
        <v>1.3288180542787984</v>
      </c>
      <c r="BJ36">
        <v>1.3354621445501922</v>
      </c>
      <c r="BK36">
        <v>1.3421394552729429</v>
      </c>
      <c r="BL36">
        <v>1.3488501525493075</v>
      </c>
      <c r="BM36">
        <v>1.3555944033120539</v>
      </c>
      <c r="BN36">
        <v>1.3623723753286141</v>
      </c>
      <c r="BO36">
        <v>1.3691842372052569</v>
      </c>
      <c r="BP36">
        <v>1.3760301583912831</v>
      </c>
      <c r="BQ36">
        <v>1.3829103091832393</v>
      </c>
      <c r="BR36">
        <v>1.3898248607291555</v>
      </c>
      <c r="BS36">
        <v>1.3967739850328011</v>
      </c>
      <c r="BT36">
        <v>1.403757854957965</v>
      </c>
      <c r="BU36">
        <v>1.4107766442327547</v>
      </c>
      <c r="BV36">
        <v>1.4178305274539182</v>
      </c>
      <c r="BW36">
        <v>1.4249196800911876</v>
      </c>
      <c r="BX36">
        <v>1.4320442784916434</v>
      </c>
      <c r="BY36">
        <v>1.4392044998841016</v>
      </c>
      <c r="BZ36">
        <v>1.4464005223835219</v>
      </c>
      <c r="CA36">
        <v>1.4536325249954394</v>
      </c>
      <c r="CB36">
        <v>1.4609006876204165</v>
      </c>
      <c r="CC36">
        <v>1.4682051910585183</v>
      </c>
      <c r="CD36">
        <v>1.4755462170138107</v>
      </c>
      <c r="CE36">
        <v>1.4829239480988796</v>
      </c>
      <c r="CF36">
        <v>1.4903385678393739</v>
      </c>
      <c r="CG36">
        <v>1.4977902606785705</v>
      </c>
      <c r="CH36">
        <v>1.5052792119819631</v>
      </c>
      <c r="CI36">
        <v>1.5128056080418728</v>
      </c>
    </row>
    <row r="37" spans="1:87" x14ac:dyDescent="0.3">
      <c r="A37" s="4" t="s">
        <v>981</v>
      </c>
      <c r="B37" s="4" t="s">
        <v>987</v>
      </c>
      <c r="C37" s="4" t="s">
        <v>1274</v>
      </c>
      <c r="D37">
        <v>1</v>
      </c>
      <c r="E37">
        <v>1.0049999999999999</v>
      </c>
      <c r="F37">
        <v>1.0100249999999997</v>
      </c>
      <c r="G37">
        <v>1.0150751249999996</v>
      </c>
      <c r="H37">
        <v>1.0201505006249996</v>
      </c>
      <c r="I37">
        <v>1.0252512531281244</v>
      </c>
      <c r="J37">
        <v>1.030377509393765</v>
      </c>
      <c r="K37">
        <v>1.0355293969407338</v>
      </c>
      <c r="L37">
        <v>1.0407070439254373</v>
      </c>
      <c r="M37">
        <v>1.0459105791450642</v>
      </c>
      <c r="N37">
        <v>1.0511401320407896</v>
      </c>
      <c r="O37">
        <v>1.0563958327009935</v>
      </c>
      <c r="P37">
        <v>1.0616778118644983</v>
      </c>
      <c r="Q37">
        <v>1.0669862009238207</v>
      </c>
      <c r="R37">
        <v>1.0723211319284396</v>
      </c>
      <c r="S37">
        <v>1.0776827375880818</v>
      </c>
      <c r="T37">
        <v>1.083071151276022</v>
      </c>
      <c r="U37">
        <v>1.0884865070324019</v>
      </c>
      <c r="V37">
        <v>1.0939289395675638</v>
      </c>
      <c r="W37">
        <v>1.0993985842654015</v>
      </c>
      <c r="X37">
        <v>1.1048955771867284</v>
      </c>
      <c r="Y37">
        <v>1.1104200550726619</v>
      </c>
      <c r="Z37">
        <v>1.1159721553480251</v>
      </c>
      <c r="AA37">
        <v>1.1215520161247652</v>
      </c>
      <c r="AB37">
        <v>1.1271597762053889</v>
      </c>
      <c r="AC37">
        <v>1.1327955750864158</v>
      </c>
      <c r="AD37">
        <v>1.1384595529618478</v>
      </c>
      <c r="AE37">
        <v>1.1441518507266568</v>
      </c>
      <c r="AF37">
        <v>1.1498726099802901</v>
      </c>
      <c r="AG37">
        <v>1.1556219730301913</v>
      </c>
      <c r="AH37">
        <v>1.1614000828953421</v>
      </c>
      <c r="AI37">
        <v>1.1672070833098187</v>
      </c>
      <c r="AJ37">
        <v>1.1730431187263677</v>
      </c>
      <c r="AK37">
        <v>1.1789083343199993</v>
      </c>
      <c r="AL37">
        <v>1.1848028759915992</v>
      </c>
      <c r="AM37">
        <v>1.1907268903715571</v>
      </c>
      <c r="AN37">
        <v>1.1966805248234147</v>
      </c>
      <c r="AO37">
        <v>1.2026639274475317</v>
      </c>
      <c r="AP37">
        <v>1.2086772470847693</v>
      </c>
      <c r="AQ37">
        <v>1.214720633320193</v>
      </c>
      <c r="AR37">
        <v>1.2207942364867939</v>
      </c>
      <c r="AS37">
        <v>1.2268982076692276</v>
      </c>
      <c r="AT37">
        <v>1.2330326987075737</v>
      </c>
      <c r="AU37">
        <v>1.2391978622011115</v>
      </c>
      <c r="AV37">
        <v>1.2453938515121168</v>
      </c>
      <c r="AW37">
        <v>1.2516208207696773</v>
      </c>
      <c r="AX37">
        <v>1.2578789248735256</v>
      </c>
      <c r="AY37">
        <v>1.264168319497893</v>
      </c>
      <c r="AZ37">
        <v>1.2704891610953823</v>
      </c>
      <c r="BA37">
        <v>1.2768416069008592</v>
      </c>
      <c r="BB37">
        <v>1.2832258149353633</v>
      </c>
      <c r="BC37">
        <v>1.28964194401004</v>
      </c>
      <c r="BD37">
        <v>1.29609015373009</v>
      </c>
      <c r="BE37">
        <v>1.3025706044987404</v>
      </c>
      <c r="BF37">
        <v>1.309083457521234</v>
      </c>
      <c r="BG37">
        <v>1.3156288748088401</v>
      </c>
      <c r="BH37">
        <v>1.3222070191828841</v>
      </c>
      <c r="BI37">
        <v>1.3288180542787984</v>
      </c>
      <c r="BJ37">
        <v>1.3354621445501922</v>
      </c>
      <c r="BK37">
        <v>1.3421394552729429</v>
      </c>
      <c r="BL37">
        <v>1.3488501525493075</v>
      </c>
      <c r="BM37">
        <v>1.3555944033120539</v>
      </c>
      <c r="BN37">
        <v>1.3623723753286141</v>
      </c>
      <c r="BO37">
        <v>1.3691842372052569</v>
      </c>
      <c r="BP37">
        <v>1.3760301583912831</v>
      </c>
      <c r="BQ37">
        <v>1.3829103091832393</v>
      </c>
      <c r="BR37">
        <v>1.3898248607291555</v>
      </c>
      <c r="BS37">
        <v>1.3967739850328011</v>
      </c>
      <c r="BT37">
        <v>1.403757854957965</v>
      </c>
      <c r="BU37">
        <v>1.4107766442327547</v>
      </c>
      <c r="BV37">
        <v>1.4178305274539182</v>
      </c>
      <c r="BW37">
        <v>1.4249196800911876</v>
      </c>
      <c r="BX37">
        <v>1.4320442784916434</v>
      </c>
      <c r="BY37">
        <v>1.4392044998841016</v>
      </c>
      <c r="BZ37">
        <v>1.4464005223835219</v>
      </c>
      <c r="CA37">
        <v>1.4536325249954394</v>
      </c>
      <c r="CB37">
        <v>1.4609006876204165</v>
      </c>
      <c r="CC37">
        <v>1.4682051910585183</v>
      </c>
      <c r="CD37">
        <v>1.4755462170138107</v>
      </c>
      <c r="CE37">
        <v>1.4829239480988796</v>
      </c>
      <c r="CF37">
        <v>1.4903385678393739</v>
      </c>
      <c r="CG37">
        <v>1.4977902606785705</v>
      </c>
      <c r="CH37">
        <v>1.5052792119819631</v>
      </c>
      <c r="CI37">
        <v>1.5128056080418728</v>
      </c>
    </row>
    <row r="38" spans="1:87" x14ac:dyDescent="0.3">
      <c r="A38" s="4" t="s">
        <v>981</v>
      </c>
      <c r="B38" s="4" t="s">
        <v>987</v>
      </c>
      <c r="C38" s="4" t="s">
        <v>1275</v>
      </c>
      <c r="D38">
        <v>1</v>
      </c>
      <c r="E38">
        <v>1.0049999999999999</v>
      </c>
      <c r="F38">
        <v>1.0100249999999997</v>
      </c>
      <c r="G38">
        <v>1.0150751249999996</v>
      </c>
      <c r="H38">
        <v>1.0201505006249996</v>
      </c>
      <c r="I38">
        <v>1.0252512531281244</v>
      </c>
      <c r="J38">
        <v>1.030377509393765</v>
      </c>
      <c r="K38">
        <v>1.0355293969407338</v>
      </c>
      <c r="L38">
        <v>1.0407070439254373</v>
      </c>
      <c r="M38">
        <v>1.0459105791450642</v>
      </c>
      <c r="N38">
        <v>1.0511401320407896</v>
      </c>
      <c r="O38">
        <v>1.0563958327009935</v>
      </c>
      <c r="P38">
        <v>1.0616778118644983</v>
      </c>
      <c r="Q38">
        <v>1.0669862009238207</v>
      </c>
      <c r="R38">
        <v>1.0723211319284396</v>
      </c>
      <c r="S38">
        <v>1.0776827375880818</v>
      </c>
      <c r="T38">
        <v>1.083071151276022</v>
      </c>
      <c r="U38">
        <v>1.0884865070324019</v>
      </c>
      <c r="V38">
        <v>1.0939289395675638</v>
      </c>
      <c r="W38">
        <v>1.0993985842654015</v>
      </c>
      <c r="X38">
        <v>1.1048955771867284</v>
      </c>
      <c r="Y38">
        <v>1.1104200550726619</v>
      </c>
      <c r="Z38">
        <v>1.1159721553480251</v>
      </c>
      <c r="AA38">
        <v>1.1215520161247652</v>
      </c>
      <c r="AB38">
        <v>1.1271597762053889</v>
      </c>
      <c r="AC38">
        <v>1.1327955750864158</v>
      </c>
      <c r="AD38">
        <v>1.1384595529618478</v>
      </c>
      <c r="AE38">
        <v>1.1441518507266568</v>
      </c>
      <c r="AF38">
        <v>1.1498726099802901</v>
      </c>
      <c r="AG38">
        <v>1.1556219730301913</v>
      </c>
      <c r="AH38">
        <v>1.1614000828953421</v>
      </c>
      <c r="AI38">
        <v>1.1672070833098187</v>
      </c>
      <c r="AJ38">
        <v>1.1730431187263677</v>
      </c>
      <c r="AK38">
        <v>1.1789083343199993</v>
      </c>
      <c r="AL38">
        <v>1.1848028759915992</v>
      </c>
      <c r="AM38">
        <v>1.1907268903715571</v>
      </c>
      <c r="AN38">
        <v>1.1966805248234147</v>
      </c>
      <c r="AO38">
        <v>1.2026639274475317</v>
      </c>
      <c r="AP38">
        <v>1.2086772470847693</v>
      </c>
      <c r="AQ38">
        <v>1.214720633320193</v>
      </c>
      <c r="AR38">
        <v>1.2207942364867939</v>
      </c>
      <c r="AS38">
        <v>1.2268982076692276</v>
      </c>
      <c r="AT38">
        <v>1.2330326987075737</v>
      </c>
      <c r="AU38">
        <v>1.2391978622011115</v>
      </c>
      <c r="AV38">
        <v>1.2453938515121168</v>
      </c>
      <c r="AW38">
        <v>1.2516208207696773</v>
      </c>
      <c r="AX38">
        <v>1.2578789248735256</v>
      </c>
      <c r="AY38">
        <v>1.264168319497893</v>
      </c>
      <c r="AZ38">
        <v>1.2704891610953823</v>
      </c>
      <c r="BA38">
        <v>1.2768416069008592</v>
      </c>
      <c r="BB38">
        <v>1.2832258149353633</v>
      </c>
      <c r="BC38">
        <v>1.28964194401004</v>
      </c>
      <c r="BD38">
        <v>1.29609015373009</v>
      </c>
      <c r="BE38">
        <v>1.3025706044987404</v>
      </c>
      <c r="BF38">
        <v>1.309083457521234</v>
      </c>
      <c r="BG38">
        <v>1.3156288748088401</v>
      </c>
      <c r="BH38">
        <v>1.3222070191828841</v>
      </c>
      <c r="BI38">
        <v>1.3288180542787984</v>
      </c>
      <c r="BJ38">
        <v>1.3354621445501922</v>
      </c>
      <c r="BK38">
        <v>1.3421394552729429</v>
      </c>
      <c r="BL38">
        <v>1.3488501525493075</v>
      </c>
      <c r="BM38">
        <v>1.3555944033120539</v>
      </c>
      <c r="BN38">
        <v>1.3623723753286141</v>
      </c>
      <c r="BO38">
        <v>1.3691842372052569</v>
      </c>
      <c r="BP38">
        <v>1.3760301583912831</v>
      </c>
      <c r="BQ38">
        <v>1.3829103091832393</v>
      </c>
      <c r="BR38">
        <v>1.3898248607291555</v>
      </c>
      <c r="BS38">
        <v>1.3967739850328011</v>
      </c>
      <c r="BT38">
        <v>1.403757854957965</v>
      </c>
      <c r="BU38">
        <v>1.4107766442327547</v>
      </c>
      <c r="BV38">
        <v>1.4178305274539182</v>
      </c>
      <c r="BW38">
        <v>1.4249196800911876</v>
      </c>
      <c r="BX38">
        <v>1.4320442784916434</v>
      </c>
      <c r="BY38">
        <v>1.4392044998841016</v>
      </c>
      <c r="BZ38">
        <v>1.4464005223835219</v>
      </c>
      <c r="CA38">
        <v>1.4536325249954394</v>
      </c>
      <c r="CB38">
        <v>1.4609006876204165</v>
      </c>
      <c r="CC38">
        <v>1.4682051910585183</v>
      </c>
      <c r="CD38">
        <v>1.4755462170138107</v>
      </c>
      <c r="CE38">
        <v>1.4829239480988796</v>
      </c>
      <c r="CF38">
        <v>1.4903385678393739</v>
      </c>
      <c r="CG38">
        <v>1.4977902606785705</v>
      </c>
      <c r="CH38">
        <v>1.5052792119819631</v>
      </c>
      <c r="CI38">
        <v>1.5128056080418728</v>
      </c>
    </row>
    <row r="39" spans="1:87" x14ac:dyDescent="0.3">
      <c r="A39" s="4" t="s">
        <v>981</v>
      </c>
      <c r="B39" s="4" t="s">
        <v>987</v>
      </c>
      <c r="C39" s="4" t="s">
        <v>1276</v>
      </c>
      <c r="D39">
        <v>1</v>
      </c>
      <c r="E39">
        <v>1.0049999999999999</v>
      </c>
      <c r="F39">
        <v>1.0100249999999997</v>
      </c>
      <c r="G39">
        <v>1.0150751249999996</v>
      </c>
      <c r="H39">
        <v>1.0201505006249996</v>
      </c>
      <c r="I39">
        <v>1.0252512531281244</v>
      </c>
      <c r="J39">
        <v>1.030377509393765</v>
      </c>
      <c r="K39">
        <v>1.0355293969407338</v>
      </c>
      <c r="L39">
        <v>1.0407070439254373</v>
      </c>
      <c r="M39">
        <v>1.0459105791450642</v>
      </c>
      <c r="N39">
        <v>1.0511401320407896</v>
      </c>
      <c r="O39">
        <v>1.0563958327009935</v>
      </c>
      <c r="P39">
        <v>1.0616778118644983</v>
      </c>
      <c r="Q39">
        <v>1.0669862009238207</v>
      </c>
      <c r="R39">
        <v>1.0723211319284396</v>
      </c>
      <c r="S39">
        <v>1.0776827375880818</v>
      </c>
      <c r="T39">
        <v>1.083071151276022</v>
      </c>
      <c r="U39">
        <v>1.0884865070324019</v>
      </c>
      <c r="V39">
        <v>1.0939289395675638</v>
      </c>
      <c r="W39">
        <v>1.0993985842654015</v>
      </c>
      <c r="X39">
        <v>1.1048955771867284</v>
      </c>
      <c r="Y39">
        <v>1.1104200550726619</v>
      </c>
      <c r="Z39">
        <v>1.1159721553480251</v>
      </c>
      <c r="AA39">
        <v>1.1215520161247652</v>
      </c>
      <c r="AB39">
        <v>1.1271597762053889</v>
      </c>
      <c r="AC39">
        <v>1.1327955750864158</v>
      </c>
      <c r="AD39">
        <v>1.1384595529618478</v>
      </c>
      <c r="AE39">
        <v>1.1441518507266568</v>
      </c>
      <c r="AF39">
        <v>1.1498726099802901</v>
      </c>
      <c r="AG39">
        <v>1.1556219730301913</v>
      </c>
      <c r="AH39">
        <v>1.1614000828953421</v>
      </c>
      <c r="AI39">
        <v>1.1672070833098187</v>
      </c>
      <c r="AJ39">
        <v>1.1730431187263677</v>
      </c>
      <c r="AK39">
        <v>1.1789083343199993</v>
      </c>
      <c r="AL39">
        <v>1.1848028759915992</v>
      </c>
      <c r="AM39">
        <v>1.1907268903715571</v>
      </c>
      <c r="AN39">
        <v>1.1966805248234147</v>
      </c>
      <c r="AO39">
        <v>1.2026639274475317</v>
      </c>
      <c r="AP39">
        <v>1.2086772470847693</v>
      </c>
      <c r="AQ39">
        <v>1.214720633320193</v>
      </c>
      <c r="AR39">
        <v>1.2207942364867939</v>
      </c>
      <c r="AS39">
        <v>1.2268982076692276</v>
      </c>
      <c r="AT39">
        <v>1.2330326987075737</v>
      </c>
      <c r="AU39">
        <v>1.2391978622011115</v>
      </c>
      <c r="AV39">
        <v>1.2453938515121168</v>
      </c>
      <c r="AW39">
        <v>1.2516208207696773</v>
      </c>
      <c r="AX39">
        <v>1.2578789248735256</v>
      </c>
      <c r="AY39">
        <v>1.264168319497893</v>
      </c>
      <c r="AZ39">
        <v>1.2704891610953823</v>
      </c>
      <c r="BA39">
        <v>1.2768416069008592</v>
      </c>
      <c r="BB39">
        <v>1.2832258149353633</v>
      </c>
      <c r="BC39">
        <v>1.28964194401004</v>
      </c>
      <c r="BD39">
        <v>1.29609015373009</v>
      </c>
      <c r="BE39">
        <v>1.3025706044987404</v>
      </c>
      <c r="BF39">
        <v>1.309083457521234</v>
      </c>
      <c r="BG39">
        <v>1.3156288748088401</v>
      </c>
      <c r="BH39">
        <v>1.3222070191828841</v>
      </c>
      <c r="BI39">
        <v>1.3288180542787984</v>
      </c>
      <c r="BJ39">
        <v>1.3354621445501922</v>
      </c>
      <c r="BK39">
        <v>1.3421394552729429</v>
      </c>
      <c r="BL39">
        <v>1.3488501525493075</v>
      </c>
      <c r="BM39">
        <v>1.3555944033120539</v>
      </c>
      <c r="BN39">
        <v>1.3623723753286141</v>
      </c>
      <c r="BO39">
        <v>1.3691842372052569</v>
      </c>
      <c r="BP39">
        <v>1.3760301583912831</v>
      </c>
      <c r="BQ39">
        <v>1.3829103091832393</v>
      </c>
      <c r="BR39">
        <v>1.3898248607291555</v>
      </c>
      <c r="BS39">
        <v>1.3967739850328011</v>
      </c>
      <c r="BT39">
        <v>1.403757854957965</v>
      </c>
      <c r="BU39">
        <v>1.4107766442327547</v>
      </c>
      <c r="BV39">
        <v>1.4178305274539182</v>
      </c>
      <c r="BW39">
        <v>1.4249196800911876</v>
      </c>
      <c r="BX39">
        <v>1.4320442784916434</v>
      </c>
      <c r="BY39">
        <v>1.4392044998841016</v>
      </c>
      <c r="BZ39">
        <v>1.4464005223835219</v>
      </c>
      <c r="CA39">
        <v>1.4536325249954394</v>
      </c>
      <c r="CB39">
        <v>1.4609006876204165</v>
      </c>
      <c r="CC39">
        <v>1.4682051910585183</v>
      </c>
      <c r="CD39">
        <v>1.4755462170138107</v>
      </c>
      <c r="CE39">
        <v>1.4829239480988796</v>
      </c>
      <c r="CF39">
        <v>1.4903385678393739</v>
      </c>
      <c r="CG39">
        <v>1.4977902606785705</v>
      </c>
      <c r="CH39">
        <v>1.5052792119819631</v>
      </c>
      <c r="CI39">
        <v>1.5128056080418728</v>
      </c>
    </row>
    <row r="40" spans="1:87" x14ac:dyDescent="0.3">
      <c r="A40" s="4" t="s">
        <v>981</v>
      </c>
      <c r="B40" s="4" t="s">
        <v>987</v>
      </c>
      <c r="C40" s="4" t="s">
        <v>1277</v>
      </c>
      <c r="D40">
        <v>1</v>
      </c>
      <c r="E40">
        <v>1.0049999999999999</v>
      </c>
      <c r="F40">
        <v>1.0100249999999997</v>
      </c>
      <c r="G40">
        <v>1.0150751249999996</v>
      </c>
      <c r="H40">
        <v>1.0201505006249996</v>
      </c>
      <c r="I40">
        <v>1.0252512531281244</v>
      </c>
      <c r="J40">
        <v>1.030377509393765</v>
      </c>
      <c r="K40">
        <v>1.0355293969407338</v>
      </c>
      <c r="L40">
        <v>1.0407070439254373</v>
      </c>
      <c r="M40">
        <v>1.0459105791450642</v>
      </c>
      <c r="N40">
        <v>1.0511401320407896</v>
      </c>
      <c r="O40">
        <v>1.0563958327009935</v>
      </c>
      <c r="P40">
        <v>1.0616778118644983</v>
      </c>
      <c r="Q40">
        <v>1.0669862009238207</v>
      </c>
      <c r="R40">
        <v>1.0723211319284396</v>
      </c>
      <c r="S40">
        <v>1.0776827375880818</v>
      </c>
      <c r="T40">
        <v>1.083071151276022</v>
      </c>
      <c r="U40">
        <v>1.0884865070324019</v>
      </c>
      <c r="V40">
        <v>1.0939289395675638</v>
      </c>
      <c r="W40">
        <v>1.0993985842654015</v>
      </c>
      <c r="X40">
        <v>1.1048955771867284</v>
      </c>
      <c r="Y40">
        <v>1.1104200550726619</v>
      </c>
      <c r="Z40">
        <v>1.1159721553480251</v>
      </c>
      <c r="AA40">
        <v>1.1215520161247652</v>
      </c>
      <c r="AB40">
        <v>1.1271597762053889</v>
      </c>
      <c r="AC40">
        <v>1.1327955750864158</v>
      </c>
      <c r="AD40">
        <v>1.1384595529618478</v>
      </c>
      <c r="AE40">
        <v>1.1441518507266568</v>
      </c>
      <c r="AF40">
        <v>1.1498726099802901</v>
      </c>
      <c r="AG40">
        <v>1.1556219730301913</v>
      </c>
      <c r="AH40">
        <v>1.1614000828953421</v>
      </c>
      <c r="AI40">
        <v>1.1672070833098187</v>
      </c>
      <c r="AJ40">
        <v>1.1730431187263677</v>
      </c>
      <c r="AK40">
        <v>1.1789083343199993</v>
      </c>
      <c r="AL40">
        <v>1.1848028759915992</v>
      </c>
      <c r="AM40">
        <v>1.1907268903715571</v>
      </c>
      <c r="AN40">
        <v>1.1966805248234147</v>
      </c>
      <c r="AO40">
        <v>1.2026639274475317</v>
      </c>
      <c r="AP40">
        <v>1.2086772470847693</v>
      </c>
      <c r="AQ40">
        <v>1.214720633320193</v>
      </c>
      <c r="AR40">
        <v>1.2207942364867939</v>
      </c>
      <c r="AS40">
        <v>1.2268982076692276</v>
      </c>
      <c r="AT40">
        <v>1.2330326987075737</v>
      </c>
      <c r="AU40">
        <v>1.2391978622011115</v>
      </c>
      <c r="AV40">
        <v>1.2453938515121168</v>
      </c>
      <c r="AW40">
        <v>1.2516208207696773</v>
      </c>
      <c r="AX40">
        <v>1.2578789248735256</v>
      </c>
      <c r="AY40">
        <v>1.264168319497893</v>
      </c>
      <c r="AZ40">
        <v>1.2704891610953823</v>
      </c>
      <c r="BA40">
        <v>1.2768416069008592</v>
      </c>
      <c r="BB40">
        <v>1.2832258149353633</v>
      </c>
      <c r="BC40">
        <v>1.28964194401004</v>
      </c>
      <c r="BD40">
        <v>1.29609015373009</v>
      </c>
      <c r="BE40">
        <v>1.3025706044987404</v>
      </c>
      <c r="BF40">
        <v>1.309083457521234</v>
      </c>
      <c r="BG40">
        <v>1.3156288748088401</v>
      </c>
      <c r="BH40">
        <v>1.3222070191828841</v>
      </c>
      <c r="BI40">
        <v>1.3288180542787984</v>
      </c>
      <c r="BJ40">
        <v>1.3354621445501922</v>
      </c>
      <c r="BK40">
        <v>1.3421394552729429</v>
      </c>
      <c r="BL40">
        <v>1.3488501525493075</v>
      </c>
      <c r="BM40">
        <v>1.3555944033120539</v>
      </c>
      <c r="BN40">
        <v>1.3623723753286141</v>
      </c>
      <c r="BO40">
        <v>1.3691842372052569</v>
      </c>
      <c r="BP40">
        <v>1.3760301583912831</v>
      </c>
      <c r="BQ40">
        <v>1.3829103091832393</v>
      </c>
      <c r="BR40">
        <v>1.3898248607291555</v>
      </c>
      <c r="BS40">
        <v>1.3967739850328011</v>
      </c>
      <c r="BT40">
        <v>1.403757854957965</v>
      </c>
      <c r="BU40">
        <v>1.4107766442327547</v>
      </c>
      <c r="BV40">
        <v>1.4178305274539182</v>
      </c>
      <c r="BW40">
        <v>1.4249196800911876</v>
      </c>
      <c r="BX40">
        <v>1.4320442784916434</v>
      </c>
      <c r="BY40">
        <v>1.4392044998841016</v>
      </c>
      <c r="BZ40">
        <v>1.4464005223835219</v>
      </c>
      <c r="CA40">
        <v>1.4536325249954394</v>
      </c>
      <c r="CB40">
        <v>1.4609006876204165</v>
      </c>
      <c r="CC40">
        <v>1.4682051910585183</v>
      </c>
      <c r="CD40">
        <v>1.4755462170138107</v>
      </c>
      <c r="CE40">
        <v>1.4829239480988796</v>
      </c>
      <c r="CF40">
        <v>1.4903385678393739</v>
      </c>
      <c r="CG40">
        <v>1.4977902606785705</v>
      </c>
      <c r="CH40">
        <v>1.5052792119819631</v>
      </c>
      <c r="CI40">
        <v>1.5128056080418728</v>
      </c>
    </row>
    <row r="41" spans="1:87" x14ac:dyDescent="0.3">
      <c r="A41" s="4" t="s">
        <v>981</v>
      </c>
      <c r="B41" s="4" t="s">
        <v>987</v>
      </c>
      <c r="C41" s="4" t="s">
        <v>1278</v>
      </c>
      <c r="D41">
        <v>1</v>
      </c>
      <c r="E41">
        <v>1.0049999999999999</v>
      </c>
      <c r="F41">
        <v>1.0100249999999997</v>
      </c>
      <c r="G41">
        <v>1.0150751249999996</v>
      </c>
      <c r="H41">
        <v>1.0201505006249996</v>
      </c>
      <c r="I41">
        <v>1.0252512531281244</v>
      </c>
      <c r="J41">
        <v>1.030377509393765</v>
      </c>
      <c r="K41">
        <v>1.0355293969407338</v>
      </c>
      <c r="L41">
        <v>1.0407070439254373</v>
      </c>
      <c r="M41">
        <v>1.0459105791450642</v>
      </c>
      <c r="N41">
        <v>1.0511401320407896</v>
      </c>
      <c r="O41">
        <v>1.0563958327009935</v>
      </c>
      <c r="P41">
        <v>1.0616778118644983</v>
      </c>
      <c r="Q41">
        <v>1.0669862009238207</v>
      </c>
      <c r="R41">
        <v>1.0723211319284396</v>
      </c>
      <c r="S41">
        <v>1.0776827375880818</v>
      </c>
      <c r="T41">
        <v>1.083071151276022</v>
      </c>
      <c r="U41">
        <v>1.0884865070324019</v>
      </c>
      <c r="V41">
        <v>1.0939289395675638</v>
      </c>
      <c r="W41">
        <v>1.0993985842654015</v>
      </c>
      <c r="X41">
        <v>1.1048955771867284</v>
      </c>
      <c r="Y41">
        <v>1.1104200550726619</v>
      </c>
      <c r="Z41">
        <v>1.1159721553480251</v>
      </c>
      <c r="AA41">
        <v>1.1215520161247652</v>
      </c>
      <c r="AB41">
        <v>1.1271597762053889</v>
      </c>
      <c r="AC41">
        <v>1.1327955750864158</v>
      </c>
      <c r="AD41">
        <v>1.1384595529618478</v>
      </c>
      <c r="AE41">
        <v>1.1441518507266568</v>
      </c>
      <c r="AF41">
        <v>1.1498726099802901</v>
      </c>
      <c r="AG41">
        <v>1.1556219730301913</v>
      </c>
      <c r="AH41">
        <v>1.1614000828953421</v>
      </c>
      <c r="AI41">
        <v>1.1672070833098187</v>
      </c>
      <c r="AJ41">
        <v>1.1730431187263677</v>
      </c>
      <c r="AK41">
        <v>1.1789083343199993</v>
      </c>
      <c r="AL41">
        <v>1.1848028759915992</v>
      </c>
      <c r="AM41">
        <v>1.1907268903715571</v>
      </c>
      <c r="AN41">
        <v>1.1966805248234147</v>
      </c>
      <c r="AO41">
        <v>1.2026639274475317</v>
      </c>
      <c r="AP41">
        <v>1.2086772470847693</v>
      </c>
      <c r="AQ41">
        <v>1.214720633320193</v>
      </c>
      <c r="AR41">
        <v>1.2207942364867939</v>
      </c>
      <c r="AS41">
        <v>1.2268982076692276</v>
      </c>
      <c r="AT41">
        <v>1.2330326987075737</v>
      </c>
      <c r="AU41">
        <v>1.2391978622011115</v>
      </c>
      <c r="AV41">
        <v>1.2453938515121168</v>
      </c>
      <c r="AW41">
        <v>1.2516208207696773</v>
      </c>
      <c r="AX41">
        <v>1.2578789248735256</v>
      </c>
      <c r="AY41">
        <v>1.264168319497893</v>
      </c>
      <c r="AZ41">
        <v>1.2704891610953823</v>
      </c>
      <c r="BA41">
        <v>1.2768416069008592</v>
      </c>
      <c r="BB41">
        <v>1.2832258149353633</v>
      </c>
      <c r="BC41">
        <v>1.28964194401004</v>
      </c>
      <c r="BD41">
        <v>1.29609015373009</v>
      </c>
      <c r="BE41">
        <v>1.3025706044987404</v>
      </c>
      <c r="BF41">
        <v>1.309083457521234</v>
      </c>
      <c r="BG41">
        <v>1.3156288748088401</v>
      </c>
      <c r="BH41">
        <v>1.3222070191828841</v>
      </c>
      <c r="BI41">
        <v>1.3288180542787984</v>
      </c>
      <c r="BJ41">
        <v>1.3354621445501922</v>
      </c>
      <c r="BK41">
        <v>1.3421394552729429</v>
      </c>
      <c r="BL41">
        <v>1.3488501525493075</v>
      </c>
      <c r="BM41">
        <v>1.3555944033120539</v>
      </c>
      <c r="BN41">
        <v>1.3623723753286141</v>
      </c>
      <c r="BO41">
        <v>1.3691842372052569</v>
      </c>
      <c r="BP41">
        <v>1.3760301583912831</v>
      </c>
      <c r="BQ41">
        <v>1.3829103091832393</v>
      </c>
      <c r="BR41">
        <v>1.3898248607291555</v>
      </c>
      <c r="BS41">
        <v>1.3967739850328011</v>
      </c>
      <c r="BT41">
        <v>1.403757854957965</v>
      </c>
      <c r="BU41">
        <v>1.4107766442327547</v>
      </c>
      <c r="BV41">
        <v>1.4178305274539182</v>
      </c>
      <c r="BW41">
        <v>1.4249196800911876</v>
      </c>
      <c r="BX41">
        <v>1.4320442784916434</v>
      </c>
      <c r="BY41">
        <v>1.4392044998841016</v>
      </c>
      <c r="BZ41">
        <v>1.4464005223835219</v>
      </c>
      <c r="CA41">
        <v>1.4536325249954394</v>
      </c>
      <c r="CB41">
        <v>1.4609006876204165</v>
      </c>
      <c r="CC41">
        <v>1.4682051910585183</v>
      </c>
      <c r="CD41">
        <v>1.4755462170138107</v>
      </c>
      <c r="CE41">
        <v>1.4829239480988796</v>
      </c>
      <c r="CF41">
        <v>1.4903385678393739</v>
      </c>
      <c r="CG41">
        <v>1.4977902606785705</v>
      </c>
      <c r="CH41">
        <v>1.5052792119819631</v>
      </c>
      <c r="CI41">
        <v>1.5128056080418728</v>
      </c>
    </row>
    <row r="42" spans="1:87" x14ac:dyDescent="0.3">
      <c r="A42" s="4" t="s">
        <v>981</v>
      </c>
      <c r="B42" s="4" t="s">
        <v>987</v>
      </c>
      <c r="C42" s="4" t="s">
        <v>1279</v>
      </c>
      <c r="D42">
        <v>1</v>
      </c>
      <c r="E42">
        <v>1.0049999999999999</v>
      </c>
      <c r="F42">
        <v>1.0100249999999997</v>
      </c>
      <c r="G42">
        <v>1.0150751249999996</v>
      </c>
      <c r="H42">
        <v>1.0201505006249996</v>
      </c>
      <c r="I42">
        <v>1.0252512531281244</v>
      </c>
      <c r="J42">
        <v>1.030377509393765</v>
      </c>
      <c r="K42">
        <v>1.0355293969407338</v>
      </c>
      <c r="L42">
        <v>1.0407070439254373</v>
      </c>
      <c r="M42">
        <v>1.0459105791450642</v>
      </c>
      <c r="N42">
        <v>1.0511401320407896</v>
      </c>
      <c r="O42">
        <v>1.0563958327009935</v>
      </c>
      <c r="P42">
        <v>1.0616778118644983</v>
      </c>
      <c r="Q42">
        <v>1.0669862009238207</v>
      </c>
      <c r="R42">
        <v>1.0723211319284396</v>
      </c>
      <c r="S42">
        <v>1.0776827375880818</v>
      </c>
      <c r="T42">
        <v>1.083071151276022</v>
      </c>
      <c r="U42">
        <v>1.0884865070324019</v>
      </c>
      <c r="V42">
        <v>1.0939289395675638</v>
      </c>
      <c r="W42">
        <v>1.0993985842654015</v>
      </c>
      <c r="X42">
        <v>1.1048955771867284</v>
      </c>
      <c r="Y42">
        <v>1.1104200550726619</v>
      </c>
      <c r="Z42">
        <v>1.1159721553480251</v>
      </c>
      <c r="AA42">
        <v>1.1215520161247652</v>
      </c>
      <c r="AB42">
        <v>1.1271597762053889</v>
      </c>
      <c r="AC42">
        <v>1.1327955750864158</v>
      </c>
      <c r="AD42">
        <v>1.1384595529618478</v>
      </c>
      <c r="AE42">
        <v>1.1441518507266568</v>
      </c>
      <c r="AF42">
        <v>1.1498726099802901</v>
      </c>
      <c r="AG42">
        <v>1.1556219730301913</v>
      </c>
      <c r="AH42">
        <v>1.1614000828953421</v>
      </c>
      <c r="AI42">
        <v>1.1672070833098187</v>
      </c>
      <c r="AJ42">
        <v>1.1730431187263677</v>
      </c>
      <c r="AK42">
        <v>1.1789083343199993</v>
      </c>
      <c r="AL42">
        <v>1.1848028759915992</v>
      </c>
      <c r="AM42">
        <v>1.1907268903715571</v>
      </c>
      <c r="AN42">
        <v>1.1966805248234147</v>
      </c>
      <c r="AO42">
        <v>1.2026639274475317</v>
      </c>
      <c r="AP42">
        <v>1.2086772470847693</v>
      </c>
      <c r="AQ42">
        <v>1.214720633320193</v>
      </c>
      <c r="AR42">
        <v>1.2207942364867939</v>
      </c>
      <c r="AS42">
        <v>1.2268982076692276</v>
      </c>
      <c r="AT42">
        <v>1.2330326987075737</v>
      </c>
      <c r="AU42">
        <v>1.2391978622011115</v>
      </c>
      <c r="AV42">
        <v>1.2453938515121168</v>
      </c>
      <c r="AW42">
        <v>1.2516208207696773</v>
      </c>
      <c r="AX42">
        <v>1.2578789248735256</v>
      </c>
      <c r="AY42">
        <v>1.264168319497893</v>
      </c>
      <c r="AZ42">
        <v>1.2704891610953823</v>
      </c>
      <c r="BA42">
        <v>1.2768416069008592</v>
      </c>
      <c r="BB42">
        <v>1.2832258149353633</v>
      </c>
      <c r="BC42">
        <v>1.28964194401004</v>
      </c>
      <c r="BD42">
        <v>1.29609015373009</v>
      </c>
      <c r="BE42">
        <v>1.3025706044987404</v>
      </c>
      <c r="BF42">
        <v>1.309083457521234</v>
      </c>
      <c r="BG42">
        <v>1.3156288748088401</v>
      </c>
      <c r="BH42">
        <v>1.3222070191828841</v>
      </c>
      <c r="BI42">
        <v>1.3288180542787984</v>
      </c>
      <c r="BJ42">
        <v>1.3354621445501922</v>
      </c>
      <c r="BK42">
        <v>1.3421394552729429</v>
      </c>
      <c r="BL42">
        <v>1.3488501525493075</v>
      </c>
      <c r="BM42">
        <v>1.3555944033120539</v>
      </c>
      <c r="BN42">
        <v>1.3623723753286141</v>
      </c>
      <c r="BO42">
        <v>1.3691842372052569</v>
      </c>
      <c r="BP42">
        <v>1.3760301583912831</v>
      </c>
      <c r="BQ42">
        <v>1.3829103091832393</v>
      </c>
      <c r="BR42">
        <v>1.3898248607291555</v>
      </c>
      <c r="BS42">
        <v>1.3967739850328011</v>
      </c>
      <c r="BT42">
        <v>1.403757854957965</v>
      </c>
      <c r="BU42">
        <v>1.4107766442327547</v>
      </c>
      <c r="BV42">
        <v>1.4178305274539182</v>
      </c>
      <c r="BW42">
        <v>1.4249196800911876</v>
      </c>
      <c r="BX42">
        <v>1.4320442784916434</v>
      </c>
      <c r="BY42">
        <v>1.4392044998841016</v>
      </c>
      <c r="BZ42">
        <v>1.4464005223835219</v>
      </c>
      <c r="CA42">
        <v>1.4536325249954394</v>
      </c>
      <c r="CB42">
        <v>1.4609006876204165</v>
      </c>
      <c r="CC42">
        <v>1.4682051910585183</v>
      </c>
      <c r="CD42">
        <v>1.4755462170138107</v>
      </c>
      <c r="CE42">
        <v>1.4829239480988796</v>
      </c>
      <c r="CF42">
        <v>1.4903385678393739</v>
      </c>
      <c r="CG42">
        <v>1.4977902606785705</v>
      </c>
      <c r="CH42">
        <v>1.5052792119819631</v>
      </c>
      <c r="CI42">
        <v>1.5128056080418728</v>
      </c>
    </row>
    <row r="43" spans="1:87" x14ac:dyDescent="0.3">
      <c r="A43" s="4" t="s">
        <v>981</v>
      </c>
      <c r="B43" s="4" t="s">
        <v>987</v>
      </c>
      <c r="C43" s="4" t="s">
        <v>1280</v>
      </c>
      <c r="D43">
        <v>1</v>
      </c>
      <c r="E43">
        <v>1.0049999999999999</v>
      </c>
      <c r="F43">
        <v>1.0100249999999997</v>
      </c>
      <c r="G43">
        <v>1.0150751249999996</v>
      </c>
      <c r="H43">
        <v>1.0201505006249996</v>
      </c>
      <c r="I43">
        <v>1.0252512531281244</v>
      </c>
      <c r="J43">
        <v>1.030377509393765</v>
      </c>
      <c r="K43">
        <v>1.0355293969407338</v>
      </c>
      <c r="L43">
        <v>1.0407070439254373</v>
      </c>
      <c r="M43">
        <v>1.0459105791450642</v>
      </c>
      <c r="N43">
        <v>1.0511401320407896</v>
      </c>
      <c r="O43">
        <v>1.0563958327009935</v>
      </c>
      <c r="P43">
        <v>1.0616778118644983</v>
      </c>
      <c r="Q43">
        <v>1.0669862009238207</v>
      </c>
      <c r="R43">
        <v>1.0723211319284396</v>
      </c>
      <c r="S43">
        <v>1.0776827375880818</v>
      </c>
      <c r="T43">
        <v>1.083071151276022</v>
      </c>
      <c r="U43">
        <v>1.0884865070324019</v>
      </c>
      <c r="V43">
        <v>1.0939289395675638</v>
      </c>
      <c r="W43">
        <v>1.0993985842654015</v>
      </c>
      <c r="X43">
        <v>1.1048955771867284</v>
      </c>
      <c r="Y43">
        <v>1.1104200550726619</v>
      </c>
      <c r="Z43">
        <v>1.1159721553480251</v>
      </c>
      <c r="AA43">
        <v>1.1215520161247652</v>
      </c>
      <c r="AB43">
        <v>1.1271597762053889</v>
      </c>
      <c r="AC43">
        <v>1.1327955750864158</v>
      </c>
      <c r="AD43">
        <v>1.1384595529618478</v>
      </c>
      <c r="AE43">
        <v>1.1441518507266568</v>
      </c>
      <c r="AF43">
        <v>1.1498726099802901</v>
      </c>
      <c r="AG43">
        <v>1.1556219730301913</v>
      </c>
      <c r="AH43">
        <v>1.1614000828953421</v>
      </c>
      <c r="AI43">
        <v>1.1672070833098187</v>
      </c>
      <c r="AJ43">
        <v>1.1730431187263677</v>
      </c>
      <c r="AK43">
        <v>1.1789083343199993</v>
      </c>
      <c r="AL43">
        <v>1.1848028759915992</v>
      </c>
      <c r="AM43">
        <v>1.1907268903715571</v>
      </c>
      <c r="AN43">
        <v>1.1966805248234147</v>
      </c>
      <c r="AO43">
        <v>1.2026639274475317</v>
      </c>
      <c r="AP43">
        <v>1.2086772470847693</v>
      </c>
      <c r="AQ43">
        <v>1.214720633320193</v>
      </c>
      <c r="AR43">
        <v>1.2207942364867939</v>
      </c>
      <c r="AS43">
        <v>1.2268982076692276</v>
      </c>
      <c r="AT43">
        <v>1.2330326987075737</v>
      </c>
      <c r="AU43">
        <v>1.2391978622011115</v>
      </c>
      <c r="AV43">
        <v>1.2453938515121168</v>
      </c>
      <c r="AW43">
        <v>1.2516208207696773</v>
      </c>
      <c r="AX43">
        <v>1.2578789248735256</v>
      </c>
      <c r="AY43">
        <v>1.264168319497893</v>
      </c>
      <c r="AZ43">
        <v>1.2704891610953823</v>
      </c>
      <c r="BA43">
        <v>1.2768416069008592</v>
      </c>
      <c r="BB43">
        <v>1.2832258149353633</v>
      </c>
      <c r="BC43">
        <v>1.28964194401004</v>
      </c>
      <c r="BD43">
        <v>1.29609015373009</v>
      </c>
      <c r="BE43">
        <v>1.3025706044987404</v>
      </c>
      <c r="BF43">
        <v>1.309083457521234</v>
      </c>
      <c r="BG43">
        <v>1.3156288748088401</v>
      </c>
      <c r="BH43">
        <v>1.3222070191828841</v>
      </c>
      <c r="BI43">
        <v>1.3288180542787984</v>
      </c>
      <c r="BJ43">
        <v>1.3354621445501922</v>
      </c>
      <c r="BK43">
        <v>1.3421394552729429</v>
      </c>
      <c r="BL43">
        <v>1.3488501525493075</v>
      </c>
      <c r="BM43">
        <v>1.3555944033120539</v>
      </c>
      <c r="BN43">
        <v>1.3623723753286141</v>
      </c>
      <c r="BO43">
        <v>1.3691842372052569</v>
      </c>
      <c r="BP43">
        <v>1.3760301583912831</v>
      </c>
      <c r="BQ43">
        <v>1.3829103091832393</v>
      </c>
      <c r="BR43">
        <v>1.3898248607291555</v>
      </c>
      <c r="BS43">
        <v>1.3967739850328011</v>
      </c>
      <c r="BT43">
        <v>1.403757854957965</v>
      </c>
      <c r="BU43">
        <v>1.4107766442327547</v>
      </c>
      <c r="BV43">
        <v>1.4178305274539182</v>
      </c>
      <c r="BW43">
        <v>1.4249196800911876</v>
      </c>
      <c r="BX43">
        <v>1.4320442784916434</v>
      </c>
      <c r="BY43">
        <v>1.4392044998841016</v>
      </c>
      <c r="BZ43">
        <v>1.4464005223835219</v>
      </c>
      <c r="CA43">
        <v>1.4536325249954394</v>
      </c>
      <c r="CB43">
        <v>1.4609006876204165</v>
      </c>
      <c r="CC43">
        <v>1.4682051910585183</v>
      </c>
      <c r="CD43">
        <v>1.4755462170138107</v>
      </c>
      <c r="CE43">
        <v>1.4829239480988796</v>
      </c>
      <c r="CF43">
        <v>1.4903385678393739</v>
      </c>
      <c r="CG43">
        <v>1.4977902606785705</v>
      </c>
      <c r="CH43">
        <v>1.5052792119819631</v>
      </c>
      <c r="CI43">
        <v>1.5128056080418728</v>
      </c>
    </row>
    <row r="44" spans="1:87" x14ac:dyDescent="0.3">
      <c r="A44" s="4" t="s">
        <v>981</v>
      </c>
      <c r="B44" s="4" t="s">
        <v>987</v>
      </c>
      <c r="C44" s="4" t="s">
        <v>1281</v>
      </c>
      <c r="D44">
        <v>1</v>
      </c>
      <c r="E44">
        <v>1.0049999999999999</v>
      </c>
      <c r="F44">
        <v>1.0100249999999997</v>
      </c>
      <c r="G44">
        <v>1.0150751249999996</v>
      </c>
      <c r="H44">
        <v>1.0201505006249996</v>
      </c>
      <c r="I44">
        <v>1.0252512531281244</v>
      </c>
      <c r="J44">
        <v>1.030377509393765</v>
      </c>
      <c r="K44">
        <v>1.0355293969407338</v>
      </c>
      <c r="L44">
        <v>1.0407070439254373</v>
      </c>
      <c r="M44">
        <v>1.0459105791450642</v>
      </c>
      <c r="N44">
        <v>1.0511401320407896</v>
      </c>
      <c r="O44">
        <v>1.0563958327009935</v>
      </c>
      <c r="P44">
        <v>1.0616778118644983</v>
      </c>
      <c r="Q44">
        <v>1.0669862009238207</v>
      </c>
      <c r="R44">
        <v>1.0723211319284396</v>
      </c>
      <c r="S44">
        <v>1.0776827375880818</v>
      </c>
      <c r="T44">
        <v>1.083071151276022</v>
      </c>
      <c r="U44">
        <v>1.0884865070324019</v>
      </c>
      <c r="V44">
        <v>1.0939289395675638</v>
      </c>
      <c r="W44">
        <v>1.0993985842654015</v>
      </c>
      <c r="X44">
        <v>1.1048955771867284</v>
      </c>
      <c r="Y44">
        <v>1.1104200550726619</v>
      </c>
      <c r="Z44">
        <v>1.1159721553480251</v>
      </c>
      <c r="AA44">
        <v>1.1215520161247652</v>
      </c>
      <c r="AB44">
        <v>1.1271597762053889</v>
      </c>
      <c r="AC44">
        <v>1.1327955750864158</v>
      </c>
      <c r="AD44">
        <v>1.1384595529618478</v>
      </c>
      <c r="AE44">
        <v>1.1441518507266568</v>
      </c>
      <c r="AF44">
        <v>1.1498726099802901</v>
      </c>
      <c r="AG44">
        <v>1.1556219730301913</v>
      </c>
      <c r="AH44">
        <v>1.1614000828953421</v>
      </c>
      <c r="AI44">
        <v>1.1672070833098187</v>
      </c>
      <c r="AJ44">
        <v>1.1730431187263677</v>
      </c>
      <c r="AK44">
        <v>1.1789083343199993</v>
      </c>
      <c r="AL44">
        <v>1.1848028759915992</v>
      </c>
      <c r="AM44">
        <v>1.1907268903715571</v>
      </c>
      <c r="AN44">
        <v>1.1966805248234147</v>
      </c>
      <c r="AO44">
        <v>1.2026639274475317</v>
      </c>
      <c r="AP44">
        <v>1.2086772470847693</v>
      </c>
      <c r="AQ44">
        <v>1.214720633320193</v>
      </c>
      <c r="AR44">
        <v>1.2207942364867939</v>
      </c>
      <c r="AS44">
        <v>1.2268982076692276</v>
      </c>
      <c r="AT44">
        <v>1.2330326987075737</v>
      </c>
      <c r="AU44">
        <v>1.2391978622011115</v>
      </c>
      <c r="AV44">
        <v>1.2453938515121168</v>
      </c>
      <c r="AW44">
        <v>1.2516208207696773</v>
      </c>
      <c r="AX44">
        <v>1.2578789248735256</v>
      </c>
      <c r="AY44">
        <v>1.264168319497893</v>
      </c>
      <c r="AZ44">
        <v>1.2704891610953823</v>
      </c>
      <c r="BA44">
        <v>1.2768416069008592</v>
      </c>
      <c r="BB44">
        <v>1.2832258149353633</v>
      </c>
      <c r="BC44">
        <v>1.28964194401004</v>
      </c>
      <c r="BD44">
        <v>1.29609015373009</v>
      </c>
      <c r="BE44">
        <v>1.3025706044987404</v>
      </c>
      <c r="BF44">
        <v>1.309083457521234</v>
      </c>
      <c r="BG44">
        <v>1.3156288748088401</v>
      </c>
      <c r="BH44">
        <v>1.3222070191828841</v>
      </c>
      <c r="BI44">
        <v>1.3288180542787984</v>
      </c>
      <c r="BJ44">
        <v>1.3354621445501922</v>
      </c>
      <c r="BK44">
        <v>1.3421394552729429</v>
      </c>
      <c r="BL44">
        <v>1.3488501525493075</v>
      </c>
      <c r="BM44">
        <v>1.3555944033120539</v>
      </c>
      <c r="BN44">
        <v>1.3623723753286141</v>
      </c>
      <c r="BO44">
        <v>1.3691842372052569</v>
      </c>
      <c r="BP44">
        <v>1.3760301583912831</v>
      </c>
      <c r="BQ44">
        <v>1.3829103091832393</v>
      </c>
      <c r="BR44">
        <v>1.3898248607291555</v>
      </c>
      <c r="BS44">
        <v>1.3967739850328011</v>
      </c>
      <c r="BT44">
        <v>1.403757854957965</v>
      </c>
      <c r="BU44">
        <v>1.4107766442327547</v>
      </c>
      <c r="BV44">
        <v>1.4178305274539182</v>
      </c>
      <c r="BW44">
        <v>1.4249196800911876</v>
      </c>
      <c r="BX44">
        <v>1.4320442784916434</v>
      </c>
      <c r="BY44">
        <v>1.4392044998841016</v>
      </c>
      <c r="BZ44">
        <v>1.4464005223835219</v>
      </c>
      <c r="CA44">
        <v>1.4536325249954394</v>
      </c>
      <c r="CB44">
        <v>1.4609006876204165</v>
      </c>
      <c r="CC44">
        <v>1.4682051910585183</v>
      </c>
      <c r="CD44">
        <v>1.4755462170138107</v>
      </c>
      <c r="CE44">
        <v>1.4829239480988796</v>
      </c>
      <c r="CF44">
        <v>1.4903385678393739</v>
      </c>
      <c r="CG44">
        <v>1.4977902606785705</v>
      </c>
      <c r="CH44">
        <v>1.5052792119819631</v>
      </c>
      <c r="CI44">
        <v>1.5128056080418728</v>
      </c>
    </row>
    <row r="45" spans="1:87" x14ac:dyDescent="0.3">
      <c r="A45" s="4" t="s">
        <v>981</v>
      </c>
      <c r="B45" s="4" t="s">
        <v>987</v>
      </c>
      <c r="C45" s="4" t="s">
        <v>1282</v>
      </c>
      <c r="D45">
        <v>1</v>
      </c>
      <c r="E45">
        <v>1.0049999999999999</v>
      </c>
      <c r="F45">
        <v>1.0100249999999997</v>
      </c>
      <c r="G45">
        <v>1.0150751249999996</v>
      </c>
      <c r="H45">
        <v>1.0201505006249996</v>
      </c>
      <c r="I45">
        <v>1.0252512531281244</v>
      </c>
      <c r="J45">
        <v>1.030377509393765</v>
      </c>
      <c r="K45">
        <v>1.0355293969407338</v>
      </c>
      <c r="L45">
        <v>1.0407070439254373</v>
      </c>
      <c r="M45">
        <v>1.0459105791450642</v>
      </c>
      <c r="N45">
        <v>1.0511401320407896</v>
      </c>
      <c r="O45">
        <v>1.0563958327009935</v>
      </c>
      <c r="P45">
        <v>1.0616778118644983</v>
      </c>
      <c r="Q45">
        <v>1.0669862009238207</v>
      </c>
      <c r="R45">
        <v>1.0723211319284396</v>
      </c>
      <c r="S45">
        <v>1.0776827375880818</v>
      </c>
      <c r="T45">
        <v>1.083071151276022</v>
      </c>
      <c r="U45">
        <v>1.0884865070324019</v>
      </c>
      <c r="V45">
        <v>1.0939289395675638</v>
      </c>
      <c r="W45">
        <v>1.0993985842654015</v>
      </c>
      <c r="X45">
        <v>1.1048955771867284</v>
      </c>
      <c r="Y45">
        <v>1.1104200550726619</v>
      </c>
      <c r="Z45">
        <v>1.1159721553480251</v>
      </c>
      <c r="AA45">
        <v>1.1215520161247652</v>
      </c>
      <c r="AB45">
        <v>1.1271597762053889</v>
      </c>
      <c r="AC45">
        <v>1.1327955750864158</v>
      </c>
      <c r="AD45">
        <v>1.1384595529618478</v>
      </c>
      <c r="AE45">
        <v>1.1441518507266568</v>
      </c>
      <c r="AF45">
        <v>1.1498726099802901</v>
      </c>
      <c r="AG45">
        <v>1.1556219730301913</v>
      </c>
      <c r="AH45">
        <v>1.1614000828953421</v>
      </c>
      <c r="AI45">
        <v>1.1672070833098187</v>
      </c>
      <c r="AJ45">
        <v>1.1730431187263677</v>
      </c>
      <c r="AK45">
        <v>1.1789083343199993</v>
      </c>
      <c r="AL45">
        <v>1.1848028759915992</v>
      </c>
      <c r="AM45">
        <v>1.1907268903715571</v>
      </c>
      <c r="AN45">
        <v>1.1966805248234147</v>
      </c>
      <c r="AO45">
        <v>1.2026639274475317</v>
      </c>
      <c r="AP45">
        <v>1.2086772470847693</v>
      </c>
      <c r="AQ45">
        <v>1.214720633320193</v>
      </c>
      <c r="AR45">
        <v>1.2207942364867939</v>
      </c>
      <c r="AS45">
        <v>1.2268982076692276</v>
      </c>
      <c r="AT45">
        <v>1.2330326987075737</v>
      </c>
      <c r="AU45">
        <v>1.2391978622011115</v>
      </c>
      <c r="AV45">
        <v>1.2453938515121168</v>
      </c>
      <c r="AW45">
        <v>1.2516208207696773</v>
      </c>
      <c r="AX45">
        <v>1.2578789248735256</v>
      </c>
      <c r="AY45">
        <v>1.264168319497893</v>
      </c>
      <c r="AZ45">
        <v>1.2704891610953823</v>
      </c>
      <c r="BA45">
        <v>1.2768416069008592</v>
      </c>
      <c r="BB45">
        <v>1.2832258149353633</v>
      </c>
      <c r="BC45">
        <v>1.28964194401004</v>
      </c>
      <c r="BD45">
        <v>1.29609015373009</v>
      </c>
      <c r="BE45">
        <v>1.3025706044987404</v>
      </c>
      <c r="BF45">
        <v>1.309083457521234</v>
      </c>
      <c r="BG45">
        <v>1.3156288748088401</v>
      </c>
      <c r="BH45">
        <v>1.3222070191828841</v>
      </c>
      <c r="BI45">
        <v>1.3288180542787984</v>
      </c>
      <c r="BJ45">
        <v>1.3354621445501922</v>
      </c>
      <c r="BK45">
        <v>1.3421394552729429</v>
      </c>
      <c r="BL45">
        <v>1.3488501525493075</v>
      </c>
      <c r="BM45">
        <v>1.3555944033120539</v>
      </c>
      <c r="BN45">
        <v>1.3623723753286141</v>
      </c>
      <c r="BO45">
        <v>1.3691842372052569</v>
      </c>
      <c r="BP45">
        <v>1.3760301583912831</v>
      </c>
      <c r="BQ45">
        <v>1.3829103091832393</v>
      </c>
      <c r="BR45">
        <v>1.3898248607291555</v>
      </c>
      <c r="BS45">
        <v>1.3967739850328011</v>
      </c>
      <c r="BT45">
        <v>1.403757854957965</v>
      </c>
      <c r="BU45">
        <v>1.4107766442327547</v>
      </c>
      <c r="BV45">
        <v>1.4178305274539182</v>
      </c>
      <c r="BW45">
        <v>1.4249196800911876</v>
      </c>
      <c r="BX45">
        <v>1.4320442784916434</v>
      </c>
      <c r="BY45">
        <v>1.4392044998841016</v>
      </c>
      <c r="BZ45">
        <v>1.4464005223835219</v>
      </c>
      <c r="CA45">
        <v>1.4536325249954394</v>
      </c>
      <c r="CB45">
        <v>1.4609006876204165</v>
      </c>
      <c r="CC45">
        <v>1.4682051910585183</v>
      </c>
      <c r="CD45">
        <v>1.4755462170138107</v>
      </c>
      <c r="CE45">
        <v>1.4829239480988796</v>
      </c>
      <c r="CF45">
        <v>1.4903385678393739</v>
      </c>
      <c r="CG45">
        <v>1.4977902606785705</v>
      </c>
      <c r="CH45">
        <v>1.5052792119819631</v>
      </c>
      <c r="CI45">
        <v>1.5128056080418728</v>
      </c>
    </row>
    <row r="46" spans="1:87" x14ac:dyDescent="0.3">
      <c r="A46" s="4" t="s">
        <v>981</v>
      </c>
      <c r="B46" s="4" t="s">
        <v>987</v>
      </c>
      <c r="C46" s="4" t="s">
        <v>1283</v>
      </c>
      <c r="D46">
        <v>1</v>
      </c>
      <c r="E46">
        <v>1.0049999999999999</v>
      </c>
      <c r="F46">
        <v>1.0100249999999997</v>
      </c>
      <c r="G46">
        <v>1.0150751249999996</v>
      </c>
      <c r="H46">
        <v>1.0201505006249996</v>
      </c>
      <c r="I46">
        <v>1.0252512531281244</v>
      </c>
      <c r="J46">
        <v>1.030377509393765</v>
      </c>
      <c r="K46">
        <v>1.0355293969407338</v>
      </c>
      <c r="L46">
        <v>1.0407070439254373</v>
      </c>
      <c r="M46">
        <v>1.0459105791450642</v>
      </c>
      <c r="N46">
        <v>1.0511401320407896</v>
      </c>
      <c r="O46">
        <v>1.0563958327009935</v>
      </c>
      <c r="P46">
        <v>1.0616778118644983</v>
      </c>
      <c r="Q46">
        <v>1.0669862009238207</v>
      </c>
      <c r="R46">
        <v>1.0723211319284396</v>
      </c>
      <c r="S46">
        <v>1.0776827375880818</v>
      </c>
      <c r="T46">
        <v>1.083071151276022</v>
      </c>
      <c r="U46">
        <v>1.0884865070324019</v>
      </c>
      <c r="V46">
        <v>1.0939289395675638</v>
      </c>
      <c r="W46">
        <v>1.0993985842654015</v>
      </c>
      <c r="X46">
        <v>1.1048955771867284</v>
      </c>
      <c r="Y46">
        <v>1.1104200550726619</v>
      </c>
      <c r="Z46">
        <v>1.1159721553480251</v>
      </c>
      <c r="AA46">
        <v>1.1215520161247652</v>
      </c>
      <c r="AB46">
        <v>1.1271597762053889</v>
      </c>
      <c r="AC46">
        <v>1.1327955750864158</v>
      </c>
      <c r="AD46">
        <v>1.1384595529618478</v>
      </c>
      <c r="AE46">
        <v>1.1441518507266568</v>
      </c>
      <c r="AF46">
        <v>1.1498726099802901</v>
      </c>
      <c r="AG46">
        <v>1.1556219730301913</v>
      </c>
      <c r="AH46">
        <v>1.1614000828953421</v>
      </c>
      <c r="AI46">
        <v>1.1672070833098187</v>
      </c>
      <c r="AJ46">
        <v>1.1730431187263677</v>
      </c>
      <c r="AK46">
        <v>1.1789083343199993</v>
      </c>
      <c r="AL46">
        <v>1.1848028759915992</v>
      </c>
      <c r="AM46">
        <v>1.1907268903715571</v>
      </c>
      <c r="AN46">
        <v>1.1966805248234147</v>
      </c>
      <c r="AO46">
        <v>1.2026639274475317</v>
      </c>
      <c r="AP46">
        <v>1.2086772470847693</v>
      </c>
      <c r="AQ46">
        <v>1.214720633320193</v>
      </c>
      <c r="AR46">
        <v>1.2207942364867939</v>
      </c>
      <c r="AS46">
        <v>1.2268982076692276</v>
      </c>
      <c r="AT46">
        <v>1.2330326987075737</v>
      </c>
      <c r="AU46">
        <v>1.2391978622011115</v>
      </c>
      <c r="AV46">
        <v>1.2453938515121168</v>
      </c>
      <c r="AW46">
        <v>1.2516208207696773</v>
      </c>
      <c r="AX46">
        <v>1.2578789248735256</v>
      </c>
      <c r="AY46">
        <v>1.264168319497893</v>
      </c>
      <c r="AZ46">
        <v>1.2704891610953823</v>
      </c>
      <c r="BA46">
        <v>1.2768416069008592</v>
      </c>
      <c r="BB46">
        <v>1.2832258149353633</v>
      </c>
      <c r="BC46">
        <v>1.28964194401004</v>
      </c>
      <c r="BD46">
        <v>1.29609015373009</v>
      </c>
      <c r="BE46">
        <v>1.3025706044987404</v>
      </c>
      <c r="BF46">
        <v>1.309083457521234</v>
      </c>
      <c r="BG46">
        <v>1.3156288748088401</v>
      </c>
      <c r="BH46">
        <v>1.3222070191828841</v>
      </c>
      <c r="BI46">
        <v>1.3288180542787984</v>
      </c>
      <c r="BJ46">
        <v>1.3354621445501922</v>
      </c>
      <c r="BK46">
        <v>1.3421394552729429</v>
      </c>
      <c r="BL46">
        <v>1.3488501525493075</v>
      </c>
      <c r="BM46">
        <v>1.3555944033120539</v>
      </c>
      <c r="BN46">
        <v>1.3623723753286141</v>
      </c>
      <c r="BO46">
        <v>1.3691842372052569</v>
      </c>
      <c r="BP46">
        <v>1.3760301583912831</v>
      </c>
      <c r="BQ46">
        <v>1.3829103091832393</v>
      </c>
      <c r="BR46">
        <v>1.3898248607291555</v>
      </c>
      <c r="BS46">
        <v>1.3967739850328011</v>
      </c>
      <c r="BT46">
        <v>1.403757854957965</v>
      </c>
      <c r="BU46">
        <v>1.4107766442327547</v>
      </c>
      <c r="BV46">
        <v>1.4178305274539182</v>
      </c>
      <c r="BW46">
        <v>1.4249196800911876</v>
      </c>
      <c r="BX46">
        <v>1.4320442784916434</v>
      </c>
      <c r="BY46">
        <v>1.4392044998841016</v>
      </c>
      <c r="BZ46">
        <v>1.4464005223835219</v>
      </c>
      <c r="CA46">
        <v>1.4536325249954394</v>
      </c>
      <c r="CB46">
        <v>1.4609006876204165</v>
      </c>
      <c r="CC46">
        <v>1.4682051910585183</v>
      </c>
      <c r="CD46">
        <v>1.4755462170138107</v>
      </c>
      <c r="CE46">
        <v>1.4829239480988796</v>
      </c>
      <c r="CF46">
        <v>1.4903385678393739</v>
      </c>
      <c r="CG46">
        <v>1.4977902606785705</v>
      </c>
      <c r="CH46">
        <v>1.5052792119819631</v>
      </c>
      <c r="CI46">
        <v>1.5128056080418728</v>
      </c>
    </row>
    <row r="47" spans="1:87" x14ac:dyDescent="0.3">
      <c r="A47" s="4" t="s">
        <v>981</v>
      </c>
      <c r="B47" s="4" t="s">
        <v>987</v>
      </c>
      <c r="C47" s="4" t="s">
        <v>1284</v>
      </c>
      <c r="D47">
        <v>1</v>
      </c>
      <c r="E47">
        <v>1.0049999999999999</v>
      </c>
      <c r="F47">
        <v>1.0100249999999997</v>
      </c>
      <c r="G47">
        <v>1.0150751249999996</v>
      </c>
      <c r="H47">
        <v>1.0201505006249996</v>
      </c>
      <c r="I47">
        <v>1.0252512531281244</v>
      </c>
      <c r="J47">
        <v>1.030377509393765</v>
      </c>
      <c r="K47">
        <v>1.0355293969407338</v>
      </c>
      <c r="L47">
        <v>1.0407070439254373</v>
      </c>
      <c r="M47">
        <v>1.0459105791450642</v>
      </c>
      <c r="N47">
        <v>1.0511401320407896</v>
      </c>
      <c r="O47">
        <v>1.0563958327009935</v>
      </c>
      <c r="P47">
        <v>1.0616778118644983</v>
      </c>
      <c r="Q47">
        <v>1.0669862009238207</v>
      </c>
      <c r="R47">
        <v>1.0723211319284396</v>
      </c>
      <c r="S47">
        <v>1.0776827375880818</v>
      </c>
      <c r="T47">
        <v>1.083071151276022</v>
      </c>
      <c r="U47">
        <v>1.0884865070324019</v>
      </c>
      <c r="V47">
        <v>1.0939289395675638</v>
      </c>
      <c r="W47">
        <v>1.0993985842654015</v>
      </c>
      <c r="X47">
        <v>1.1048955771867284</v>
      </c>
      <c r="Y47">
        <v>1.1104200550726619</v>
      </c>
      <c r="Z47">
        <v>1.1159721553480251</v>
      </c>
      <c r="AA47">
        <v>1.1215520161247652</v>
      </c>
      <c r="AB47">
        <v>1.1271597762053889</v>
      </c>
      <c r="AC47">
        <v>1.1327955750864158</v>
      </c>
      <c r="AD47">
        <v>1.1384595529618478</v>
      </c>
      <c r="AE47">
        <v>1.1441518507266568</v>
      </c>
      <c r="AF47">
        <v>1.1498726099802901</v>
      </c>
      <c r="AG47">
        <v>1.1556219730301913</v>
      </c>
      <c r="AH47">
        <v>1.1614000828953421</v>
      </c>
      <c r="AI47">
        <v>1.1672070833098187</v>
      </c>
      <c r="AJ47">
        <v>1.1730431187263677</v>
      </c>
      <c r="AK47">
        <v>1.1789083343199993</v>
      </c>
      <c r="AL47">
        <v>1.1848028759915992</v>
      </c>
      <c r="AM47">
        <v>1.1907268903715571</v>
      </c>
      <c r="AN47">
        <v>1.1966805248234147</v>
      </c>
      <c r="AO47">
        <v>1.2026639274475317</v>
      </c>
      <c r="AP47">
        <v>1.2086772470847693</v>
      </c>
      <c r="AQ47">
        <v>1.214720633320193</v>
      </c>
      <c r="AR47">
        <v>1.2207942364867939</v>
      </c>
      <c r="AS47">
        <v>1.2268982076692276</v>
      </c>
      <c r="AT47">
        <v>1.2330326987075737</v>
      </c>
      <c r="AU47">
        <v>1.2391978622011115</v>
      </c>
      <c r="AV47">
        <v>1.2453938515121168</v>
      </c>
      <c r="AW47">
        <v>1.2516208207696773</v>
      </c>
      <c r="AX47">
        <v>1.2578789248735256</v>
      </c>
      <c r="AY47">
        <v>1.264168319497893</v>
      </c>
      <c r="AZ47">
        <v>1.2704891610953823</v>
      </c>
      <c r="BA47">
        <v>1.2768416069008592</v>
      </c>
      <c r="BB47">
        <v>1.2832258149353633</v>
      </c>
      <c r="BC47">
        <v>1.28964194401004</v>
      </c>
      <c r="BD47">
        <v>1.29609015373009</v>
      </c>
      <c r="BE47">
        <v>1.3025706044987404</v>
      </c>
      <c r="BF47">
        <v>1.309083457521234</v>
      </c>
      <c r="BG47">
        <v>1.3156288748088401</v>
      </c>
      <c r="BH47">
        <v>1.3222070191828841</v>
      </c>
      <c r="BI47">
        <v>1.3288180542787984</v>
      </c>
      <c r="BJ47">
        <v>1.3354621445501922</v>
      </c>
      <c r="BK47">
        <v>1.3421394552729429</v>
      </c>
      <c r="BL47">
        <v>1.3488501525493075</v>
      </c>
      <c r="BM47">
        <v>1.3555944033120539</v>
      </c>
      <c r="BN47">
        <v>1.3623723753286141</v>
      </c>
      <c r="BO47">
        <v>1.3691842372052569</v>
      </c>
      <c r="BP47">
        <v>1.3760301583912831</v>
      </c>
      <c r="BQ47">
        <v>1.3829103091832393</v>
      </c>
      <c r="BR47">
        <v>1.3898248607291555</v>
      </c>
      <c r="BS47">
        <v>1.3967739850328011</v>
      </c>
      <c r="BT47">
        <v>1.403757854957965</v>
      </c>
      <c r="BU47">
        <v>1.4107766442327547</v>
      </c>
      <c r="BV47">
        <v>1.4178305274539182</v>
      </c>
      <c r="BW47">
        <v>1.4249196800911876</v>
      </c>
      <c r="BX47">
        <v>1.4320442784916434</v>
      </c>
      <c r="BY47">
        <v>1.4392044998841016</v>
      </c>
      <c r="BZ47">
        <v>1.4464005223835219</v>
      </c>
      <c r="CA47">
        <v>1.4536325249954394</v>
      </c>
      <c r="CB47">
        <v>1.4609006876204165</v>
      </c>
      <c r="CC47">
        <v>1.4682051910585183</v>
      </c>
      <c r="CD47">
        <v>1.4755462170138107</v>
      </c>
      <c r="CE47">
        <v>1.4829239480988796</v>
      </c>
      <c r="CF47">
        <v>1.4903385678393739</v>
      </c>
      <c r="CG47">
        <v>1.4977902606785705</v>
      </c>
      <c r="CH47">
        <v>1.5052792119819631</v>
      </c>
      <c r="CI47">
        <v>1.5128056080418728</v>
      </c>
    </row>
    <row r="48" spans="1:87" x14ac:dyDescent="0.3">
      <c r="A48" s="4" t="s">
        <v>981</v>
      </c>
      <c r="B48" s="4" t="s">
        <v>987</v>
      </c>
      <c r="C48" s="4" t="s">
        <v>1285</v>
      </c>
      <c r="D48">
        <v>1</v>
      </c>
      <c r="E48">
        <v>1.0049999999999999</v>
      </c>
      <c r="F48">
        <v>1.0100249999999997</v>
      </c>
      <c r="G48">
        <v>1.0150751249999996</v>
      </c>
      <c r="H48">
        <v>1.0201505006249996</v>
      </c>
      <c r="I48">
        <v>1.0252512531281244</v>
      </c>
      <c r="J48">
        <v>1.030377509393765</v>
      </c>
      <c r="K48">
        <v>1.0355293969407338</v>
      </c>
      <c r="L48">
        <v>1.0407070439254373</v>
      </c>
      <c r="M48">
        <v>1.0459105791450642</v>
      </c>
      <c r="N48">
        <v>1.0511401320407896</v>
      </c>
      <c r="O48">
        <v>1.0563958327009935</v>
      </c>
      <c r="P48">
        <v>1.0616778118644983</v>
      </c>
      <c r="Q48">
        <v>1.0669862009238207</v>
      </c>
      <c r="R48">
        <v>1.0723211319284396</v>
      </c>
      <c r="S48">
        <v>1.0776827375880818</v>
      </c>
      <c r="T48">
        <v>1.083071151276022</v>
      </c>
      <c r="U48">
        <v>1.0884865070324019</v>
      </c>
      <c r="V48">
        <v>1.0939289395675638</v>
      </c>
      <c r="W48">
        <v>1.0993985842654015</v>
      </c>
      <c r="X48">
        <v>1.1048955771867284</v>
      </c>
      <c r="Y48">
        <v>1.1104200550726619</v>
      </c>
      <c r="Z48">
        <v>1.1159721553480251</v>
      </c>
      <c r="AA48">
        <v>1.1215520161247652</v>
      </c>
      <c r="AB48">
        <v>1.1271597762053889</v>
      </c>
      <c r="AC48">
        <v>1.1327955750864158</v>
      </c>
      <c r="AD48">
        <v>1.1384595529618478</v>
      </c>
      <c r="AE48">
        <v>1.1441518507266568</v>
      </c>
      <c r="AF48">
        <v>1.1498726099802901</v>
      </c>
      <c r="AG48">
        <v>1.1556219730301913</v>
      </c>
      <c r="AH48">
        <v>1.1614000828953421</v>
      </c>
      <c r="AI48">
        <v>1.1672070833098187</v>
      </c>
      <c r="AJ48">
        <v>1.1730431187263677</v>
      </c>
      <c r="AK48">
        <v>1.1789083343199993</v>
      </c>
      <c r="AL48">
        <v>1.1848028759915992</v>
      </c>
      <c r="AM48">
        <v>1.1907268903715571</v>
      </c>
      <c r="AN48">
        <v>1.1966805248234147</v>
      </c>
      <c r="AO48">
        <v>1.2026639274475317</v>
      </c>
      <c r="AP48">
        <v>1.2086772470847693</v>
      </c>
      <c r="AQ48">
        <v>1.214720633320193</v>
      </c>
      <c r="AR48">
        <v>1.2207942364867939</v>
      </c>
      <c r="AS48">
        <v>1.2268982076692276</v>
      </c>
      <c r="AT48">
        <v>1.2330326987075737</v>
      </c>
      <c r="AU48">
        <v>1.2391978622011115</v>
      </c>
      <c r="AV48">
        <v>1.2453938515121168</v>
      </c>
      <c r="AW48">
        <v>1.2516208207696773</v>
      </c>
      <c r="AX48">
        <v>1.2578789248735256</v>
      </c>
      <c r="AY48">
        <v>1.264168319497893</v>
      </c>
      <c r="AZ48">
        <v>1.2704891610953823</v>
      </c>
      <c r="BA48">
        <v>1.2768416069008592</v>
      </c>
      <c r="BB48">
        <v>1.2832258149353633</v>
      </c>
      <c r="BC48">
        <v>1.28964194401004</v>
      </c>
      <c r="BD48">
        <v>1.29609015373009</v>
      </c>
      <c r="BE48">
        <v>1.3025706044987404</v>
      </c>
      <c r="BF48">
        <v>1.309083457521234</v>
      </c>
      <c r="BG48">
        <v>1.3156288748088401</v>
      </c>
      <c r="BH48">
        <v>1.3222070191828841</v>
      </c>
      <c r="BI48">
        <v>1.3288180542787984</v>
      </c>
      <c r="BJ48">
        <v>1.3354621445501922</v>
      </c>
      <c r="BK48">
        <v>1.3421394552729429</v>
      </c>
      <c r="BL48">
        <v>1.3488501525493075</v>
      </c>
      <c r="BM48">
        <v>1.3555944033120539</v>
      </c>
      <c r="BN48">
        <v>1.3623723753286141</v>
      </c>
      <c r="BO48">
        <v>1.3691842372052569</v>
      </c>
      <c r="BP48">
        <v>1.3760301583912831</v>
      </c>
      <c r="BQ48">
        <v>1.3829103091832393</v>
      </c>
      <c r="BR48">
        <v>1.3898248607291555</v>
      </c>
      <c r="BS48">
        <v>1.3967739850328011</v>
      </c>
      <c r="BT48">
        <v>1.403757854957965</v>
      </c>
      <c r="BU48">
        <v>1.4107766442327547</v>
      </c>
      <c r="BV48">
        <v>1.4178305274539182</v>
      </c>
      <c r="BW48">
        <v>1.4249196800911876</v>
      </c>
      <c r="BX48">
        <v>1.4320442784916434</v>
      </c>
      <c r="BY48">
        <v>1.4392044998841016</v>
      </c>
      <c r="BZ48">
        <v>1.4464005223835219</v>
      </c>
      <c r="CA48">
        <v>1.4536325249954394</v>
      </c>
      <c r="CB48">
        <v>1.4609006876204165</v>
      </c>
      <c r="CC48">
        <v>1.4682051910585183</v>
      </c>
      <c r="CD48">
        <v>1.4755462170138107</v>
      </c>
      <c r="CE48">
        <v>1.4829239480988796</v>
      </c>
      <c r="CF48">
        <v>1.4903385678393739</v>
      </c>
      <c r="CG48">
        <v>1.4977902606785705</v>
      </c>
      <c r="CH48">
        <v>1.5052792119819631</v>
      </c>
      <c r="CI48">
        <v>1.5128056080418728</v>
      </c>
    </row>
    <row r="49" spans="1:87" x14ac:dyDescent="0.3">
      <c r="A49" s="4" t="s">
        <v>981</v>
      </c>
      <c r="B49" s="4" t="s">
        <v>987</v>
      </c>
      <c r="C49" s="4" t="s">
        <v>1286</v>
      </c>
      <c r="D49">
        <v>1</v>
      </c>
      <c r="E49">
        <v>1.0049999999999999</v>
      </c>
      <c r="F49">
        <v>1.0100249999999997</v>
      </c>
      <c r="G49">
        <v>1.0150751249999996</v>
      </c>
      <c r="H49">
        <v>1.0201505006249996</v>
      </c>
      <c r="I49">
        <v>1.0252512531281244</v>
      </c>
      <c r="J49">
        <v>1.030377509393765</v>
      </c>
      <c r="K49">
        <v>1.0355293969407338</v>
      </c>
      <c r="L49">
        <v>1.0407070439254373</v>
      </c>
      <c r="M49">
        <v>1.0459105791450642</v>
      </c>
      <c r="N49">
        <v>1.0511401320407896</v>
      </c>
      <c r="O49">
        <v>1.0563958327009935</v>
      </c>
      <c r="P49">
        <v>1.0616778118644983</v>
      </c>
      <c r="Q49">
        <v>1.0669862009238207</v>
      </c>
      <c r="R49">
        <v>1.0723211319284396</v>
      </c>
      <c r="S49">
        <v>1.0776827375880818</v>
      </c>
      <c r="T49">
        <v>1.083071151276022</v>
      </c>
      <c r="U49">
        <v>1.0884865070324019</v>
      </c>
      <c r="V49">
        <v>1.0939289395675638</v>
      </c>
      <c r="W49">
        <v>1.0993985842654015</v>
      </c>
      <c r="X49">
        <v>1.1048955771867284</v>
      </c>
      <c r="Y49">
        <v>1.1104200550726619</v>
      </c>
      <c r="Z49">
        <v>1.1159721553480251</v>
      </c>
      <c r="AA49">
        <v>1.1215520161247652</v>
      </c>
      <c r="AB49">
        <v>1.1271597762053889</v>
      </c>
      <c r="AC49">
        <v>1.1327955750864158</v>
      </c>
      <c r="AD49">
        <v>1.1384595529618478</v>
      </c>
      <c r="AE49">
        <v>1.1441518507266568</v>
      </c>
      <c r="AF49">
        <v>1.1498726099802901</v>
      </c>
      <c r="AG49">
        <v>1.1556219730301913</v>
      </c>
      <c r="AH49">
        <v>1.1614000828953421</v>
      </c>
      <c r="AI49">
        <v>1.1672070833098187</v>
      </c>
      <c r="AJ49">
        <v>1.1730431187263677</v>
      </c>
      <c r="AK49">
        <v>1.1789083343199993</v>
      </c>
      <c r="AL49">
        <v>1.1848028759915992</v>
      </c>
      <c r="AM49">
        <v>1.1907268903715571</v>
      </c>
      <c r="AN49">
        <v>1.1966805248234147</v>
      </c>
      <c r="AO49">
        <v>1.2026639274475317</v>
      </c>
      <c r="AP49">
        <v>1.2086772470847693</v>
      </c>
      <c r="AQ49">
        <v>1.214720633320193</v>
      </c>
      <c r="AR49">
        <v>1.2207942364867939</v>
      </c>
      <c r="AS49">
        <v>1.2268982076692276</v>
      </c>
      <c r="AT49">
        <v>1.2330326987075737</v>
      </c>
      <c r="AU49">
        <v>1.2391978622011115</v>
      </c>
      <c r="AV49">
        <v>1.2453938515121168</v>
      </c>
      <c r="AW49">
        <v>1.2516208207696773</v>
      </c>
      <c r="AX49">
        <v>1.2578789248735256</v>
      </c>
      <c r="AY49">
        <v>1.264168319497893</v>
      </c>
      <c r="AZ49">
        <v>1.2704891610953823</v>
      </c>
      <c r="BA49">
        <v>1.2768416069008592</v>
      </c>
      <c r="BB49">
        <v>1.2832258149353633</v>
      </c>
      <c r="BC49">
        <v>1.28964194401004</v>
      </c>
      <c r="BD49">
        <v>1.29609015373009</v>
      </c>
      <c r="BE49">
        <v>1.3025706044987404</v>
      </c>
      <c r="BF49">
        <v>1.309083457521234</v>
      </c>
      <c r="BG49">
        <v>1.3156288748088401</v>
      </c>
      <c r="BH49">
        <v>1.3222070191828841</v>
      </c>
      <c r="BI49">
        <v>1.3288180542787984</v>
      </c>
      <c r="BJ49">
        <v>1.3354621445501922</v>
      </c>
      <c r="BK49">
        <v>1.3421394552729429</v>
      </c>
      <c r="BL49">
        <v>1.3488501525493075</v>
      </c>
      <c r="BM49">
        <v>1.3555944033120539</v>
      </c>
      <c r="BN49">
        <v>1.3623723753286141</v>
      </c>
      <c r="BO49">
        <v>1.3691842372052569</v>
      </c>
      <c r="BP49">
        <v>1.3760301583912831</v>
      </c>
      <c r="BQ49">
        <v>1.3829103091832393</v>
      </c>
      <c r="BR49">
        <v>1.3898248607291555</v>
      </c>
      <c r="BS49">
        <v>1.3967739850328011</v>
      </c>
      <c r="BT49">
        <v>1.403757854957965</v>
      </c>
      <c r="BU49">
        <v>1.4107766442327547</v>
      </c>
      <c r="BV49">
        <v>1.4178305274539182</v>
      </c>
      <c r="BW49">
        <v>1.4249196800911876</v>
      </c>
      <c r="BX49">
        <v>1.4320442784916434</v>
      </c>
      <c r="BY49">
        <v>1.4392044998841016</v>
      </c>
      <c r="BZ49">
        <v>1.4464005223835219</v>
      </c>
      <c r="CA49">
        <v>1.4536325249954394</v>
      </c>
      <c r="CB49">
        <v>1.4609006876204165</v>
      </c>
      <c r="CC49">
        <v>1.4682051910585183</v>
      </c>
      <c r="CD49">
        <v>1.4755462170138107</v>
      </c>
      <c r="CE49">
        <v>1.4829239480988796</v>
      </c>
      <c r="CF49">
        <v>1.4903385678393739</v>
      </c>
      <c r="CG49">
        <v>1.4977902606785705</v>
      </c>
      <c r="CH49">
        <v>1.5052792119819631</v>
      </c>
      <c r="CI49">
        <v>1.5128056080418728</v>
      </c>
    </row>
    <row r="50" spans="1:87" x14ac:dyDescent="0.3">
      <c r="A50" s="4" t="s">
        <v>981</v>
      </c>
      <c r="B50" s="4" t="s">
        <v>987</v>
      </c>
      <c r="C50" s="4" t="s">
        <v>1287</v>
      </c>
      <c r="D50">
        <v>1</v>
      </c>
      <c r="E50">
        <v>1.0049999999999999</v>
      </c>
      <c r="F50">
        <v>1.0100249999999997</v>
      </c>
      <c r="G50">
        <v>1.0150751249999996</v>
      </c>
      <c r="H50">
        <v>1.0201505006249996</v>
      </c>
      <c r="I50">
        <v>1.0252512531281244</v>
      </c>
      <c r="J50">
        <v>1.030377509393765</v>
      </c>
      <c r="K50">
        <v>1.0355293969407338</v>
      </c>
      <c r="L50">
        <v>1.0407070439254373</v>
      </c>
      <c r="M50">
        <v>1.0459105791450642</v>
      </c>
      <c r="N50">
        <v>1.0511401320407896</v>
      </c>
      <c r="O50">
        <v>1.0563958327009935</v>
      </c>
      <c r="P50">
        <v>1.0616778118644983</v>
      </c>
      <c r="Q50">
        <v>1.0669862009238207</v>
      </c>
      <c r="R50">
        <v>1.0723211319284396</v>
      </c>
      <c r="S50">
        <v>1.0776827375880818</v>
      </c>
      <c r="T50">
        <v>1.083071151276022</v>
      </c>
      <c r="U50">
        <v>1.0884865070324019</v>
      </c>
      <c r="V50">
        <v>1.0939289395675638</v>
      </c>
      <c r="W50">
        <v>1.0993985842654015</v>
      </c>
      <c r="X50">
        <v>1.1048955771867284</v>
      </c>
      <c r="Y50">
        <v>1.1104200550726619</v>
      </c>
      <c r="Z50">
        <v>1.1159721553480251</v>
      </c>
      <c r="AA50">
        <v>1.1215520161247652</v>
      </c>
      <c r="AB50">
        <v>1.1271597762053889</v>
      </c>
      <c r="AC50">
        <v>1.1327955750864158</v>
      </c>
      <c r="AD50">
        <v>1.1384595529618478</v>
      </c>
      <c r="AE50">
        <v>1.1441518507266568</v>
      </c>
      <c r="AF50">
        <v>1.1498726099802901</v>
      </c>
      <c r="AG50">
        <v>1.1556219730301913</v>
      </c>
      <c r="AH50">
        <v>1.1614000828953421</v>
      </c>
      <c r="AI50">
        <v>1.1672070833098187</v>
      </c>
      <c r="AJ50">
        <v>1.1730431187263677</v>
      </c>
      <c r="AK50">
        <v>1.1789083343199993</v>
      </c>
      <c r="AL50">
        <v>1.1848028759915992</v>
      </c>
      <c r="AM50">
        <v>1.1907268903715571</v>
      </c>
      <c r="AN50">
        <v>1.1966805248234147</v>
      </c>
      <c r="AO50">
        <v>1.2026639274475317</v>
      </c>
      <c r="AP50">
        <v>1.2086772470847693</v>
      </c>
      <c r="AQ50">
        <v>1.214720633320193</v>
      </c>
      <c r="AR50">
        <v>1.2207942364867939</v>
      </c>
      <c r="AS50">
        <v>1.2268982076692276</v>
      </c>
      <c r="AT50">
        <v>1.2330326987075737</v>
      </c>
      <c r="AU50">
        <v>1.2391978622011115</v>
      </c>
      <c r="AV50">
        <v>1.2453938515121168</v>
      </c>
      <c r="AW50">
        <v>1.2516208207696773</v>
      </c>
      <c r="AX50">
        <v>1.2578789248735256</v>
      </c>
      <c r="AY50">
        <v>1.264168319497893</v>
      </c>
      <c r="AZ50">
        <v>1.2704891610953823</v>
      </c>
      <c r="BA50">
        <v>1.2768416069008592</v>
      </c>
      <c r="BB50">
        <v>1.2832258149353633</v>
      </c>
      <c r="BC50">
        <v>1.28964194401004</v>
      </c>
      <c r="BD50">
        <v>1.29609015373009</v>
      </c>
      <c r="BE50">
        <v>1.3025706044987404</v>
      </c>
      <c r="BF50">
        <v>1.309083457521234</v>
      </c>
      <c r="BG50">
        <v>1.3156288748088401</v>
      </c>
      <c r="BH50">
        <v>1.3222070191828841</v>
      </c>
      <c r="BI50">
        <v>1.3288180542787984</v>
      </c>
      <c r="BJ50">
        <v>1.3354621445501922</v>
      </c>
      <c r="BK50">
        <v>1.3421394552729429</v>
      </c>
      <c r="BL50">
        <v>1.3488501525493075</v>
      </c>
      <c r="BM50">
        <v>1.3555944033120539</v>
      </c>
      <c r="BN50">
        <v>1.3623723753286141</v>
      </c>
      <c r="BO50">
        <v>1.3691842372052569</v>
      </c>
      <c r="BP50">
        <v>1.3760301583912831</v>
      </c>
      <c r="BQ50">
        <v>1.3829103091832393</v>
      </c>
      <c r="BR50">
        <v>1.3898248607291555</v>
      </c>
      <c r="BS50">
        <v>1.3967739850328011</v>
      </c>
      <c r="BT50">
        <v>1.403757854957965</v>
      </c>
      <c r="BU50">
        <v>1.4107766442327547</v>
      </c>
      <c r="BV50">
        <v>1.4178305274539182</v>
      </c>
      <c r="BW50">
        <v>1.4249196800911876</v>
      </c>
      <c r="BX50">
        <v>1.4320442784916434</v>
      </c>
      <c r="BY50">
        <v>1.4392044998841016</v>
      </c>
      <c r="BZ50">
        <v>1.4464005223835219</v>
      </c>
      <c r="CA50">
        <v>1.4536325249954394</v>
      </c>
      <c r="CB50">
        <v>1.4609006876204165</v>
      </c>
      <c r="CC50">
        <v>1.4682051910585183</v>
      </c>
      <c r="CD50">
        <v>1.4755462170138107</v>
      </c>
      <c r="CE50">
        <v>1.4829239480988796</v>
      </c>
      <c r="CF50">
        <v>1.4903385678393739</v>
      </c>
      <c r="CG50">
        <v>1.4977902606785705</v>
      </c>
      <c r="CH50">
        <v>1.5052792119819631</v>
      </c>
      <c r="CI50">
        <v>1.5128056080418728</v>
      </c>
    </row>
    <row r="51" spans="1:87" x14ac:dyDescent="0.3">
      <c r="A51" s="4" t="s">
        <v>981</v>
      </c>
      <c r="B51" s="4" t="s">
        <v>987</v>
      </c>
      <c r="C51" s="4" t="s">
        <v>1288</v>
      </c>
      <c r="D51">
        <v>1</v>
      </c>
      <c r="E51">
        <v>1.0049999999999999</v>
      </c>
      <c r="F51">
        <v>1.0100249999999997</v>
      </c>
      <c r="G51">
        <v>1.0150751249999996</v>
      </c>
      <c r="H51">
        <v>1.0201505006249996</v>
      </c>
      <c r="I51">
        <v>1.0252512531281244</v>
      </c>
      <c r="J51">
        <v>1.030377509393765</v>
      </c>
      <c r="K51">
        <v>1.0355293969407338</v>
      </c>
      <c r="L51">
        <v>1.0407070439254373</v>
      </c>
      <c r="M51">
        <v>1.0459105791450642</v>
      </c>
      <c r="N51">
        <v>1.0511401320407896</v>
      </c>
      <c r="O51">
        <v>1.0563958327009935</v>
      </c>
      <c r="P51">
        <v>1.0616778118644983</v>
      </c>
      <c r="Q51">
        <v>1.0669862009238207</v>
      </c>
      <c r="R51">
        <v>1.0723211319284396</v>
      </c>
      <c r="S51">
        <v>1.0776827375880818</v>
      </c>
      <c r="T51">
        <v>1.083071151276022</v>
      </c>
      <c r="U51">
        <v>1.0884865070324019</v>
      </c>
      <c r="V51">
        <v>1.0939289395675638</v>
      </c>
      <c r="W51">
        <v>1.0993985842654015</v>
      </c>
      <c r="X51">
        <v>1.1048955771867284</v>
      </c>
      <c r="Y51">
        <v>1.1104200550726619</v>
      </c>
      <c r="Z51">
        <v>1.1159721553480251</v>
      </c>
      <c r="AA51">
        <v>1.1215520161247652</v>
      </c>
      <c r="AB51">
        <v>1.1271597762053889</v>
      </c>
      <c r="AC51">
        <v>1.1327955750864158</v>
      </c>
      <c r="AD51">
        <v>1.1384595529618478</v>
      </c>
      <c r="AE51">
        <v>1.1441518507266568</v>
      </c>
      <c r="AF51">
        <v>1.1498726099802901</v>
      </c>
      <c r="AG51">
        <v>1.1556219730301913</v>
      </c>
      <c r="AH51">
        <v>1.1614000828953421</v>
      </c>
      <c r="AI51">
        <v>1.1672070833098187</v>
      </c>
      <c r="AJ51">
        <v>1.1730431187263677</v>
      </c>
      <c r="AK51">
        <v>1.1789083343199993</v>
      </c>
      <c r="AL51">
        <v>1.1848028759915992</v>
      </c>
      <c r="AM51">
        <v>1.1907268903715571</v>
      </c>
      <c r="AN51">
        <v>1.1966805248234147</v>
      </c>
      <c r="AO51">
        <v>1.2026639274475317</v>
      </c>
      <c r="AP51">
        <v>1.2086772470847693</v>
      </c>
      <c r="AQ51">
        <v>1.214720633320193</v>
      </c>
      <c r="AR51">
        <v>1.2207942364867939</v>
      </c>
      <c r="AS51">
        <v>1.2268982076692276</v>
      </c>
      <c r="AT51">
        <v>1.2330326987075737</v>
      </c>
      <c r="AU51">
        <v>1.2391978622011115</v>
      </c>
      <c r="AV51">
        <v>1.2453938515121168</v>
      </c>
      <c r="AW51">
        <v>1.2516208207696773</v>
      </c>
      <c r="AX51">
        <v>1.2578789248735256</v>
      </c>
      <c r="AY51">
        <v>1.264168319497893</v>
      </c>
      <c r="AZ51">
        <v>1.2704891610953823</v>
      </c>
      <c r="BA51">
        <v>1.2768416069008592</v>
      </c>
      <c r="BB51">
        <v>1.2832258149353633</v>
      </c>
      <c r="BC51">
        <v>1.28964194401004</v>
      </c>
      <c r="BD51">
        <v>1.29609015373009</v>
      </c>
      <c r="BE51">
        <v>1.3025706044987404</v>
      </c>
      <c r="BF51">
        <v>1.309083457521234</v>
      </c>
      <c r="BG51">
        <v>1.3156288748088401</v>
      </c>
      <c r="BH51">
        <v>1.3222070191828841</v>
      </c>
      <c r="BI51">
        <v>1.3288180542787984</v>
      </c>
      <c r="BJ51">
        <v>1.3354621445501922</v>
      </c>
      <c r="BK51">
        <v>1.3421394552729429</v>
      </c>
      <c r="BL51">
        <v>1.3488501525493075</v>
      </c>
      <c r="BM51">
        <v>1.3555944033120539</v>
      </c>
      <c r="BN51">
        <v>1.3623723753286141</v>
      </c>
      <c r="BO51">
        <v>1.3691842372052569</v>
      </c>
      <c r="BP51">
        <v>1.3760301583912831</v>
      </c>
      <c r="BQ51">
        <v>1.3829103091832393</v>
      </c>
      <c r="BR51">
        <v>1.3898248607291555</v>
      </c>
      <c r="BS51">
        <v>1.3967739850328011</v>
      </c>
      <c r="BT51">
        <v>1.403757854957965</v>
      </c>
      <c r="BU51">
        <v>1.4107766442327547</v>
      </c>
      <c r="BV51">
        <v>1.4178305274539182</v>
      </c>
      <c r="BW51">
        <v>1.4249196800911876</v>
      </c>
      <c r="BX51">
        <v>1.4320442784916434</v>
      </c>
      <c r="BY51">
        <v>1.4392044998841016</v>
      </c>
      <c r="BZ51">
        <v>1.4464005223835219</v>
      </c>
      <c r="CA51">
        <v>1.4536325249954394</v>
      </c>
      <c r="CB51">
        <v>1.4609006876204165</v>
      </c>
      <c r="CC51">
        <v>1.4682051910585183</v>
      </c>
      <c r="CD51">
        <v>1.4755462170138107</v>
      </c>
      <c r="CE51">
        <v>1.4829239480988796</v>
      </c>
      <c r="CF51">
        <v>1.4903385678393739</v>
      </c>
      <c r="CG51">
        <v>1.4977902606785705</v>
      </c>
      <c r="CH51">
        <v>1.5052792119819631</v>
      </c>
      <c r="CI51">
        <v>1.5128056080418728</v>
      </c>
    </row>
    <row r="52" spans="1:87" x14ac:dyDescent="0.3">
      <c r="A52" s="4" t="s">
        <v>981</v>
      </c>
      <c r="B52" s="4" t="s">
        <v>987</v>
      </c>
      <c r="C52" s="4" t="s">
        <v>1289</v>
      </c>
      <c r="D52">
        <v>1</v>
      </c>
      <c r="E52">
        <v>1.0049999999999999</v>
      </c>
      <c r="F52">
        <v>1.0100249999999997</v>
      </c>
      <c r="G52">
        <v>1.0150751249999996</v>
      </c>
      <c r="H52">
        <v>1.0201505006249996</v>
      </c>
      <c r="I52">
        <v>1.0252512531281244</v>
      </c>
      <c r="J52">
        <v>1.030377509393765</v>
      </c>
      <c r="K52">
        <v>1.0355293969407338</v>
      </c>
      <c r="L52">
        <v>1.0407070439254373</v>
      </c>
      <c r="M52">
        <v>1.0459105791450642</v>
      </c>
      <c r="N52">
        <v>1.0511401320407896</v>
      </c>
      <c r="O52">
        <v>1.0563958327009935</v>
      </c>
      <c r="P52">
        <v>1.0616778118644983</v>
      </c>
      <c r="Q52">
        <v>1.0669862009238207</v>
      </c>
      <c r="R52">
        <v>1.0723211319284396</v>
      </c>
      <c r="S52">
        <v>1.0776827375880818</v>
      </c>
      <c r="T52">
        <v>1.083071151276022</v>
      </c>
      <c r="U52">
        <v>1.0884865070324019</v>
      </c>
      <c r="V52">
        <v>1.0939289395675638</v>
      </c>
      <c r="W52">
        <v>1.0993985842654015</v>
      </c>
      <c r="X52">
        <v>1.1048955771867284</v>
      </c>
      <c r="Y52">
        <v>1.1104200550726619</v>
      </c>
      <c r="Z52">
        <v>1.1159721553480251</v>
      </c>
      <c r="AA52">
        <v>1.1215520161247652</v>
      </c>
      <c r="AB52">
        <v>1.1271597762053889</v>
      </c>
      <c r="AC52">
        <v>1.1327955750864158</v>
      </c>
      <c r="AD52">
        <v>1.1384595529618478</v>
      </c>
      <c r="AE52">
        <v>1.1441518507266568</v>
      </c>
      <c r="AF52">
        <v>1.1498726099802901</v>
      </c>
      <c r="AG52">
        <v>1.1556219730301913</v>
      </c>
      <c r="AH52">
        <v>1.1614000828953421</v>
      </c>
      <c r="AI52">
        <v>1.1672070833098187</v>
      </c>
      <c r="AJ52">
        <v>1.1730431187263677</v>
      </c>
      <c r="AK52">
        <v>1.1789083343199993</v>
      </c>
      <c r="AL52">
        <v>1.1848028759915992</v>
      </c>
      <c r="AM52">
        <v>1.1907268903715571</v>
      </c>
      <c r="AN52">
        <v>1.1966805248234147</v>
      </c>
      <c r="AO52">
        <v>1.2026639274475317</v>
      </c>
      <c r="AP52">
        <v>1.2086772470847693</v>
      </c>
      <c r="AQ52">
        <v>1.214720633320193</v>
      </c>
      <c r="AR52">
        <v>1.2207942364867939</v>
      </c>
      <c r="AS52">
        <v>1.2268982076692276</v>
      </c>
      <c r="AT52">
        <v>1.2330326987075737</v>
      </c>
      <c r="AU52">
        <v>1.2391978622011115</v>
      </c>
      <c r="AV52">
        <v>1.2453938515121168</v>
      </c>
      <c r="AW52">
        <v>1.2516208207696773</v>
      </c>
      <c r="AX52">
        <v>1.2578789248735256</v>
      </c>
      <c r="AY52">
        <v>1.264168319497893</v>
      </c>
      <c r="AZ52">
        <v>1.2704891610953823</v>
      </c>
      <c r="BA52">
        <v>1.2768416069008592</v>
      </c>
      <c r="BB52">
        <v>1.2832258149353633</v>
      </c>
      <c r="BC52">
        <v>1.28964194401004</v>
      </c>
      <c r="BD52">
        <v>1.29609015373009</v>
      </c>
      <c r="BE52">
        <v>1.3025706044987404</v>
      </c>
      <c r="BF52">
        <v>1.309083457521234</v>
      </c>
      <c r="BG52">
        <v>1.3156288748088401</v>
      </c>
      <c r="BH52">
        <v>1.3222070191828841</v>
      </c>
      <c r="BI52">
        <v>1.3288180542787984</v>
      </c>
      <c r="BJ52">
        <v>1.3354621445501922</v>
      </c>
      <c r="BK52">
        <v>1.3421394552729429</v>
      </c>
      <c r="BL52">
        <v>1.3488501525493075</v>
      </c>
      <c r="BM52">
        <v>1.3555944033120539</v>
      </c>
      <c r="BN52">
        <v>1.3623723753286141</v>
      </c>
      <c r="BO52">
        <v>1.3691842372052569</v>
      </c>
      <c r="BP52">
        <v>1.3760301583912831</v>
      </c>
      <c r="BQ52">
        <v>1.3829103091832393</v>
      </c>
      <c r="BR52">
        <v>1.3898248607291555</v>
      </c>
      <c r="BS52">
        <v>1.3967739850328011</v>
      </c>
      <c r="BT52">
        <v>1.403757854957965</v>
      </c>
      <c r="BU52">
        <v>1.4107766442327547</v>
      </c>
      <c r="BV52">
        <v>1.4178305274539182</v>
      </c>
      <c r="BW52">
        <v>1.4249196800911876</v>
      </c>
      <c r="BX52">
        <v>1.4320442784916434</v>
      </c>
      <c r="BY52">
        <v>1.4392044998841016</v>
      </c>
      <c r="BZ52">
        <v>1.4464005223835219</v>
      </c>
      <c r="CA52">
        <v>1.4536325249954394</v>
      </c>
      <c r="CB52">
        <v>1.4609006876204165</v>
      </c>
      <c r="CC52">
        <v>1.4682051910585183</v>
      </c>
      <c r="CD52">
        <v>1.4755462170138107</v>
      </c>
      <c r="CE52">
        <v>1.4829239480988796</v>
      </c>
      <c r="CF52">
        <v>1.4903385678393739</v>
      </c>
      <c r="CG52">
        <v>1.4977902606785705</v>
      </c>
      <c r="CH52">
        <v>1.5052792119819631</v>
      </c>
      <c r="CI52">
        <v>1.5128056080418728</v>
      </c>
    </row>
    <row r="53" spans="1:87" x14ac:dyDescent="0.3">
      <c r="A53" s="4" t="s">
        <v>981</v>
      </c>
      <c r="B53" s="4" t="s">
        <v>987</v>
      </c>
      <c r="C53" s="4" t="s">
        <v>1290</v>
      </c>
      <c r="D53">
        <v>1</v>
      </c>
      <c r="E53">
        <v>1.0049999999999999</v>
      </c>
      <c r="F53">
        <v>1.0100249999999997</v>
      </c>
      <c r="G53">
        <v>1.0150751249999996</v>
      </c>
      <c r="H53">
        <v>1.0201505006249996</v>
      </c>
      <c r="I53">
        <v>1.0252512531281244</v>
      </c>
      <c r="J53">
        <v>1.030377509393765</v>
      </c>
      <c r="K53">
        <v>1.0355293969407338</v>
      </c>
      <c r="L53">
        <v>1.0407070439254373</v>
      </c>
      <c r="M53">
        <v>1.0459105791450642</v>
      </c>
      <c r="N53">
        <v>1.0511401320407896</v>
      </c>
      <c r="O53">
        <v>1.0563958327009935</v>
      </c>
      <c r="P53">
        <v>1.0616778118644983</v>
      </c>
      <c r="Q53">
        <v>1.0669862009238207</v>
      </c>
      <c r="R53">
        <v>1.0723211319284396</v>
      </c>
      <c r="S53">
        <v>1.0776827375880818</v>
      </c>
      <c r="T53">
        <v>1.083071151276022</v>
      </c>
      <c r="U53">
        <v>1.0884865070324019</v>
      </c>
      <c r="V53">
        <v>1.0939289395675638</v>
      </c>
      <c r="W53">
        <v>1.0993985842654015</v>
      </c>
      <c r="X53">
        <v>1.1048955771867284</v>
      </c>
      <c r="Y53">
        <v>1.1104200550726619</v>
      </c>
      <c r="Z53">
        <v>1.1159721553480251</v>
      </c>
      <c r="AA53">
        <v>1.1215520161247652</v>
      </c>
      <c r="AB53">
        <v>1.1271597762053889</v>
      </c>
      <c r="AC53">
        <v>1.1327955750864158</v>
      </c>
      <c r="AD53">
        <v>1.1384595529618478</v>
      </c>
      <c r="AE53">
        <v>1.1441518507266568</v>
      </c>
      <c r="AF53">
        <v>1.1498726099802901</v>
      </c>
      <c r="AG53">
        <v>1.1556219730301913</v>
      </c>
      <c r="AH53">
        <v>1.1614000828953421</v>
      </c>
      <c r="AI53">
        <v>1.1672070833098187</v>
      </c>
      <c r="AJ53">
        <v>1.1730431187263677</v>
      </c>
      <c r="AK53">
        <v>1.1789083343199993</v>
      </c>
      <c r="AL53">
        <v>1.1848028759915992</v>
      </c>
      <c r="AM53">
        <v>1.1907268903715571</v>
      </c>
      <c r="AN53">
        <v>1.1966805248234147</v>
      </c>
      <c r="AO53">
        <v>1.2026639274475317</v>
      </c>
      <c r="AP53">
        <v>1.2086772470847693</v>
      </c>
      <c r="AQ53">
        <v>1.214720633320193</v>
      </c>
      <c r="AR53">
        <v>1.2207942364867939</v>
      </c>
      <c r="AS53">
        <v>1.2268982076692276</v>
      </c>
      <c r="AT53">
        <v>1.2330326987075737</v>
      </c>
      <c r="AU53">
        <v>1.2391978622011115</v>
      </c>
      <c r="AV53">
        <v>1.2453938515121168</v>
      </c>
      <c r="AW53">
        <v>1.2516208207696773</v>
      </c>
      <c r="AX53">
        <v>1.2578789248735256</v>
      </c>
      <c r="AY53">
        <v>1.264168319497893</v>
      </c>
      <c r="AZ53">
        <v>1.2704891610953823</v>
      </c>
      <c r="BA53">
        <v>1.2768416069008592</v>
      </c>
      <c r="BB53">
        <v>1.2832258149353633</v>
      </c>
      <c r="BC53">
        <v>1.28964194401004</v>
      </c>
      <c r="BD53">
        <v>1.29609015373009</v>
      </c>
      <c r="BE53">
        <v>1.3025706044987404</v>
      </c>
      <c r="BF53">
        <v>1.309083457521234</v>
      </c>
      <c r="BG53">
        <v>1.3156288748088401</v>
      </c>
      <c r="BH53">
        <v>1.3222070191828841</v>
      </c>
      <c r="BI53">
        <v>1.3288180542787984</v>
      </c>
      <c r="BJ53">
        <v>1.3354621445501922</v>
      </c>
      <c r="BK53">
        <v>1.3421394552729429</v>
      </c>
      <c r="BL53">
        <v>1.3488501525493075</v>
      </c>
      <c r="BM53">
        <v>1.3555944033120539</v>
      </c>
      <c r="BN53">
        <v>1.3623723753286141</v>
      </c>
      <c r="BO53">
        <v>1.3691842372052569</v>
      </c>
      <c r="BP53">
        <v>1.3760301583912831</v>
      </c>
      <c r="BQ53">
        <v>1.3829103091832393</v>
      </c>
      <c r="BR53">
        <v>1.3898248607291555</v>
      </c>
      <c r="BS53">
        <v>1.3967739850328011</v>
      </c>
      <c r="BT53">
        <v>1.403757854957965</v>
      </c>
      <c r="BU53">
        <v>1.4107766442327547</v>
      </c>
      <c r="BV53">
        <v>1.4178305274539182</v>
      </c>
      <c r="BW53">
        <v>1.4249196800911876</v>
      </c>
      <c r="BX53">
        <v>1.4320442784916434</v>
      </c>
      <c r="BY53">
        <v>1.4392044998841016</v>
      </c>
      <c r="BZ53">
        <v>1.4464005223835219</v>
      </c>
      <c r="CA53">
        <v>1.4536325249954394</v>
      </c>
      <c r="CB53">
        <v>1.4609006876204165</v>
      </c>
      <c r="CC53">
        <v>1.4682051910585183</v>
      </c>
      <c r="CD53">
        <v>1.4755462170138107</v>
      </c>
      <c r="CE53">
        <v>1.4829239480988796</v>
      </c>
      <c r="CF53">
        <v>1.4903385678393739</v>
      </c>
      <c r="CG53">
        <v>1.4977902606785705</v>
      </c>
      <c r="CH53">
        <v>1.5052792119819631</v>
      </c>
      <c r="CI53">
        <v>1.5128056080418728</v>
      </c>
    </row>
    <row r="54" spans="1:87" x14ac:dyDescent="0.3">
      <c r="A54" s="4" t="s">
        <v>981</v>
      </c>
      <c r="B54" s="4" t="s">
        <v>987</v>
      </c>
      <c r="C54" s="4" t="s">
        <v>1291</v>
      </c>
      <c r="D54">
        <v>1</v>
      </c>
      <c r="E54">
        <v>1.0049999999999999</v>
      </c>
      <c r="F54">
        <v>1.0100249999999997</v>
      </c>
      <c r="G54">
        <v>1.0150751249999996</v>
      </c>
      <c r="H54">
        <v>1.0201505006249996</v>
      </c>
      <c r="I54">
        <v>1.0252512531281244</v>
      </c>
      <c r="J54">
        <v>1.030377509393765</v>
      </c>
      <c r="K54">
        <v>1.0355293969407338</v>
      </c>
      <c r="L54">
        <v>1.0407070439254373</v>
      </c>
      <c r="M54">
        <v>1.0459105791450642</v>
      </c>
      <c r="N54">
        <v>1.0511401320407896</v>
      </c>
      <c r="O54">
        <v>1.0563958327009935</v>
      </c>
      <c r="P54">
        <v>1.0616778118644983</v>
      </c>
      <c r="Q54">
        <v>1.0669862009238207</v>
      </c>
      <c r="R54">
        <v>1.0723211319284396</v>
      </c>
      <c r="S54">
        <v>1.0776827375880818</v>
      </c>
      <c r="T54">
        <v>1.083071151276022</v>
      </c>
      <c r="U54">
        <v>1.0884865070324019</v>
      </c>
      <c r="V54">
        <v>1.0939289395675638</v>
      </c>
      <c r="W54">
        <v>1.0993985842654015</v>
      </c>
      <c r="X54">
        <v>1.1048955771867284</v>
      </c>
      <c r="Y54">
        <v>1.1104200550726619</v>
      </c>
      <c r="Z54">
        <v>1.1159721553480251</v>
      </c>
      <c r="AA54">
        <v>1.1215520161247652</v>
      </c>
      <c r="AB54">
        <v>1.1271597762053889</v>
      </c>
      <c r="AC54">
        <v>1.1327955750864158</v>
      </c>
      <c r="AD54">
        <v>1.1384595529618478</v>
      </c>
      <c r="AE54">
        <v>1.1441518507266568</v>
      </c>
      <c r="AF54">
        <v>1.1498726099802901</v>
      </c>
      <c r="AG54">
        <v>1.1556219730301913</v>
      </c>
      <c r="AH54">
        <v>1.1614000828953421</v>
      </c>
      <c r="AI54">
        <v>1.1672070833098187</v>
      </c>
      <c r="AJ54">
        <v>1.1730431187263677</v>
      </c>
      <c r="AK54">
        <v>1.1789083343199993</v>
      </c>
      <c r="AL54">
        <v>1.1848028759915992</v>
      </c>
      <c r="AM54">
        <v>1.1907268903715571</v>
      </c>
      <c r="AN54">
        <v>1.1966805248234147</v>
      </c>
      <c r="AO54">
        <v>1.2026639274475317</v>
      </c>
      <c r="AP54">
        <v>1.2086772470847693</v>
      </c>
      <c r="AQ54">
        <v>1.214720633320193</v>
      </c>
      <c r="AR54">
        <v>1.2207942364867939</v>
      </c>
      <c r="AS54">
        <v>1.2268982076692276</v>
      </c>
      <c r="AT54">
        <v>1.2330326987075737</v>
      </c>
      <c r="AU54">
        <v>1.2391978622011115</v>
      </c>
      <c r="AV54">
        <v>1.2453938515121168</v>
      </c>
      <c r="AW54">
        <v>1.2516208207696773</v>
      </c>
      <c r="AX54">
        <v>1.2578789248735256</v>
      </c>
      <c r="AY54">
        <v>1.264168319497893</v>
      </c>
      <c r="AZ54">
        <v>1.2704891610953823</v>
      </c>
      <c r="BA54">
        <v>1.2768416069008592</v>
      </c>
      <c r="BB54">
        <v>1.2832258149353633</v>
      </c>
      <c r="BC54">
        <v>1.28964194401004</v>
      </c>
      <c r="BD54">
        <v>1.29609015373009</v>
      </c>
      <c r="BE54">
        <v>1.3025706044987404</v>
      </c>
      <c r="BF54">
        <v>1.309083457521234</v>
      </c>
      <c r="BG54">
        <v>1.3156288748088401</v>
      </c>
      <c r="BH54">
        <v>1.3222070191828841</v>
      </c>
      <c r="BI54">
        <v>1.3288180542787984</v>
      </c>
      <c r="BJ54">
        <v>1.3354621445501922</v>
      </c>
      <c r="BK54">
        <v>1.3421394552729429</v>
      </c>
      <c r="BL54">
        <v>1.3488501525493075</v>
      </c>
      <c r="BM54">
        <v>1.3555944033120539</v>
      </c>
      <c r="BN54">
        <v>1.3623723753286141</v>
      </c>
      <c r="BO54">
        <v>1.3691842372052569</v>
      </c>
      <c r="BP54">
        <v>1.3760301583912831</v>
      </c>
      <c r="BQ54">
        <v>1.3829103091832393</v>
      </c>
      <c r="BR54">
        <v>1.3898248607291555</v>
      </c>
      <c r="BS54">
        <v>1.3967739850328011</v>
      </c>
      <c r="BT54">
        <v>1.403757854957965</v>
      </c>
      <c r="BU54">
        <v>1.4107766442327547</v>
      </c>
      <c r="BV54">
        <v>1.4178305274539182</v>
      </c>
      <c r="BW54">
        <v>1.4249196800911876</v>
      </c>
      <c r="BX54">
        <v>1.4320442784916434</v>
      </c>
      <c r="BY54">
        <v>1.4392044998841016</v>
      </c>
      <c r="BZ54">
        <v>1.4464005223835219</v>
      </c>
      <c r="CA54">
        <v>1.4536325249954394</v>
      </c>
      <c r="CB54">
        <v>1.4609006876204165</v>
      </c>
      <c r="CC54">
        <v>1.4682051910585183</v>
      </c>
      <c r="CD54">
        <v>1.4755462170138107</v>
      </c>
      <c r="CE54">
        <v>1.4829239480988796</v>
      </c>
      <c r="CF54">
        <v>1.4903385678393739</v>
      </c>
      <c r="CG54">
        <v>1.4977902606785705</v>
      </c>
      <c r="CH54">
        <v>1.5052792119819631</v>
      </c>
      <c r="CI54">
        <v>1.5128056080418728</v>
      </c>
    </row>
    <row r="55" spans="1:87" x14ac:dyDescent="0.3">
      <c r="A55" s="4" t="s">
        <v>981</v>
      </c>
      <c r="B55" s="4" t="s">
        <v>987</v>
      </c>
      <c r="C55" s="4" t="s">
        <v>1292</v>
      </c>
      <c r="D55">
        <v>1</v>
      </c>
      <c r="E55">
        <v>1.0049999999999999</v>
      </c>
      <c r="F55">
        <v>1.0100249999999997</v>
      </c>
      <c r="G55">
        <v>1.0150751249999996</v>
      </c>
      <c r="H55">
        <v>1.0201505006249996</v>
      </c>
      <c r="I55">
        <v>1.0252512531281244</v>
      </c>
      <c r="J55">
        <v>1.030377509393765</v>
      </c>
      <c r="K55">
        <v>1.0355293969407338</v>
      </c>
      <c r="L55">
        <v>1.0407070439254373</v>
      </c>
      <c r="M55">
        <v>1.0459105791450642</v>
      </c>
      <c r="N55">
        <v>1.0511401320407896</v>
      </c>
      <c r="O55">
        <v>1.0563958327009935</v>
      </c>
      <c r="P55">
        <v>1.0616778118644983</v>
      </c>
      <c r="Q55">
        <v>1.0669862009238207</v>
      </c>
      <c r="R55">
        <v>1.0723211319284396</v>
      </c>
      <c r="S55">
        <v>1.0776827375880818</v>
      </c>
      <c r="T55">
        <v>1.083071151276022</v>
      </c>
      <c r="U55">
        <v>1.0884865070324019</v>
      </c>
      <c r="V55">
        <v>1.0939289395675638</v>
      </c>
      <c r="W55">
        <v>1.0993985842654015</v>
      </c>
      <c r="X55">
        <v>1.1048955771867284</v>
      </c>
      <c r="Y55">
        <v>1.1104200550726619</v>
      </c>
      <c r="Z55">
        <v>1.1159721553480251</v>
      </c>
      <c r="AA55">
        <v>1.1215520161247652</v>
      </c>
      <c r="AB55">
        <v>1.1271597762053889</v>
      </c>
      <c r="AC55">
        <v>1.1327955750864158</v>
      </c>
      <c r="AD55">
        <v>1.1384595529618478</v>
      </c>
      <c r="AE55">
        <v>1.1441518507266568</v>
      </c>
      <c r="AF55">
        <v>1.1498726099802901</v>
      </c>
      <c r="AG55">
        <v>1.1556219730301913</v>
      </c>
      <c r="AH55">
        <v>1.1614000828953421</v>
      </c>
      <c r="AI55">
        <v>1.1672070833098187</v>
      </c>
      <c r="AJ55">
        <v>1.1730431187263677</v>
      </c>
      <c r="AK55">
        <v>1.1789083343199993</v>
      </c>
      <c r="AL55">
        <v>1.1848028759915992</v>
      </c>
      <c r="AM55">
        <v>1.1907268903715571</v>
      </c>
      <c r="AN55">
        <v>1.1966805248234147</v>
      </c>
      <c r="AO55">
        <v>1.2026639274475317</v>
      </c>
      <c r="AP55">
        <v>1.2086772470847693</v>
      </c>
      <c r="AQ55">
        <v>1.214720633320193</v>
      </c>
      <c r="AR55">
        <v>1.2207942364867939</v>
      </c>
      <c r="AS55">
        <v>1.2268982076692276</v>
      </c>
      <c r="AT55">
        <v>1.2330326987075737</v>
      </c>
      <c r="AU55">
        <v>1.2391978622011115</v>
      </c>
      <c r="AV55">
        <v>1.2453938515121168</v>
      </c>
      <c r="AW55">
        <v>1.2516208207696773</v>
      </c>
      <c r="AX55">
        <v>1.2578789248735256</v>
      </c>
      <c r="AY55">
        <v>1.264168319497893</v>
      </c>
      <c r="AZ55">
        <v>1.2704891610953823</v>
      </c>
      <c r="BA55">
        <v>1.2768416069008592</v>
      </c>
      <c r="BB55">
        <v>1.2832258149353633</v>
      </c>
      <c r="BC55">
        <v>1.28964194401004</v>
      </c>
      <c r="BD55">
        <v>1.29609015373009</v>
      </c>
      <c r="BE55">
        <v>1.3025706044987404</v>
      </c>
      <c r="BF55">
        <v>1.309083457521234</v>
      </c>
      <c r="BG55">
        <v>1.3156288748088401</v>
      </c>
      <c r="BH55">
        <v>1.3222070191828841</v>
      </c>
      <c r="BI55">
        <v>1.3288180542787984</v>
      </c>
      <c r="BJ55">
        <v>1.3354621445501922</v>
      </c>
      <c r="BK55">
        <v>1.3421394552729429</v>
      </c>
      <c r="BL55">
        <v>1.3488501525493075</v>
      </c>
      <c r="BM55">
        <v>1.3555944033120539</v>
      </c>
      <c r="BN55">
        <v>1.3623723753286141</v>
      </c>
      <c r="BO55">
        <v>1.3691842372052569</v>
      </c>
      <c r="BP55">
        <v>1.3760301583912831</v>
      </c>
      <c r="BQ55">
        <v>1.3829103091832393</v>
      </c>
      <c r="BR55">
        <v>1.3898248607291555</v>
      </c>
      <c r="BS55">
        <v>1.3967739850328011</v>
      </c>
      <c r="BT55">
        <v>1.403757854957965</v>
      </c>
      <c r="BU55">
        <v>1.4107766442327547</v>
      </c>
      <c r="BV55">
        <v>1.4178305274539182</v>
      </c>
      <c r="BW55">
        <v>1.4249196800911876</v>
      </c>
      <c r="BX55">
        <v>1.4320442784916434</v>
      </c>
      <c r="BY55">
        <v>1.4392044998841016</v>
      </c>
      <c r="BZ55">
        <v>1.4464005223835219</v>
      </c>
      <c r="CA55">
        <v>1.4536325249954394</v>
      </c>
      <c r="CB55">
        <v>1.4609006876204165</v>
      </c>
      <c r="CC55">
        <v>1.4682051910585183</v>
      </c>
      <c r="CD55">
        <v>1.4755462170138107</v>
      </c>
      <c r="CE55">
        <v>1.4829239480988796</v>
      </c>
      <c r="CF55">
        <v>1.4903385678393739</v>
      </c>
      <c r="CG55">
        <v>1.4977902606785705</v>
      </c>
      <c r="CH55">
        <v>1.5052792119819631</v>
      </c>
      <c r="CI55">
        <v>1.5128056080418728</v>
      </c>
    </row>
    <row r="56" spans="1:87" x14ac:dyDescent="0.3">
      <c r="A56" s="4" t="s">
        <v>981</v>
      </c>
      <c r="B56" s="4" t="s">
        <v>987</v>
      </c>
      <c r="C56" s="4" t="s">
        <v>1293</v>
      </c>
      <c r="D56">
        <v>1</v>
      </c>
      <c r="E56">
        <v>1.0049999999999999</v>
      </c>
      <c r="F56">
        <v>1.0100249999999997</v>
      </c>
      <c r="G56">
        <v>1.0150751249999996</v>
      </c>
      <c r="H56">
        <v>1.0201505006249996</v>
      </c>
      <c r="I56">
        <v>1.0252512531281244</v>
      </c>
      <c r="J56">
        <v>1.030377509393765</v>
      </c>
      <c r="K56">
        <v>1.0355293969407338</v>
      </c>
      <c r="L56">
        <v>1.0407070439254373</v>
      </c>
      <c r="M56">
        <v>1.0459105791450642</v>
      </c>
      <c r="N56">
        <v>1.0511401320407896</v>
      </c>
      <c r="O56">
        <v>1.0563958327009935</v>
      </c>
      <c r="P56">
        <v>1.0616778118644983</v>
      </c>
      <c r="Q56">
        <v>1.0669862009238207</v>
      </c>
      <c r="R56">
        <v>1.0723211319284396</v>
      </c>
      <c r="S56">
        <v>1.0776827375880818</v>
      </c>
      <c r="T56">
        <v>1.083071151276022</v>
      </c>
      <c r="U56">
        <v>1.0884865070324019</v>
      </c>
      <c r="V56">
        <v>1.0939289395675638</v>
      </c>
      <c r="W56">
        <v>1.0993985842654015</v>
      </c>
      <c r="X56">
        <v>1.1048955771867284</v>
      </c>
      <c r="Y56">
        <v>1.1104200550726619</v>
      </c>
      <c r="Z56">
        <v>1.1159721553480251</v>
      </c>
      <c r="AA56">
        <v>1.1215520161247652</v>
      </c>
      <c r="AB56">
        <v>1.1271597762053889</v>
      </c>
      <c r="AC56">
        <v>1.1327955750864158</v>
      </c>
      <c r="AD56">
        <v>1.1384595529618478</v>
      </c>
      <c r="AE56">
        <v>1.1441518507266568</v>
      </c>
      <c r="AF56">
        <v>1.1498726099802901</v>
      </c>
      <c r="AG56">
        <v>1.1556219730301913</v>
      </c>
      <c r="AH56">
        <v>1.1614000828953421</v>
      </c>
      <c r="AI56">
        <v>1.1672070833098187</v>
      </c>
      <c r="AJ56">
        <v>1.1730431187263677</v>
      </c>
      <c r="AK56">
        <v>1.1789083343199993</v>
      </c>
      <c r="AL56">
        <v>1.1848028759915992</v>
      </c>
      <c r="AM56">
        <v>1.1907268903715571</v>
      </c>
      <c r="AN56">
        <v>1.1966805248234147</v>
      </c>
      <c r="AO56">
        <v>1.2026639274475317</v>
      </c>
      <c r="AP56">
        <v>1.2086772470847693</v>
      </c>
      <c r="AQ56">
        <v>1.214720633320193</v>
      </c>
      <c r="AR56">
        <v>1.2207942364867939</v>
      </c>
      <c r="AS56">
        <v>1.2268982076692276</v>
      </c>
      <c r="AT56">
        <v>1.2330326987075737</v>
      </c>
      <c r="AU56">
        <v>1.2391978622011115</v>
      </c>
      <c r="AV56">
        <v>1.2453938515121168</v>
      </c>
      <c r="AW56">
        <v>1.2516208207696773</v>
      </c>
      <c r="AX56">
        <v>1.2578789248735256</v>
      </c>
      <c r="AY56">
        <v>1.264168319497893</v>
      </c>
      <c r="AZ56">
        <v>1.2704891610953823</v>
      </c>
      <c r="BA56">
        <v>1.2768416069008592</v>
      </c>
      <c r="BB56">
        <v>1.2832258149353633</v>
      </c>
      <c r="BC56">
        <v>1.28964194401004</v>
      </c>
      <c r="BD56">
        <v>1.29609015373009</v>
      </c>
      <c r="BE56">
        <v>1.3025706044987404</v>
      </c>
      <c r="BF56">
        <v>1.309083457521234</v>
      </c>
      <c r="BG56">
        <v>1.3156288748088401</v>
      </c>
      <c r="BH56">
        <v>1.3222070191828841</v>
      </c>
      <c r="BI56">
        <v>1.3288180542787984</v>
      </c>
      <c r="BJ56">
        <v>1.3354621445501922</v>
      </c>
      <c r="BK56">
        <v>1.3421394552729429</v>
      </c>
      <c r="BL56">
        <v>1.3488501525493075</v>
      </c>
      <c r="BM56">
        <v>1.3555944033120539</v>
      </c>
      <c r="BN56">
        <v>1.3623723753286141</v>
      </c>
      <c r="BO56">
        <v>1.3691842372052569</v>
      </c>
      <c r="BP56">
        <v>1.3760301583912831</v>
      </c>
      <c r="BQ56">
        <v>1.3829103091832393</v>
      </c>
      <c r="BR56">
        <v>1.3898248607291555</v>
      </c>
      <c r="BS56">
        <v>1.3967739850328011</v>
      </c>
      <c r="BT56">
        <v>1.403757854957965</v>
      </c>
      <c r="BU56">
        <v>1.4107766442327547</v>
      </c>
      <c r="BV56">
        <v>1.4178305274539182</v>
      </c>
      <c r="BW56">
        <v>1.4249196800911876</v>
      </c>
      <c r="BX56">
        <v>1.4320442784916434</v>
      </c>
      <c r="BY56">
        <v>1.4392044998841016</v>
      </c>
      <c r="BZ56">
        <v>1.4464005223835219</v>
      </c>
      <c r="CA56">
        <v>1.4536325249954394</v>
      </c>
      <c r="CB56">
        <v>1.4609006876204165</v>
      </c>
      <c r="CC56">
        <v>1.4682051910585183</v>
      </c>
      <c r="CD56">
        <v>1.4755462170138107</v>
      </c>
      <c r="CE56">
        <v>1.4829239480988796</v>
      </c>
      <c r="CF56">
        <v>1.4903385678393739</v>
      </c>
      <c r="CG56">
        <v>1.4977902606785705</v>
      </c>
      <c r="CH56">
        <v>1.5052792119819631</v>
      </c>
      <c r="CI56">
        <v>1.5128056080418728</v>
      </c>
    </row>
    <row r="57" spans="1:87" x14ac:dyDescent="0.3">
      <c r="A57" s="4" t="s">
        <v>981</v>
      </c>
      <c r="B57" s="4" t="s">
        <v>987</v>
      </c>
      <c r="C57" s="4" t="s">
        <v>1294</v>
      </c>
      <c r="D57">
        <v>1</v>
      </c>
      <c r="E57">
        <v>1.0049999999999999</v>
      </c>
      <c r="F57">
        <v>1.0100249999999997</v>
      </c>
      <c r="G57">
        <v>1.0150751249999996</v>
      </c>
      <c r="H57">
        <v>1.0201505006249996</v>
      </c>
      <c r="I57">
        <v>1.0252512531281244</v>
      </c>
      <c r="J57">
        <v>1.030377509393765</v>
      </c>
      <c r="K57">
        <v>1.0355293969407338</v>
      </c>
      <c r="L57">
        <v>1.0407070439254373</v>
      </c>
      <c r="M57">
        <v>1.0459105791450642</v>
      </c>
      <c r="N57">
        <v>1.0511401320407896</v>
      </c>
      <c r="O57">
        <v>1.0563958327009935</v>
      </c>
      <c r="P57">
        <v>1.0616778118644983</v>
      </c>
      <c r="Q57">
        <v>1.0669862009238207</v>
      </c>
      <c r="R57">
        <v>1.0723211319284396</v>
      </c>
      <c r="S57">
        <v>1.0776827375880818</v>
      </c>
      <c r="T57">
        <v>1.083071151276022</v>
      </c>
      <c r="U57">
        <v>1.0884865070324019</v>
      </c>
      <c r="V57">
        <v>1.0939289395675638</v>
      </c>
      <c r="W57">
        <v>1.0993985842654015</v>
      </c>
      <c r="X57">
        <v>1.1048955771867284</v>
      </c>
      <c r="Y57">
        <v>1.1104200550726619</v>
      </c>
      <c r="Z57">
        <v>1.1159721553480251</v>
      </c>
      <c r="AA57">
        <v>1.1215520161247652</v>
      </c>
      <c r="AB57">
        <v>1.1271597762053889</v>
      </c>
      <c r="AC57">
        <v>1.1327955750864158</v>
      </c>
      <c r="AD57">
        <v>1.1384595529618478</v>
      </c>
      <c r="AE57">
        <v>1.1441518507266568</v>
      </c>
      <c r="AF57">
        <v>1.1498726099802901</v>
      </c>
      <c r="AG57">
        <v>1.1556219730301913</v>
      </c>
      <c r="AH57">
        <v>1.1614000828953421</v>
      </c>
      <c r="AI57">
        <v>1.1672070833098187</v>
      </c>
      <c r="AJ57">
        <v>1.1730431187263677</v>
      </c>
      <c r="AK57">
        <v>1.1789083343199993</v>
      </c>
      <c r="AL57">
        <v>1.1848028759915992</v>
      </c>
      <c r="AM57">
        <v>1.1907268903715571</v>
      </c>
      <c r="AN57">
        <v>1.1966805248234147</v>
      </c>
      <c r="AO57">
        <v>1.2026639274475317</v>
      </c>
      <c r="AP57">
        <v>1.2086772470847693</v>
      </c>
      <c r="AQ57">
        <v>1.214720633320193</v>
      </c>
      <c r="AR57">
        <v>1.2207942364867939</v>
      </c>
      <c r="AS57">
        <v>1.2268982076692276</v>
      </c>
      <c r="AT57">
        <v>1.2330326987075737</v>
      </c>
      <c r="AU57">
        <v>1.2391978622011115</v>
      </c>
      <c r="AV57">
        <v>1.2453938515121168</v>
      </c>
      <c r="AW57">
        <v>1.2516208207696773</v>
      </c>
      <c r="AX57">
        <v>1.2578789248735256</v>
      </c>
      <c r="AY57">
        <v>1.264168319497893</v>
      </c>
      <c r="AZ57">
        <v>1.2704891610953823</v>
      </c>
      <c r="BA57">
        <v>1.2768416069008592</v>
      </c>
      <c r="BB57">
        <v>1.2832258149353633</v>
      </c>
      <c r="BC57">
        <v>1.28964194401004</v>
      </c>
      <c r="BD57">
        <v>1.29609015373009</v>
      </c>
      <c r="BE57">
        <v>1.3025706044987404</v>
      </c>
      <c r="BF57">
        <v>1.309083457521234</v>
      </c>
      <c r="BG57">
        <v>1.3156288748088401</v>
      </c>
      <c r="BH57">
        <v>1.3222070191828841</v>
      </c>
      <c r="BI57">
        <v>1.3288180542787984</v>
      </c>
      <c r="BJ57">
        <v>1.3354621445501922</v>
      </c>
      <c r="BK57">
        <v>1.3421394552729429</v>
      </c>
      <c r="BL57">
        <v>1.3488501525493075</v>
      </c>
      <c r="BM57">
        <v>1.3555944033120539</v>
      </c>
      <c r="BN57">
        <v>1.3623723753286141</v>
      </c>
      <c r="BO57">
        <v>1.3691842372052569</v>
      </c>
      <c r="BP57">
        <v>1.3760301583912831</v>
      </c>
      <c r="BQ57">
        <v>1.3829103091832393</v>
      </c>
      <c r="BR57">
        <v>1.3898248607291555</v>
      </c>
      <c r="BS57">
        <v>1.3967739850328011</v>
      </c>
      <c r="BT57">
        <v>1.403757854957965</v>
      </c>
      <c r="BU57">
        <v>1.4107766442327547</v>
      </c>
      <c r="BV57">
        <v>1.4178305274539182</v>
      </c>
      <c r="BW57">
        <v>1.4249196800911876</v>
      </c>
      <c r="BX57">
        <v>1.4320442784916434</v>
      </c>
      <c r="BY57">
        <v>1.4392044998841016</v>
      </c>
      <c r="BZ57">
        <v>1.4464005223835219</v>
      </c>
      <c r="CA57">
        <v>1.4536325249954394</v>
      </c>
      <c r="CB57">
        <v>1.4609006876204165</v>
      </c>
      <c r="CC57">
        <v>1.4682051910585183</v>
      </c>
      <c r="CD57">
        <v>1.4755462170138107</v>
      </c>
      <c r="CE57">
        <v>1.4829239480988796</v>
      </c>
      <c r="CF57">
        <v>1.4903385678393739</v>
      </c>
      <c r="CG57">
        <v>1.4977902606785705</v>
      </c>
      <c r="CH57">
        <v>1.5052792119819631</v>
      </c>
      <c r="CI57">
        <v>1.5128056080418728</v>
      </c>
    </row>
    <row r="58" spans="1:87" x14ac:dyDescent="0.3">
      <c r="A58" s="4" t="s">
        <v>981</v>
      </c>
      <c r="B58" s="4" t="s">
        <v>987</v>
      </c>
      <c r="C58" s="4" t="s">
        <v>1295</v>
      </c>
      <c r="D58">
        <v>1</v>
      </c>
      <c r="E58">
        <v>1.0049999999999999</v>
      </c>
      <c r="F58">
        <v>1.0100249999999997</v>
      </c>
      <c r="G58">
        <v>1.0150751249999996</v>
      </c>
      <c r="H58">
        <v>1.0201505006249996</v>
      </c>
      <c r="I58">
        <v>1.0252512531281244</v>
      </c>
      <c r="J58">
        <v>1.030377509393765</v>
      </c>
      <c r="K58">
        <v>1.0355293969407338</v>
      </c>
      <c r="L58">
        <v>1.0407070439254373</v>
      </c>
      <c r="M58">
        <v>1.0459105791450642</v>
      </c>
      <c r="N58">
        <v>1.0511401320407896</v>
      </c>
      <c r="O58">
        <v>1.0563958327009935</v>
      </c>
      <c r="P58">
        <v>1.0616778118644983</v>
      </c>
      <c r="Q58">
        <v>1.0669862009238207</v>
      </c>
      <c r="R58">
        <v>1.0723211319284396</v>
      </c>
      <c r="S58">
        <v>1.0776827375880818</v>
      </c>
      <c r="T58">
        <v>1.083071151276022</v>
      </c>
      <c r="U58">
        <v>1.0884865070324019</v>
      </c>
      <c r="V58">
        <v>1.0939289395675638</v>
      </c>
      <c r="W58">
        <v>1.0993985842654015</v>
      </c>
      <c r="X58">
        <v>1.1048955771867284</v>
      </c>
      <c r="Y58">
        <v>1.1104200550726619</v>
      </c>
      <c r="Z58">
        <v>1.1159721553480251</v>
      </c>
      <c r="AA58">
        <v>1.1215520161247652</v>
      </c>
      <c r="AB58">
        <v>1.1271597762053889</v>
      </c>
      <c r="AC58">
        <v>1.1327955750864158</v>
      </c>
      <c r="AD58">
        <v>1.1384595529618478</v>
      </c>
      <c r="AE58">
        <v>1.1441518507266568</v>
      </c>
      <c r="AF58">
        <v>1.1498726099802901</v>
      </c>
      <c r="AG58">
        <v>1.1556219730301913</v>
      </c>
      <c r="AH58">
        <v>1.1614000828953421</v>
      </c>
      <c r="AI58">
        <v>1.1672070833098187</v>
      </c>
      <c r="AJ58">
        <v>1.1730431187263677</v>
      </c>
      <c r="AK58">
        <v>1.1789083343199993</v>
      </c>
      <c r="AL58">
        <v>1.1848028759915992</v>
      </c>
      <c r="AM58">
        <v>1.1907268903715571</v>
      </c>
      <c r="AN58">
        <v>1.1966805248234147</v>
      </c>
      <c r="AO58">
        <v>1.2026639274475317</v>
      </c>
      <c r="AP58">
        <v>1.2086772470847693</v>
      </c>
      <c r="AQ58">
        <v>1.214720633320193</v>
      </c>
      <c r="AR58">
        <v>1.2207942364867939</v>
      </c>
      <c r="AS58">
        <v>1.2268982076692276</v>
      </c>
      <c r="AT58">
        <v>1.2330326987075737</v>
      </c>
      <c r="AU58">
        <v>1.2391978622011115</v>
      </c>
      <c r="AV58">
        <v>1.2453938515121168</v>
      </c>
      <c r="AW58">
        <v>1.2516208207696773</v>
      </c>
      <c r="AX58">
        <v>1.2578789248735256</v>
      </c>
      <c r="AY58">
        <v>1.264168319497893</v>
      </c>
      <c r="AZ58">
        <v>1.2704891610953823</v>
      </c>
      <c r="BA58">
        <v>1.2768416069008592</v>
      </c>
      <c r="BB58">
        <v>1.2832258149353633</v>
      </c>
      <c r="BC58">
        <v>1.28964194401004</v>
      </c>
      <c r="BD58">
        <v>1.29609015373009</v>
      </c>
      <c r="BE58">
        <v>1.3025706044987404</v>
      </c>
      <c r="BF58">
        <v>1.309083457521234</v>
      </c>
      <c r="BG58">
        <v>1.3156288748088401</v>
      </c>
      <c r="BH58">
        <v>1.3222070191828841</v>
      </c>
      <c r="BI58">
        <v>1.3288180542787984</v>
      </c>
      <c r="BJ58">
        <v>1.3354621445501922</v>
      </c>
      <c r="BK58">
        <v>1.3421394552729429</v>
      </c>
      <c r="BL58">
        <v>1.3488501525493075</v>
      </c>
      <c r="BM58">
        <v>1.3555944033120539</v>
      </c>
      <c r="BN58">
        <v>1.3623723753286141</v>
      </c>
      <c r="BO58">
        <v>1.3691842372052569</v>
      </c>
      <c r="BP58">
        <v>1.3760301583912831</v>
      </c>
      <c r="BQ58">
        <v>1.3829103091832393</v>
      </c>
      <c r="BR58">
        <v>1.3898248607291555</v>
      </c>
      <c r="BS58">
        <v>1.3967739850328011</v>
      </c>
      <c r="BT58">
        <v>1.403757854957965</v>
      </c>
      <c r="BU58">
        <v>1.4107766442327547</v>
      </c>
      <c r="BV58">
        <v>1.4178305274539182</v>
      </c>
      <c r="BW58">
        <v>1.4249196800911876</v>
      </c>
      <c r="BX58">
        <v>1.4320442784916434</v>
      </c>
      <c r="BY58">
        <v>1.4392044998841016</v>
      </c>
      <c r="BZ58">
        <v>1.4464005223835219</v>
      </c>
      <c r="CA58">
        <v>1.4536325249954394</v>
      </c>
      <c r="CB58">
        <v>1.4609006876204165</v>
      </c>
      <c r="CC58">
        <v>1.4682051910585183</v>
      </c>
      <c r="CD58">
        <v>1.4755462170138107</v>
      </c>
      <c r="CE58">
        <v>1.4829239480988796</v>
      </c>
      <c r="CF58">
        <v>1.4903385678393739</v>
      </c>
      <c r="CG58">
        <v>1.4977902606785705</v>
      </c>
      <c r="CH58">
        <v>1.5052792119819631</v>
      </c>
      <c r="CI58">
        <v>1.5128056080418728</v>
      </c>
    </row>
    <row r="59" spans="1:87" x14ac:dyDescent="0.3">
      <c r="A59" s="4" t="s">
        <v>981</v>
      </c>
      <c r="B59" s="4" t="s">
        <v>987</v>
      </c>
      <c r="C59" s="4" t="s">
        <v>1296</v>
      </c>
      <c r="D59">
        <v>1</v>
      </c>
      <c r="E59">
        <v>1.0049999999999999</v>
      </c>
      <c r="F59">
        <v>1.0100249999999997</v>
      </c>
      <c r="G59">
        <v>1.0150751249999996</v>
      </c>
      <c r="H59">
        <v>1.0201505006249996</v>
      </c>
      <c r="I59">
        <v>1.0252512531281244</v>
      </c>
      <c r="J59">
        <v>1.030377509393765</v>
      </c>
      <c r="K59">
        <v>1.0355293969407338</v>
      </c>
      <c r="L59">
        <v>1.0407070439254373</v>
      </c>
      <c r="M59">
        <v>1.0459105791450642</v>
      </c>
      <c r="N59">
        <v>1.0511401320407896</v>
      </c>
      <c r="O59">
        <v>1.0563958327009935</v>
      </c>
      <c r="P59">
        <v>1.0616778118644983</v>
      </c>
      <c r="Q59">
        <v>1.0669862009238207</v>
      </c>
      <c r="R59">
        <v>1.0723211319284396</v>
      </c>
      <c r="S59">
        <v>1.0776827375880818</v>
      </c>
      <c r="T59">
        <v>1.083071151276022</v>
      </c>
      <c r="U59">
        <v>1.0884865070324019</v>
      </c>
      <c r="V59">
        <v>1.0939289395675638</v>
      </c>
      <c r="W59">
        <v>1.0993985842654015</v>
      </c>
      <c r="X59">
        <v>1.1048955771867284</v>
      </c>
      <c r="Y59">
        <v>1.1104200550726619</v>
      </c>
      <c r="Z59">
        <v>1.1159721553480251</v>
      </c>
      <c r="AA59">
        <v>1.1215520161247652</v>
      </c>
      <c r="AB59">
        <v>1.1271597762053889</v>
      </c>
      <c r="AC59">
        <v>1.1327955750864158</v>
      </c>
      <c r="AD59">
        <v>1.1384595529618478</v>
      </c>
      <c r="AE59">
        <v>1.1441518507266568</v>
      </c>
      <c r="AF59">
        <v>1.1498726099802901</v>
      </c>
      <c r="AG59">
        <v>1.1556219730301913</v>
      </c>
      <c r="AH59">
        <v>1.1614000828953421</v>
      </c>
      <c r="AI59">
        <v>1.1672070833098187</v>
      </c>
      <c r="AJ59">
        <v>1.1730431187263677</v>
      </c>
      <c r="AK59">
        <v>1.1789083343199993</v>
      </c>
      <c r="AL59">
        <v>1.1848028759915992</v>
      </c>
      <c r="AM59">
        <v>1.1907268903715571</v>
      </c>
      <c r="AN59">
        <v>1.1966805248234147</v>
      </c>
      <c r="AO59">
        <v>1.2026639274475317</v>
      </c>
      <c r="AP59">
        <v>1.2086772470847693</v>
      </c>
      <c r="AQ59">
        <v>1.214720633320193</v>
      </c>
      <c r="AR59">
        <v>1.2207942364867939</v>
      </c>
      <c r="AS59">
        <v>1.2268982076692276</v>
      </c>
      <c r="AT59">
        <v>1.2330326987075737</v>
      </c>
      <c r="AU59">
        <v>1.2391978622011115</v>
      </c>
      <c r="AV59">
        <v>1.2453938515121168</v>
      </c>
      <c r="AW59">
        <v>1.2516208207696773</v>
      </c>
      <c r="AX59">
        <v>1.2578789248735256</v>
      </c>
      <c r="AY59">
        <v>1.264168319497893</v>
      </c>
      <c r="AZ59">
        <v>1.2704891610953823</v>
      </c>
      <c r="BA59">
        <v>1.2768416069008592</v>
      </c>
      <c r="BB59">
        <v>1.2832258149353633</v>
      </c>
      <c r="BC59">
        <v>1.28964194401004</v>
      </c>
      <c r="BD59">
        <v>1.29609015373009</v>
      </c>
      <c r="BE59">
        <v>1.3025706044987404</v>
      </c>
      <c r="BF59">
        <v>1.309083457521234</v>
      </c>
      <c r="BG59">
        <v>1.3156288748088401</v>
      </c>
      <c r="BH59">
        <v>1.3222070191828841</v>
      </c>
      <c r="BI59">
        <v>1.3288180542787984</v>
      </c>
      <c r="BJ59">
        <v>1.3354621445501922</v>
      </c>
      <c r="BK59">
        <v>1.3421394552729429</v>
      </c>
      <c r="BL59">
        <v>1.3488501525493075</v>
      </c>
      <c r="BM59">
        <v>1.3555944033120539</v>
      </c>
      <c r="BN59">
        <v>1.3623723753286141</v>
      </c>
      <c r="BO59">
        <v>1.3691842372052569</v>
      </c>
      <c r="BP59">
        <v>1.3760301583912831</v>
      </c>
      <c r="BQ59">
        <v>1.3829103091832393</v>
      </c>
      <c r="BR59">
        <v>1.3898248607291555</v>
      </c>
      <c r="BS59">
        <v>1.3967739850328011</v>
      </c>
      <c r="BT59">
        <v>1.403757854957965</v>
      </c>
      <c r="BU59">
        <v>1.4107766442327547</v>
      </c>
      <c r="BV59">
        <v>1.4178305274539182</v>
      </c>
      <c r="BW59">
        <v>1.4249196800911876</v>
      </c>
      <c r="BX59">
        <v>1.4320442784916434</v>
      </c>
      <c r="BY59">
        <v>1.4392044998841016</v>
      </c>
      <c r="BZ59">
        <v>1.4464005223835219</v>
      </c>
      <c r="CA59">
        <v>1.4536325249954394</v>
      </c>
      <c r="CB59">
        <v>1.4609006876204165</v>
      </c>
      <c r="CC59">
        <v>1.4682051910585183</v>
      </c>
      <c r="CD59">
        <v>1.4755462170138107</v>
      </c>
      <c r="CE59">
        <v>1.4829239480988796</v>
      </c>
      <c r="CF59">
        <v>1.4903385678393739</v>
      </c>
      <c r="CG59">
        <v>1.4977902606785705</v>
      </c>
      <c r="CH59">
        <v>1.5052792119819631</v>
      </c>
      <c r="CI59">
        <v>1.5128056080418728</v>
      </c>
    </row>
    <row r="60" spans="1:87" x14ac:dyDescent="0.3">
      <c r="A60" s="4" t="s">
        <v>981</v>
      </c>
      <c r="B60" s="4" t="s">
        <v>987</v>
      </c>
      <c r="C60" s="4" t="s">
        <v>1297</v>
      </c>
      <c r="D60">
        <v>1</v>
      </c>
      <c r="E60">
        <v>1.0049999999999999</v>
      </c>
      <c r="F60">
        <v>1.0100249999999997</v>
      </c>
      <c r="G60">
        <v>1.0150751249999996</v>
      </c>
      <c r="H60">
        <v>1.0201505006249996</v>
      </c>
      <c r="I60">
        <v>1.0252512531281244</v>
      </c>
      <c r="J60">
        <v>1.030377509393765</v>
      </c>
      <c r="K60">
        <v>1.0355293969407338</v>
      </c>
      <c r="L60">
        <v>1.0407070439254373</v>
      </c>
      <c r="M60">
        <v>1.0459105791450642</v>
      </c>
      <c r="N60">
        <v>1.0511401320407896</v>
      </c>
      <c r="O60">
        <v>1.0563958327009935</v>
      </c>
      <c r="P60">
        <v>1.0616778118644983</v>
      </c>
      <c r="Q60">
        <v>1.0669862009238207</v>
      </c>
      <c r="R60">
        <v>1.0723211319284396</v>
      </c>
      <c r="S60">
        <v>1.0776827375880818</v>
      </c>
      <c r="T60">
        <v>1.083071151276022</v>
      </c>
      <c r="U60">
        <v>1.0884865070324019</v>
      </c>
      <c r="V60">
        <v>1.0939289395675638</v>
      </c>
      <c r="W60">
        <v>1.0993985842654015</v>
      </c>
      <c r="X60">
        <v>1.1048955771867284</v>
      </c>
      <c r="Y60">
        <v>1.1104200550726619</v>
      </c>
      <c r="Z60">
        <v>1.1159721553480251</v>
      </c>
      <c r="AA60">
        <v>1.1215520161247652</v>
      </c>
      <c r="AB60">
        <v>1.1271597762053889</v>
      </c>
      <c r="AC60">
        <v>1.1327955750864158</v>
      </c>
      <c r="AD60">
        <v>1.1384595529618478</v>
      </c>
      <c r="AE60">
        <v>1.1441518507266568</v>
      </c>
      <c r="AF60">
        <v>1.1498726099802901</v>
      </c>
      <c r="AG60">
        <v>1.1556219730301913</v>
      </c>
      <c r="AH60">
        <v>1.1614000828953421</v>
      </c>
      <c r="AI60">
        <v>1.1672070833098187</v>
      </c>
      <c r="AJ60">
        <v>1.1730431187263677</v>
      </c>
      <c r="AK60">
        <v>1.1789083343199993</v>
      </c>
      <c r="AL60">
        <v>1.1848028759915992</v>
      </c>
      <c r="AM60">
        <v>1.1907268903715571</v>
      </c>
      <c r="AN60">
        <v>1.1966805248234147</v>
      </c>
      <c r="AO60">
        <v>1.2026639274475317</v>
      </c>
      <c r="AP60">
        <v>1.2086772470847693</v>
      </c>
      <c r="AQ60">
        <v>1.214720633320193</v>
      </c>
      <c r="AR60">
        <v>1.2207942364867939</v>
      </c>
      <c r="AS60">
        <v>1.2268982076692276</v>
      </c>
      <c r="AT60">
        <v>1.2330326987075737</v>
      </c>
      <c r="AU60">
        <v>1.2391978622011115</v>
      </c>
      <c r="AV60">
        <v>1.2453938515121168</v>
      </c>
      <c r="AW60">
        <v>1.2516208207696773</v>
      </c>
      <c r="AX60">
        <v>1.2578789248735256</v>
      </c>
      <c r="AY60">
        <v>1.264168319497893</v>
      </c>
      <c r="AZ60">
        <v>1.2704891610953823</v>
      </c>
      <c r="BA60">
        <v>1.2768416069008592</v>
      </c>
      <c r="BB60">
        <v>1.2832258149353633</v>
      </c>
      <c r="BC60">
        <v>1.28964194401004</v>
      </c>
      <c r="BD60">
        <v>1.29609015373009</v>
      </c>
      <c r="BE60">
        <v>1.3025706044987404</v>
      </c>
      <c r="BF60">
        <v>1.309083457521234</v>
      </c>
      <c r="BG60">
        <v>1.3156288748088401</v>
      </c>
      <c r="BH60">
        <v>1.3222070191828841</v>
      </c>
      <c r="BI60">
        <v>1.3288180542787984</v>
      </c>
      <c r="BJ60">
        <v>1.3354621445501922</v>
      </c>
      <c r="BK60">
        <v>1.3421394552729429</v>
      </c>
      <c r="BL60">
        <v>1.3488501525493075</v>
      </c>
      <c r="BM60">
        <v>1.3555944033120539</v>
      </c>
      <c r="BN60">
        <v>1.3623723753286141</v>
      </c>
      <c r="BO60">
        <v>1.3691842372052569</v>
      </c>
      <c r="BP60">
        <v>1.3760301583912831</v>
      </c>
      <c r="BQ60">
        <v>1.3829103091832393</v>
      </c>
      <c r="BR60">
        <v>1.3898248607291555</v>
      </c>
      <c r="BS60">
        <v>1.3967739850328011</v>
      </c>
      <c r="BT60">
        <v>1.403757854957965</v>
      </c>
      <c r="BU60">
        <v>1.4107766442327547</v>
      </c>
      <c r="BV60">
        <v>1.4178305274539182</v>
      </c>
      <c r="BW60">
        <v>1.4249196800911876</v>
      </c>
      <c r="BX60">
        <v>1.4320442784916434</v>
      </c>
      <c r="BY60">
        <v>1.4392044998841016</v>
      </c>
      <c r="BZ60">
        <v>1.4464005223835219</v>
      </c>
      <c r="CA60">
        <v>1.4536325249954394</v>
      </c>
      <c r="CB60">
        <v>1.4609006876204165</v>
      </c>
      <c r="CC60">
        <v>1.4682051910585183</v>
      </c>
      <c r="CD60">
        <v>1.4755462170138107</v>
      </c>
      <c r="CE60">
        <v>1.4829239480988796</v>
      </c>
      <c r="CF60">
        <v>1.4903385678393739</v>
      </c>
      <c r="CG60">
        <v>1.4977902606785705</v>
      </c>
      <c r="CH60">
        <v>1.5052792119819631</v>
      </c>
      <c r="CI60">
        <v>1.5128056080418728</v>
      </c>
    </row>
    <row r="61" spans="1:87" x14ac:dyDescent="0.3">
      <c r="A61" s="4" t="s">
        <v>981</v>
      </c>
      <c r="B61" s="4" t="s">
        <v>987</v>
      </c>
      <c r="C61" s="4" t="s">
        <v>1298</v>
      </c>
      <c r="D61">
        <v>1</v>
      </c>
      <c r="E61">
        <v>1.0049999999999999</v>
      </c>
      <c r="F61">
        <v>1.0100249999999997</v>
      </c>
      <c r="G61">
        <v>1.0150751249999996</v>
      </c>
      <c r="H61">
        <v>1.0201505006249996</v>
      </c>
      <c r="I61">
        <v>1.0252512531281244</v>
      </c>
      <c r="J61">
        <v>1.030377509393765</v>
      </c>
      <c r="K61">
        <v>1.0355293969407338</v>
      </c>
      <c r="L61">
        <v>1.0407070439254373</v>
      </c>
      <c r="M61">
        <v>1.0459105791450642</v>
      </c>
      <c r="N61">
        <v>1.0511401320407896</v>
      </c>
      <c r="O61">
        <v>1.0563958327009935</v>
      </c>
      <c r="P61">
        <v>1.0616778118644983</v>
      </c>
      <c r="Q61">
        <v>1.0669862009238207</v>
      </c>
      <c r="R61">
        <v>1.0723211319284396</v>
      </c>
      <c r="S61">
        <v>1.0776827375880818</v>
      </c>
      <c r="T61">
        <v>1.083071151276022</v>
      </c>
      <c r="U61">
        <v>1.0884865070324019</v>
      </c>
      <c r="V61">
        <v>1.0939289395675638</v>
      </c>
      <c r="W61">
        <v>1.0993985842654015</v>
      </c>
      <c r="X61">
        <v>1.1048955771867284</v>
      </c>
      <c r="Y61">
        <v>1.1104200550726619</v>
      </c>
      <c r="Z61">
        <v>1.1159721553480251</v>
      </c>
      <c r="AA61">
        <v>1.1215520161247652</v>
      </c>
      <c r="AB61">
        <v>1.1271597762053889</v>
      </c>
      <c r="AC61">
        <v>1.1327955750864158</v>
      </c>
      <c r="AD61">
        <v>1.1384595529618478</v>
      </c>
      <c r="AE61">
        <v>1.1441518507266568</v>
      </c>
      <c r="AF61">
        <v>1.1498726099802901</v>
      </c>
      <c r="AG61">
        <v>1.1556219730301913</v>
      </c>
      <c r="AH61">
        <v>1.1614000828953421</v>
      </c>
      <c r="AI61">
        <v>1.1672070833098187</v>
      </c>
      <c r="AJ61">
        <v>1.1730431187263677</v>
      </c>
      <c r="AK61">
        <v>1.1789083343199993</v>
      </c>
      <c r="AL61">
        <v>1.1848028759915992</v>
      </c>
      <c r="AM61">
        <v>1.1907268903715571</v>
      </c>
      <c r="AN61">
        <v>1.1966805248234147</v>
      </c>
      <c r="AO61">
        <v>1.2026639274475317</v>
      </c>
      <c r="AP61">
        <v>1.2086772470847693</v>
      </c>
      <c r="AQ61">
        <v>1.214720633320193</v>
      </c>
      <c r="AR61">
        <v>1.2207942364867939</v>
      </c>
      <c r="AS61">
        <v>1.2268982076692276</v>
      </c>
      <c r="AT61">
        <v>1.2330326987075737</v>
      </c>
      <c r="AU61">
        <v>1.2391978622011115</v>
      </c>
      <c r="AV61">
        <v>1.2453938515121168</v>
      </c>
      <c r="AW61">
        <v>1.2516208207696773</v>
      </c>
      <c r="AX61">
        <v>1.2578789248735256</v>
      </c>
      <c r="AY61">
        <v>1.264168319497893</v>
      </c>
      <c r="AZ61">
        <v>1.2704891610953823</v>
      </c>
      <c r="BA61">
        <v>1.2768416069008592</v>
      </c>
      <c r="BB61">
        <v>1.2832258149353633</v>
      </c>
      <c r="BC61">
        <v>1.28964194401004</v>
      </c>
      <c r="BD61">
        <v>1.29609015373009</v>
      </c>
      <c r="BE61">
        <v>1.3025706044987404</v>
      </c>
      <c r="BF61">
        <v>1.309083457521234</v>
      </c>
      <c r="BG61">
        <v>1.3156288748088401</v>
      </c>
      <c r="BH61">
        <v>1.3222070191828841</v>
      </c>
      <c r="BI61">
        <v>1.3288180542787984</v>
      </c>
      <c r="BJ61">
        <v>1.3354621445501922</v>
      </c>
      <c r="BK61">
        <v>1.3421394552729429</v>
      </c>
      <c r="BL61">
        <v>1.3488501525493075</v>
      </c>
      <c r="BM61">
        <v>1.3555944033120539</v>
      </c>
      <c r="BN61">
        <v>1.3623723753286141</v>
      </c>
      <c r="BO61">
        <v>1.3691842372052569</v>
      </c>
      <c r="BP61">
        <v>1.3760301583912831</v>
      </c>
      <c r="BQ61">
        <v>1.3829103091832393</v>
      </c>
      <c r="BR61">
        <v>1.3898248607291555</v>
      </c>
      <c r="BS61">
        <v>1.3967739850328011</v>
      </c>
      <c r="BT61">
        <v>1.403757854957965</v>
      </c>
      <c r="BU61">
        <v>1.4107766442327547</v>
      </c>
      <c r="BV61">
        <v>1.4178305274539182</v>
      </c>
      <c r="BW61">
        <v>1.4249196800911876</v>
      </c>
      <c r="BX61">
        <v>1.4320442784916434</v>
      </c>
      <c r="BY61">
        <v>1.4392044998841016</v>
      </c>
      <c r="BZ61">
        <v>1.4464005223835219</v>
      </c>
      <c r="CA61">
        <v>1.4536325249954394</v>
      </c>
      <c r="CB61">
        <v>1.4609006876204165</v>
      </c>
      <c r="CC61">
        <v>1.4682051910585183</v>
      </c>
      <c r="CD61">
        <v>1.4755462170138107</v>
      </c>
      <c r="CE61">
        <v>1.4829239480988796</v>
      </c>
      <c r="CF61">
        <v>1.4903385678393739</v>
      </c>
      <c r="CG61">
        <v>1.4977902606785705</v>
      </c>
      <c r="CH61">
        <v>1.5052792119819631</v>
      </c>
      <c r="CI61">
        <v>1.5128056080418728</v>
      </c>
    </row>
    <row r="62" spans="1:87" x14ac:dyDescent="0.3">
      <c r="A62" s="4" t="s">
        <v>981</v>
      </c>
      <c r="B62" s="4" t="s">
        <v>987</v>
      </c>
      <c r="C62" s="4" t="s">
        <v>1299</v>
      </c>
      <c r="D62">
        <v>1</v>
      </c>
      <c r="E62">
        <v>1.0049999999999999</v>
      </c>
      <c r="F62">
        <v>1.0100249999999997</v>
      </c>
      <c r="G62">
        <v>1.0150751249999996</v>
      </c>
      <c r="H62">
        <v>1.0201505006249996</v>
      </c>
      <c r="I62">
        <v>1.0252512531281244</v>
      </c>
      <c r="J62">
        <v>1.030377509393765</v>
      </c>
      <c r="K62">
        <v>1.0355293969407338</v>
      </c>
      <c r="L62">
        <v>1.0407070439254373</v>
      </c>
      <c r="M62">
        <v>1.0459105791450642</v>
      </c>
      <c r="N62">
        <v>1.0511401320407896</v>
      </c>
      <c r="O62">
        <v>1.0563958327009935</v>
      </c>
      <c r="P62">
        <v>1.0616778118644983</v>
      </c>
      <c r="Q62">
        <v>1.0669862009238207</v>
      </c>
      <c r="R62">
        <v>1.0723211319284396</v>
      </c>
      <c r="S62">
        <v>1.0776827375880818</v>
      </c>
      <c r="T62">
        <v>1.083071151276022</v>
      </c>
      <c r="U62">
        <v>1.0884865070324019</v>
      </c>
      <c r="V62">
        <v>1.0939289395675638</v>
      </c>
      <c r="W62">
        <v>1.0993985842654015</v>
      </c>
      <c r="X62">
        <v>1.1048955771867284</v>
      </c>
      <c r="Y62">
        <v>1.1104200550726619</v>
      </c>
      <c r="Z62">
        <v>1.1159721553480251</v>
      </c>
      <c r="AA62">
        <v>1.1215520161247652</v>
      </c>
      <c r="AB62">
        <v>1.1271597762053889</v>
      </c>
      <c r="AC62">
        <v>1.1327955750864158</v>
      </c>
      <c r="AD62">
        <v>1.1384595529618478</v>
      </c>
      <c r="AE62">
        <v>1.1441518507266568</v>
      </c>
      <c r="AF62">
        <v>1.1498726099802901</v>
      </c>
      <c r="AG62">
        <v>1.1556219730301913</v>
      </c>
      <c r="AH62">
        <v>1.1614000828953421</v>
      </c>
      <c r="AI62">
        <v>1.1672070833098187</v>
      </c>
      <c r="AJ62">
        <v>1.1730431187263677</v>
      </c>
      <c r="AK62">
        <v>1.1789083343199993</v>
      </c>
      <c r="AL62">
        <v>1.1848028759915992</v>
      </c>
      <c r="AM62">
        <v>1.1907268903715571</v>
      </c>
      <c r="AN62">
        <v>1.1966805248234147</v>
      </c>
      <c r="AO62">
        <v>1.2026639274475317</v>
      </c>
      <c r="AP62">
        <v>1.2086772470847693</v>
      </c>
      <c r="AQ62">
        <v>1.214720633320193</v>
      </c>
      <c r="AR62">
        <v>1.2207942364867939</v>
      </c>
      <c r="AS62">
        <v>1.2268982076692276</v>
      </c>
      <c r="AT62">
        <v>1.2330326987075737</v>
      </c>
      <c r="AU62">
        <v>1.2391978622011115</v>
      </c>
      <c r="AV62">
        <v>1.2453938515121168</v>
      </c>
      <c r="AW62">
        <v>1.2516208207696773</v>
      </c>
      <c r="AX62">
        <v>1.2578789248735256</v>
      </c>
      <c r="AY62">
        <v>1.264168319497893</v>
      </c>
      <c r="AZ62">
        <v>1.2704891610953823</v>
      </c>
      <c r="BA62">
        <v>1.2768416069008592</v>
      </c>
      <c r="BB62">
        <v>1.2832258149353633</v>
      </c>
      <c r="BC62">
        <v>1.28964194401004</v>
      </c>
      <c r="BD62">
        <v>1.29609015373009</v>
      </c>
      <c r="BE62">
        <v>1.3025706044987404</v>
      </c>
      <c r="BF62">
        <v>1.309083457521234</v>
      </c>
      <c r="BG62">
        <v>1.3156288748088401</v>
      </c>
      <c r="BH62">
        <v>1.3222070191828841</v>
      </c>
      <c r="BI62">
        <v>1.3288180542787984</v>
      </c>
      <c r="BJ62">
        <v>1.3354621445501922</v>
      </c>
      <c r="BK62">
        <v>1.3421394552729429</v>
      </c>
      <c r="BL62">
        <v>1.3488501525493075</v>
      </c>
      <c r="BM62">
        <v>1.3555944033120539</v>
      </c>
      <c r="BN62">
        <v>1.3623723753286141</v>
      </c>
      <c r="BO62">
        <v>1.3691842372052569</v>
      </c>
      <c r="BP62">
        <v>1.3760301583912831</v>
      </c>
      <c r="BQ62">
        <v>1.3829103091832393</v>
      </c>
      <c r="BR62">
        <v>1.3898248607291555</v>
      </c>
      <c r="BS62">
        <v>1.3967739850328011</v>
      </c>
      <c r="BT62">
        <v>1.403757854957965</v>
      </c>
      <c r="BU62">
        <v>1.4107766442327547</v>
      </c>
      <c r="BV62">
        <v>1.4178305274539182</v>
      </c>
      <c r="BW62">
        <v>1.4249196800911876</v>
      </c>
      <c r="BX62">
        <v>1.4320442784916434</v>
      </c>
      <c r="BY62">
        <v>1.4392044998841016</v>
      </c>
      <c r="BZ62">
        <v>1.4464005223835219</v>
      </c>
      <c r="CA62">
        <v>1.4536325249954394</v>
      </c>
      <c r="CB62">
        <v>1.4609006876204165</v>
      </c>
      <c r="CC62">
        <v>1.4682051910585183</v>
      </c>
      <c r="CD62">
        <v>1.4755462170138107</v>
      </c>
      <c r="CE62">
        <v>1.4829239480988796</v>
      </c>
      <c r="CF62">
        <v>1.4903385678393739</v>
      </c>
      <c r="CG62">
        <v>1.4977902606785705</v>
      </c>
      <c r="CH62">
        <v>1.5052792119819631</v>
      </c>
      <c r="CI62">
        <v>1.5128056080418728</v>
      </c>
    </row>
    <row r="63" spans="1:87" x14ac:dyDescent="0.3">
      <c r="A63" s="4" t="s">
        <v>981</v>
      </c>
      <c r="B63" s="4" t="s">
        <v>987</v>
      </c>
      <c r="C63" s="4" t="s">
        <v>1300</v>
      </c>
      <c r="D63">
        <v>1</v>
      </c>
      <c r="E63">
        <v>1.0049999999999999</v>
      </c>
      <c r="F63">
        <v>1.0100249999999997</v>
      </c>
      <c r="G63">
        <v>1.0150751249999996</v>
      </c>
      <c r="H63">
        <v>1.0201505006249996</v>
      </c>
      <c r="I63">
        <v>1.0252512531281244</v>
      </c>
      <c r="J63">
        <v>1.030377509393765</v>
      </c>
      <c r="K63">
        <v>1.0355293969407338</v>
      </c>
      <c r="L63">
        <v>1.0407070439254373</v>
      </c>
      <c r="M63">
        <v>1.0459105791450642</v>
      </c>
      <c r="N63">
        <v>1.0511401320407896</v>
      </c>
      <c r="O63">
        <v>1.0563958327009935</v>
      </c>
      <c r="P63">
        <v>1.0616778118644983</v>
      </c>
      <c r="Q63">
        <v>1.0669862009238207</v>
      </c>
      <c r="R63">
        <v>1.0723211319284396</v>
      </c>
      <c r="S63">
        <v>1.0776827375880818</v>
      </c>
      <c r="T63">
        <v>1.083071151276022</v>
      </c>
      <c r="U63">
        <v>1.0884865070324019</v>
      </c>
      <c r="V63">
        <v>1.0939289395675638</v>
      </c>
      <c r="W63">
        <v>1.0993985842654015</v>
      </c>
      <c r="X63">
        <v>1.1048955771867284</v>
      </c>
      <c r="Y63">
        <v>1.1104200550726619</v>
      </c>
      <c r="Z63">
        <v>1.1159721553480251</v>
      </c>
      <c r="AA63">
        <v>1.1215520161247652</v>
      </c>
      <c r="AB63">
        <v>1.1271597762053889</v>
      </c>
      <c r="AC63">
        <v>1.1327955750864158</v>
      </c>
      <c r="AD63">
        <v>1.1384595529618478</v>
      </c>
      <c r="AE63">
        <v>1.1441518507266568</v>
      </c>
      <c r="AF63">
        <v>1.1498726099802901</v>
      </c>
      <c r="AG63">
        <v>1.1556219730301913</v>
      </c>
      <c r="AH63">
        <v>1.1614000828953421</v>
      </c>
      <c r="AI63">
        <v>1.1672070833098187</v>
      </c>
      <c r="AJ63">
        <v>1.1730431187263677</v>
      </c>
      <c r="AK63">
        <v>1.1789083343199993</v>
      </c>
      <c r="AL63">
        <v>1.1848028759915992</v>
      </c>
      <c r="AM63">
        <v>1.1907268903715571</v>
      </c>
      <c r="AN63">
        <v>1.1966805248234147</v>
      </c>
      <c r="AO63">
        <v>1.2026639274475317</v>
      </c>
      <c r="AP63">
        <v>1.2086772470847693</v>
      </c>
      <c r="AQ63">
        <v>1.214720633320193</v>
      </c>
      <c r="AR63">
        <v>1.2207942364867939</v>
      </c>
      <c r="AS63">
        <v>1.2268982076692276</v>
      </c>
      <c r="AT63">
        <v>1.2330326987075737</v>
      </c>
      <c r="AU63">
        <v>1.2391978622011115</v>
      </c>
      <c r="AV63">
        <v>1.2453938515121168</v>
      </c>
      <c r="AW63">
        <v>1.2516208207696773</v>
      </c>
      <c r="AX63">
        <v>1.2578789248735256</v>
      </c>
      <c r="AY63">
        <v>1.264168319497893</v>
      </c>
      <c r="AZ63">
        <v>1.2704891610953823</v>
      </c>
      <c r="BA63">
        <v>1.2768416069008592</v>
      </c>
      <c r="BB63">
        <v>1.2832258149353633</v>
      </c>
      <c r="BC63">
        <v>1.28964194401004</v>
      </c>
      <c r="BD63">
        <v>1.29609015373009</v>
      </c>
      <c r="BE63">
        <v>1.3025706044987404</v>
      </c>
      <c r="BF63">
        <v>1.309083457521234</v>
      </c>
      <c r="BG63">
        <v>1.3156288748088401</v>
      </c>
      <c r="BH63">
        <v>1.3222070191828841</v>
      </c>
      <c r="BI63">
        <v>1.3288180542787984</v>
      </c>
      <c r="BJ63">
        <v>1.3354621445501922</v>
      </c>
      <c r="BK63">
        <v>1.3421394552729429</v>
      </c>
      <c r="BL63">
        <v>1.3488501525493075</v>
      </c>
      <c r="BM63">
        <v>1.3555944033120539</v>
      </c>
      <c r="BN63">
        <v>1.3623723753286141</v>
      </c>
      <c r="BO63">
        <v>1.3691842372052569</v>
      </c>
      <c r="BP63">
        <v>1.3760301583912831</v>
      </c>
      <c r="BQ63">
        <v>1.3829103091832393</v>
      </c>
      <c r="BR63">
        <v>1.3898248607291555</v>
      </c>
      <c r="BS63">
        <v>1.3967739850328011</v>
      </c>
      <c r="BT63">
        <v>1.403757854957965</v>
      </c>
      <c r="BU63">
        <v>1.4107766442327547</v>
      </c>
      <c r="BV63">
        <v>1.4178305274539182</v>
      </c>
      <c r="BW63">
        <v>1.4249196800911876</v>
      </c>
      <c r="BX63">
        <v>1.4320442784916434</v>
      </c>
      <c r="BY63">
        <v>1.4392044998841016</v>
      </c>
      <c r="BZ63">
        <v>1.4464005223835219</v>
      </c>
      <c r="CA63">
        <v>1.4536325249954394</v>
      </c>
      <c r="CB63">
        <v>1.4609006876204165</v>
      </c>
      <c r="CC63">
        <v>1.4682051910585183</v>
      </c>
      <c r="CD63">
        <v>1.4755462170138107</v>
      </c>
      <c r="CE63">
        <v>1.4829239480988796</v>
      </c>
      <c r="CF63">
        <v>1.4903385678393739</v>
      </c>
      <c r="CG63">
        <v>1.4977902606785705</v>
      </c>
      <c r="CH63">
        <v>1.5052792119819631</v>
      </c>
      <c r="CI63">
        <v>1.5128056080418728</v>
      </c>
    </row>
    <row r="64" spans="1:87" x14ac:dyDescent="0.3">
      <c r="A64" s="4" t="s">
        <v>981</v>
      </c>
      <c r="B64" s="4" t="s">
        <v>987</v>
      </c>
      <c r="C64" s="4" t="s">
        <v>1301</v>
      </c>
      <c r="D64">
        <v>1</v>
      </c>
      <c r="E64">
        <v>1.0049999999999999</v>
      </c>
      <c r="F64">
        <v>1.0100249999999997</v>
      </c>
      <c r="G64">
        <v>1.0150751249999996</v>
      </c>
      <c r="H64">
        <v>1.0201505006249996</v>
      </c>
      <c r="I64">
        <v>1.0252512531281244</v>
      </c>
      <c r="J64">
        <v>1.030377509393765</v>
      </c>
      <c r="K64">
        <v>1.0355293969407338</v>
      </c>
      <c r="L64">
        <v>1.0407070439254373</v>
      </c>
      <c r="M64">
        <v>1.0459105791450642</v>
      </c>
      <c r="N64">
        <v>1.0511401320407896</v>
      </c>
      <c r="O64">
        <v>1.0563958327009935</v>
      </c>
      <c r="P64">
        <v>1.0616778118644983</v>
      </c>
      <c r="Q64">
        <v>1.0669862009238207</v>
      </c>
      <c r="R64">
        <v>1.0723211319284396</v>
      </c>
      <c r="S64">
        <v>1.0776827375880818</v>
      </c>
      <c r="T64">
        <v>1.083071151276022</v>
      </c>
      <c r="U64">
        <v>1.0884865070324019</v>
      </c>
      <c r="V64">
        <v>1.0939289395675638</v>
      </c>
      <c r="W64">
        <v>1.0993985842654015</v>
      </c>
      <c r="X64">
        <v>1.1048955771867284</v>
      </c>
      <c r="Y64">
        <v>1.1104200550726619</v>
      </c>
      <c r="Z64">
        <v>1.1159721553480251</v>
      </c>
      <c r="AA64">
        <v>1.1215520161247652</v>
      </c>
      <c r="AB64">
        <v>1.1271597762053889</v>
      </c>
      <c r="AC64">
        <v>1.1327955750864158</v>
      </c>
      <c r="AD64">
        <v>1.1384595529618478</v>
      </c>
      <c r="AE64">
        <v>1.1441518507266568</v>
      </c>
      <c r="AF64">
        <v>1.1498726099802901</v>
      </c>
      <c r="AG64">
        <v>1.1556219730301913</v>
      </c>
      <c r="AH64">
        <v>1.1614000828953421</v>
      </c>
      <c r="AI64">
        <v>1.1672070833098187</v>
      </c>
      <c r="AJ64">
        <v>1.1730431187263677</v>
      </c>
      <c r="AK64">
        <v>1.1789083343199993</v>
      </c>
      <c r="AL64">
        <v>1.1848028759915992</v>
      </c>
      <c r="AM64">
        <v>1.1907268903715571</v>
      </c>
      <c r="AN64">
        <v>1.1966805248234147</v>
      </c>
      <c r="AO64">
        <v>1.2026639274475317</v>
      </c>
      <c r="AP64">
        <v>1.2086772470847693</v>
      </c>
      <c r="AQ64">
        <v>1.214720633320193</v>
      </c>
      <c r="AR64">
        <v>1.2207942364867939</v>
      </c>
      <c r="AS64">
        <v>1.2268982076692276</v>
      </c>
      <c r="AT64">
        <v>1.2330326987075737</v>
      </c>
      <c r="AU64">
        <v>1.2391978622011115</v>
      </c>
      <c r="AV64">
        <v>1.2453938515121168</v>
      </c>
      <c r="AW64">
        <v>1.2516208207696773</v>
      </c>
      <c r="AX64">
        <v>1.2578789248735256</v>
      </c>
      <c r="AY64">
        <v>1.264168319497893</v>
      </c>
      <c r="AZ64">
        <v>1.2704891610953823</v>
      </c>
      <c r="BA64">
        <v>1.2768416069008592</v>
      </c>
      <c r="BB64">
        <v>1.2832258149353633</v>
      </c>
      <c r="BC64">
        <v>1.28964194401004</v>
      </c>
      <c r="BD64">
        <v>1.29609015373009</v>
      </c>
      <c r="BE64">
        <v>1.3025706044987404</v>
      </c>
      <c r="BF64">
        <v>1.309083457521234</v>
      </c>
      <c r="BG64">
        <v>1.3156288748088401</v>
      </c>
      <c r="BH64">
        <v>1.3222070191828841</v>
      </c>
      <c r="BI64">
        <v>1.3288180542787984</v>
      </c>
      <c r="BJ64">
        <v>1.3354621445501922</v>
      </c>
      <c r="BK64">
        <v>1.3421394552729429</v>
      </c>
      <c r="BL64">
        <v>1.3488501525493075</v>
      </c>
      <c r="BM64">
        <v>1.3555944033120539</v>
      </c>
      <c r="BN64">
        <v>1.3623723753286141</v>
      </c>
      <c r="BO64">
        <v>1.3691842372052569</v>
      </c>
      <c r="BP64">
        <v>1.3760301583912831</v>
      </c>
      <c r="BQ64">
        <v>1.3829103091832393</v>
      </c>
      <c r="BR64">
        <v>1.3898248607291555</v>
      </c>
      <c r="BS64">
        <v>1.3967739850328011</v>
      </c>
      <c r="BT64">
        <v>1.403757854957965</v>
      </c>
      <c r="BU64">
        <v>1.4107766442327547</v>
      </c>
      <c r="BV64">
        <v>1.4178305274539182</v>
      </c>
      <c r="BW64">
        <v>1.4249196800911876</v>
      </c>
      <c r="BX64">
        <v>1.4320442784916434</v>
      </c>
      <c r="BY64">
        <v>1.4392044998841016</v>
      </c>
      <c r="BZ64">
        <v>1.4464005223835219</v>
      </c>
      <c r="CA64">
        <v>1.4536325249954394</v>
      </c>
      <c r="CB64">
        <v>1.4609006876204165</v>
      </c>
      <c r="CC64">
        <v>1.4682051910585183</v>
      </c>
      <c r="CD64">
        <v>1.4755462170138107</v>
      </c>
      <c r="CE64">
        <v>1.4829239480988796</v>
      </c>
      <c r="CF64">
        <v>1.4903385678393739</v>
      </c>
      <c r="CG64">
        <v>1.4977902606785705</v>
      </c>
      <c r="CH64">
        <v>1.5052792119819631</v>
      </c>
      <c r="CI64">
        <v>1.5128056080418728</v>
      </c>
    </row>
    <row r="65" spans="1:87" x14ac:dyDescent="0.3">
      <c r="A65" s="4" t="s">
        <v>981</v>
      </c>
      <c r="B65" s="4" t="s">
        <v>987</v>
      </c>
      <c r="C65" s="4" t="s">
        <v>1302</v>
      </c>
      <c r="D65">
        <v>1</v>
      </c>
      <c r="E65">
        <v>1.0049999999999999</v>
      </c>
      <c r="F65">
        <v>1.0100249999999997</v>
      </c>
      <c r="G65">
        <v>1.0150751249999996</v>
      </c>
      <c r="H65">
        <v>1.0201505006249996</v>
      </c>
      <c r="I65">
        <v>1.0252512531281244</v>
      </c>
      <c r="J65">
        <v>1.030377509393765</v>
      </c>
      <c r="K65">
        <v>1.0355293969407338</v>
      </c>
      <c r="L65">
        <v>1.0407070439254373</v>
      </c>
      <c r="M65">
        <v>1.0459105791450642</v>
      </c>
      <c r="N65">
        <v>1.0511401320407896</v>
      </c>
      <c r="O65">
        <v>1.0563958327009935</v>
      </c>
      <c r="P65">
        <v>1.0616778118644983</v>
      </c>
      <c r="Q65">
        <v>1.0669862009238207</v>
      </c>
      <c r="R65">
        <v>1.0723211319284396</v>
      </c>
      <c r="S65">
        <v>1.0776827375880818</v>
      </c>
      <c r="T65">
        <v>1.083071151276022</v>
      </c>
      <c r="U65">
        <v>1.0884865070324019</v>
      </c>
      <c r="V65">
        <v>1.0939289395675638</v>
      </c>
      <c r="W65">
        <v>1.0993985842654015</v>
      </c>
      <c r="X65">
        <v>1.1048955771867284</v>
      </c>
      <c r="Y65">
        <v>1.1104200550726619</v>
      </c>
      <c r="Z65">
        <v>1.1159721553480251</v>
      </c>
      <c r="AA65">
        <v>1.1215520161247652</v>
      </c>
      <c r="AB65">
        <v>1.1271597762053889</v>
      </c>
      <c r="AC65">
        <v>1.1327955750864158</v>
      </c>
      <c r="AD65">
        <v>1.1384595529618478</v>
      </c>
      <c r="AE65">
        <v>1.1441518507266568</v>
      </c>
      <c r="AF65">
        <v>1.1498726099802901</v>
      </c>
      <c r="AG65">
        <v>1.1556219730301913</v>
      </c>
      <c r="AH65">
        <v>1.1614000828953421</v>
      </c>
      <c r="AI65">
        <v>1.1672070833098187</v>
      </c>
      <c r="AJ65">
        <v>1.1730431187263677</v>
      </c>
      <c r="AK65">
        <v>1.1789083343199993</v>
      </c>
      <c r="AL65">
        <v>1.1848028759915992</v>
      </c>
      <c r="AM65">
        <v>1.1907268903715571</v>
      </c>
      <c r="AN65">
        <v>1.1966805248234147</v>
      </c>
      <c r="AO65">
        <v>1.2026639274475317</v>
      </c>
      <c r="AP65">
        <v>1.2086772470847693</v>
      </c>
      <c r="AQ65">
        <v>1.214720633320193</v>
      </c>
      <c r="AR65">
        <v>1.2207942364867939</v>
      </c>
      <c r="AS65">
        <v>1.2268982076692276</v>
      </c>
      <c r="AT65">
        <v>1.2330326987075737</v>
      </c>
      <c r="AU65">
        <v>1.2391978622011115</v>
      </c>
      <c r="AV65">
        <v>1.2453938515121168</v>
      </c>
      <c r="AW65">
        <v>1.2516208207696773</v>
      </c>
      <c r="AX65">
        <v>1.2578789248735256</v>
      </c>
      <c r="AY65">
        <v>1.264168319497893</v>
      </c>
      <c r="AZ65">
        <v>1.2704891610953823</v>
      </c>
      <c r="BA65">
        <v>1.2768416069008592</v>
      </c>
      <c r="BB65">
        <v>1.2832258149353633</v>
      </c>
      <c r="BC65">
        <v>1.28964194401004</v>
      </c>
      <c r="BD65">
        <v>1.29609015373009</v>
      </c>
      <c r="BE65">
        <v>1.3025706044987404</v>
      </c>
      <c r="BF65">
        <v>1.309083457521234</v>
      </c>
      <c r="BG65">
        <v>1.3156288748088401</v>
      </c>
      <c r="BH65">
        <v>1.3222070191828841</v>
      </c>
      <c r="BI65">
        <v>1.3288180542787984</v>
      </c>
      <c r="BJ65">
        <v>1.3354621445501922</v>
      </c>
      <c r="BK65">
        <v>1.3421394552729429</v>
      </c>
      <c r="BL65">
        <v>1.3488501525493075</v>
      </c>
      <c r="BM65">
        <v>1.3555944033120539</v>
      </c>
      <c r="BN65">
        <v>1.3623723753286141</v>
      </c>
      <c r="BO65">
        <v>1.3691842372052569</v>
      </c>
      <c r="BP65">
        <v>1.3760301583912831</v>
      </c>
      <c r="BQ65">
        <v>1.3829103091832393</v>
      </c>
      <c r="BR65">
        <v>1.3898248607291555</v>
      </c>
      <c r="BS65">
        <v>1.3967739850328011</v>
      </c>
      <c r="BT65">
        <v>1.403757854957965</v>
      </c>
      <c r="BU65">
        <v>1.4107766442327547</v>
      </c>
      <c r="BV65">
        <v>1.4178305274539182</v>
      </c>
      <c r="BW65">
        <v>1.4249196800911876</v>
      </c>
      <c r="BX65">
        <v>1.4320442784916434</v>
      </c>
      <c r="BY65">
        <v>1.4392044998841016</v>
      </c>
      <c r="BZ65">
        <v>1.4464005223835219</v>
      </c>
      <c r="CA65">
        <v>1.4536325249954394</v>
      </c>
      <c r="CB65">
        <v>1.4609006876204165</v>
      </c>
      <c r="CC65">
        <v>1.4682051910585183</v>
      </c>
      <c r="CD65">
        <v>1.4755462170138107</v>
      </c>
      <c r="CE65">
        <v>1.4829239480988796</v>
      </c>
      <c r="CF65">
        <v>1.4903385678393739</v>
      </c>
      <c r="CG65">
        <v>1.4977902606785705</v>
      </c>
      <c r="CH65">
        <v>1.5052792119819631</v>
      </c>
      <c r="CI65">
        <v>1.5128056080418728</v>
      </c>
    </row>
    <row r="66" spans="1:87" x14ac:dyDescent="0.3">
      <c r="A66" s="4" t="s">
        <v>981</v>
      </c>
      <c r="B66" s="4" t="s">
        <v>987</v>
      </c>
      <c r="C66" s="4" t="s">
        <v>1303</v>
      </c>
      <c r="D66">
        <v>1</v>
      </c>
      <c r="E66">
        <v>1.0049999999999999</v>
      </c>
      <c r="F66">
        <v>1.0100249999999997</v>
      </c>
      <c r="G66">
        <v>1.0150751249999996</v>
      </c>
      <c r="H66">
        <v>1.0201505006249996</v>
      </c>
      <c r="I66">
        <v>1.0252512531281244</v>
      </c>
      <c r="J66">
        <v>1.030377509393765</v>
      </c>
      <c r="K66">
        <v>1.0355293969407338</v>
      </c>
      <c r="L66">
        <v>1.0407070439254373</v>
      </c>
      <c r="M66">
        <v>1.0459105791450642</v>
      </c>
      <c r="N66">
        <v>1.0511401320407896</v>
      </c>
      <c r="O66">
        <v>1.0563958327009935</v>
      </c>
      <c r="P66">
        <v>1.0616778118644983</v>
      </c>
      <c r="Q66">
        <v>1.0669862009238207</v>
      </c>
      <c r="R66">
        <v>1.0723211319284396</v>
      </c>
      <c r="S66">
        <v>1.0776827375880818</v>
      </c>
      <c r="T66">
        <v>1.083071151276022</v>
      </c>
      <c r="U66">
        <v>1.0884865070324019</v>
      </c>
      <c r="V66">
        <v>1.0939289395675638</v>
      </c>
      <c r="W66">
        <v>1.0993985842654015</v>
      </c>
      <c r="X66">
        <v>1.1048955771867284</v>
      </c>
      <c r="Y66">
        <v>1.1104200550726619</v>
      </c>
      <c r="Z66">
        <v>1.1159721553480251</v>
      </c>
      <c r="AA66">
        <v>1.1215520161247652</v>
      </c>
      <c r="AB66">
        <v>1.1271597762053889</v>
      </c>
      <c r="AC66">
        <v>1.1327955750864158</v>
      </c>
      <c r="AD66">
        <v>1.1384595529618478</v>
      </c>
      <c r="AE66">
        <v>1.1441518507266568</v>
      </c>
      <c r="AF66">
        <v>1.1498726099802901</v>
      </c>
      <c r="AG66">
        <v>1.1556219730301913</v>
      </c>
      <c r="AH66">
        <v>1.1614000828953421</v>
      </c>
      <c r="AI66">
        <v>1.1672070833098187</v>
      </c>
      <c r="AJ66">
        <v>1.1730431187263677</v>
      </c>
      <c r="AK66">
        <v>1.1789083343199993</v>
      </c>
      <c r="AL66">
        <v>1.1848028759915992</v>
      </c>
      <c r="AM66">
        <v>1.1907268903715571</v>
      </c>
      <c r="AN66">
        <v>1.1966805248234147</v>
      </c>
      <c r="AO66">
        <v>1.2026639274475317</v>
      </c>
      <c r="AP66">
        <v>1.2086772470847693</v>
      </c>
      <c r="AQ66">
        <v>1.214720633320193</v>
      </c>
      <c r="AR66">
        <v>1.2207942364867939</v>
      </c>
      <c r="AS66">
        <v>1.2268982076692276</v>
      </c>
      <c r="AT66">
        <v>1.2330326987075737</v>
      </c>
      <c r="AU66">
        <v>1.2391978622011115</v>
      </c>
      <c r="AV66">
        <v>1.2453938515121168</v>
      </c>
      <c r="AW66">
        <v>1.2516208207696773</v>
      </c>
      <c r="AX66">
        <v>1.2578789248735256</v>
      </c>
      <c r="AY66">
        <v>1.264168319497893</v>
      </c>
      <c r="AZ66">
        <v>1.2704891610953823</v>
      </c>
      <c r="BA66">
        <v>1.2768416069008592</v>
      </c>
      <c r="BB66">
        <v>1.2832258149353633</v>
      </c>
      <c r="BC66">
        <v>1.28964194401004</v>
      </c>
      <c r="BD66">
        <v>1.29609015373009</v>
      </c>
      <c r="BE66">
        <v>1.3025706044987404</v>
      </c>
      <c r="BF66">
        <v>1.309083457521234</v>
      </c>
      <c r="BG66">
        <v>1.3156288748088401</v>
      </c>
      <c r="BH66">
        <v>1.3222070191828841</v>
      </c>
      <c r="BI66">
        <v>1.3288180542787984</v>
      </c>
      <c r="BJ66">
        <v>1.3354621445501922</v>
      </c>
      <c r="BK66">
        <v>1.3421394552729429</v>
      </c>
      <c r="BL66">
        <v>1.3488501525493075</v>
      </c>
      <c r="BM66">
        <v>1.3555944033120539</v>
      </c>
      <c r="BN66">
        <v>1.3623723753286141</v>
      </c>
      <c r="BO66">
        <v>1.3691842372052569</v>
      </c>
      <c r="BP66">
        <v>1.3760301583912831</v>
      </c>
      <c r="BQ66">
        <v>1.3829103091832393</v>
      </c>
      <c r="BR66">
        <v>1.3898248607291555</v>
      </c>
      <c r="BS66">
        <v>1.3967739850328011</v>
      </c>
      <c r="BT66">
        <v>1.403757854957965</v>
      </c>
      <c r="BU66">
        <v>1.4107766442327547</v>
      </c>
      <c r="BV66">
        <v>1.4178305274539182</v>
      </c>
      <c r="BW66">
        <v>1.4249196800911876</v>
      </c>
      <c r="BX66">
        <v>1.4320442784916434</v>
      </c>
      <c r="BY66">
        <v>1.4392044998841016</v>
      </c>
      <c r="BZ66">
        <v>1.4464005223835219</v>
      </c>
      <c r="CA66">
        <v>1.4536325249954394</v>
      </c>
      <c r="CB66">
        <v>1.4609006876204165</v>
      </c>
      <c r="CC66">
        <v>1.4682051910585183</v>
      </c>
      <c r="CD66">
        <v>1.4755462170138107</v>
      </c>
      <c r="CE66">
        <v>1.4829239480988796</v>
      </c>
      <c r="CF66">
        <v>1.4903385678393739</v>
      </c>
      <c r="CG66">
        <v>1.4977902606785705</v>
      </c>
      <c r="CH66">
        <v>1.5052792119819631</v>
      </c>
      <c r="CI66">
        <v>1.5128056080418728</v>
      </c>
    </row>
    <row r="67" spans="1:87" x14ac:dyDescent="0.3">
      <c r="A67" s="4" t="s">
        <v>981</v>
      </c>
      <c r="B67" s="4" t="s">
        <v>987</v>
      </c>
      <c r="C67" s="4" t="s">
        <v>1304</v>
      </c>
      <c r="D67">
        <v>1</v>
      </c>
      <c r="E67">
        <v>1.0049999999999999</v>
      </c>
      <c r="F67">
        <v>1.0100249999999997</v>
      </c>
      <c r="G67">
        <v>1.0150751249999996</v>
      </c>
      <c r="H67">
        <v>1.0201505006249996</v>
      </c>
      <c r="I67">
        <v>1.0252512531281244</v>
      </c>
      <c r="J67">
        <v>1.030377509393765</v>
      </c>
      <c r="K67">
        <v>1.0355293969407338</v>
      </c>
      <c r="L67">
        <v>1.0407070439254373</v>
      </c>
      <c r="M67">
        <v>1.0459105791450642</v>
      </c>
      <c r="N67">
        <v>1.0511401320407896</v>
      </c>
      <c r="O67">
        <v>1.0563958327009935</v>
      </c>
      <c r="P67">
        <v>1.0616778118644983</v>
      </c>
      <c r="Q67">
        <v>1.0669862009238207</v>
      </c>
      <c r="R67">
        <v>1.0723211319284396</v>
      </c>
      <c r="S67">
        <v>1.0776827375880818</v>
      </c>
      <c r="T67">
        <v>1.083071151276022</v>
      </c>
      <c r="U67">
        <v>1.0884865070324019</v>
      </c>
      <c r="V67">
        <v>1.0939289395675638</v>
      </c>
      <c r="W67">
        <v>1.0993985842654015</v>
      </c>
      <c r="X67">
        <v>1.1048955771867284</v>
      </c>
      <c r="Y67">
        <v>1.1104200550726619</v>
      </c>
      <c r="Z67">
        <v>1.1159721553480251</v>
      </c>
      <c r="AA67">
        <v>1.1215520161247652</v>
      </c>
      <c r="AB67">
        <v>1.1271597762053889</v>
      </c>
      <c r="AC67">
        <v>1.1327955750864158</v>
      </c>
      <c r="AD67">
        <v>1.1384595529618478</v>
      </c>
      <c r="AE67">
        <v>1.1441518507266568</v>
      </c>
      <c r="AF67">
        <v>1.1498726099802901</v>
      </c>
      <c r="AG67">
        <v>1.1556219730301913</v>
      </c>
      <c r="AH67">
        <v>1.1614000828953421</v>
      </c>
      <c r="AI67">
        <v>1.1672070833098187</v>
      </c>
      <c r="AJ67">
        <v>1.1730431187263677</v>
      </c>
      <c r="AK67">
        <v>1.1789083343199993</v>
      </c>
      <c r="AL67">
        <v>1.1848028759915992</v>
      </c>
      <c r="AM67">
        <v>1.1907268903715571</v>
      </c>
      <c r="AN67">
        <v>1.1966805248234147</v>
      </c>
      <c r="AO67">
        <v>1.2026639274475317</v>
      </c>
      <c r="AP67">
        <v>1.2086772470847693</v>
      </c>
      <c r="AQ67">
        <v>1.214720633320193</v>
      </c>
      <c r="AR67">
        <v>1.2207942364867939</v>
      </c>
      <c r="AS67">
        <v>1.2268982076692276</v>
      </c>
      <c r="AT67">
        <v>1.2330326987075737</v>
      </c>
      <c r="AU67">
        <v>1.2391978622011115</v>
      </c>
      <c r="AV67">
        <v>1.2453938515121168</v>
      </c>
      <c r="AW67">
        <v>1.2516208207696773</v>
      </c>
      <c r="AX67">
        <v>1.2578789248735256</v>
      </c>
      <c r="AY67">
        <v>1.264168319497893</v>
      </c>
      <c r="AZ67">
        <v>1.2704891610953823</v>
      </c>
      <c r="BA67">
        <v>1.2768416069008592</v>
      </c>
      <c r="BB67">
        <v>1.2832258149353633</v>
      </c>
      <c r="BC67">
        <v>1.28964194401004</v>
      </c>
      <c r="BD67">
        <v>1.29609015373009</v>
      </c>
      <c r="BE67">
        <v>1.3025706044987404</v>
      </c>
      <c r="BF67">
        <v>1.309083457521234</v>
      </c>
      <c r="BG67">
        <v>1.3156288748088401</v>
      </c>
      <c r="BH67">
        <v>1.3222070191828841</v>
      </c>
      <c r="BI67">
        <v>1.3288180542787984</v>
      </c>
      <c r="BJ67">
        <v>1.3354621445501922</v>
      </c>
      <c r="BK67">
        <v>1.3421394552729429</v>
      </c>
      <c r="BL67">
        <v>1.3488501525493075</v>
      </c>
      <c r="BM67">
        <v>1.3555944033120539</v>
      </c>
      <c r="BN67">
        <v>1.3623723753286141</v>
      </c>
      <c r="BO67">
        <v>1.3691842372052569</v>
      </c>
      <c r="BP67">
        <v>1.3760301583912831</v>
      </c>
      <c r="BQ67">
        <v>1.3829103091832393</v>
      </c>
      <c r="BR67">
        <v>1.3898248607291555</v>
      </c>
      <c r="BS67">
        <v>1.3967739850328011</v>
      </c>
      <c r="BT67">
        <v>1.403757854957965</v>
      </c>
      <c r="BU67">
        <v>1.4107766442327547</v>
      </c>
      <c r="BV67">
        <v>1.4178305274539182</v>
      </c>
      <c r="BW67">
        <v>1.4249196800911876</v>
      </c>
      <c r="BX67">
        <v>1.4320442784916434</v>
      </c>
      <c r="BY67">
        <v>1.4392044998841016</v>
      </c>
      <c r="BZ67">
        <v>1.4464005223835219</v>
      </c>
      <c r="CA67">
        <v>1.4536325249954394</v>
      </c>
      <c r="CB67">
        <v>1.4609006876204165</v>
      </c>
      <c r="CC67">
        <v>1.4682051910585183</v>
      </c>
      <c r="CD67">
        <v>1.4755462170138107</v>
      </c>
      <c r="CE67">
        <v>1.4829239480988796</v>
      </c>
      <c r="CF67">
        <v>1.4903385678393739</v>
      </c>
      <c r="CG67">
        <v>1.4977902606785705</v>
      </c>
      <c r="CH67">
        <v>1.5052792119819631</v>
      </c>
      <c r="CI67">
        <v>1.5128056080418728</v>
      </c>
    </row>
    <row r="68" spans="1:87" x14ac:dyDescent="0.3">
      <c r="A68" s="4" t="s">
        <v>981</v>
      </c>
      <c r="B68" s="4" t="s">
        <v>987</v>
      </c>
      <c r="C68" s="4" t="s">
        <v>1305</v>
      </c>
      <c r="D68">
        <v>1</v>
      </c>
      <c r="E68">
        <v>1.0049999999999999</v>
      </c>
      <c r="F68">
        <v>1.0100249999999997</v>
      </c>
      <c r="G68">
        <v>1.0150751249999996</v>
      </c>
      <c r="H68">
        <v>1.0201505006249996</v>
      </c>
      <c r="I68">
        <v>1.0252512531281244</v>
      </c>
      <c r="J68">
        <v>1.030377509393765</v>
      </c>
      <c r="K68">
        <v>1.0355293969407338</v>
      </c>
      <c r="L68">
        <v>1.0407070439254373</v>
      </c>
      <c r="M68">
        <v>1.0459105791450642</v>
      </c>
      <c r="N68">
        <v>1.0511401320407896</v>
      </c>
      <c r="O68">
        <v>1.0563958327009935</v>
      </c>
      <c r="P68">
        <v>1.0616778118644983</v>
      </c>
      <c r="Q68">
        <v>1.0669862009238207</v>
      </c>
      <c r="R68">
        <v>1.0723211319284396</v>
      </c>
      <c r="S68">
        <v>1.0776827375880818</v>
      </c>
      <c r="T68">
        <v>1.083071151276022</v>
      </c>
      <c r="U68">
        <v>1.0884865070324019</v>
      </c>
      <c r="V68">
        <v>1.0939289395675638</v>
      </c>
      <c r="W68">
        <v>1.0993985842654015</v>
      </c>
      <c r="X68">
        <v>1.1048955771867284</v>
      </c>
      <c r="Y68">
        <v>1.1104200550726619</v>
      </c>
      <c r="Z68">
        <v>1.1159721553480251</v>
      </c>
      <c r="AA68">
        <v>1.1215520161247652</v>
      </c>
      <c r="AB68">
        <v>1.1271597762053889</v>
      </c>
      <c r="AC68">
        <v>1.1327955750864158</v>
      </c>
      <c r="AD68">
        <v>1.1384595529618478</v>
      </c>
      <c r="AE68">
        <v>1.1441518507266568</v>
      </c>
      <c r="AF68">
        <v>1.1498726099802901</v>
      </c>
      <c r="AG68">
        <v>1.1556219730301913</v>
      </c>
      <c r="AH68">
        <v>1.1614000828953421</v>
      </c>
      <c r="AI68">
        <v>1.1672070833098187</v>
      </c>
      <c r="AJ68">
        <v>1.1730431187263677</v>
      </c>
      <c r="AK68">
        <v>1.1789083343199993</v>
      </c>
      <c r="AL68">
        <v>1.1848028759915992</v>
      </c>
      <c r="AM68">
        <v>1.1907268903715571</v>
      </c>
      <c r="AN68">
        <v>1.1966805248234147</v>
      </c>
      <c r="AO68">
        <v>1.2026639274475317</v>
      </c>
      <c r="AP68">
        <v>1.2086772470847693</v>
      </c>
      <c r="AQ68">
        <v>1.214720633320193</v>
      </c>
      <c r="AR68">
        <v>1.2207942364867939</v>
      </c>
      <c r="AS68">
        <v>1.2268982076692276</v>
      </c>
      <c r="AT68">
        <v>1.2330326987075737</v>
      </c>
      <c r="AU68">
        <v>1.2391978622011115</v>
      </c>
      <c r="AV68">
        <v>1.2453938515121168</v>
      </c>
      <c r="AW68">
        <v>1.2516208207696773</v>
      </c>
      <c r="AX68">
        <v>1.2578789248735256</v>
      </c>
      <c r="AY68">
        <v>1.264168319497893</v>
      </c>
      <c r="AZ68">
        <v>1.2704891610953823</v>
      </c>
      <c r="BA68">
        <v>1.2768416069008592</v>
      </c>
      <c r="BB68">
        <v>1.2832258149353633</v>
      </c>
      <c r="BC68">
        <v>1.28964194401004</v>
      </c>
      <c r="BD68">
        <v>1.29609015373009</v>
      </c>
      <c r="BE68">
        <v>1.3025706044987404</v>
      </c>
      <c r="BF68">
        <v>1.309083457521234</v>
      </c>
      <c r="BG68">
        <v>1.3156288748088401</v>
      </c>
      <c r="BH68">
        <v>1.3222070191828841</v>
      </c>
      <c r="BI68">
        <v>1.3288180542787984</v>
      </c>
      <c r="BJ68">
        <v>1.3354621445501922</v>
      </c>
      <c r="BK68">
        <v>1.3421394552729429</v>
      </c>
      <c r="BL68">
        <v>1.3488501525493075</v>
      </c>
      <c r="BM68">
        <v>1.3555944033120539</v>
      </c>
      <c r="BN68">
        <v>1.3623723753286141</v>
      </c>
      <c r="BO68">
        <v>1.3691842372052569</v>
      </c>
      <c r="BP68">
        <v>1.3760301583912831</v>
      </c>
      <c r="BQ68">
        <v>1.3829103091832393</v>
      </c>
      <c r="BR68">
        <v>1.3898248607291555</v>
      </c>
      <c r="BS68">
        <v>1.3967739850328011</v>
      </c>
      <c r="BT68">
        <v>1.403757854957965</v>
      </c>
      <c r="BU68">
        <v>1.4107766442327547</v>
      </c>
      <c r="BV68">
        <v>1.4178305274539182</v>
      </c>
      <c r="BW68">
        <v>1.4249196800911876</v>
      </c>
      <c r="BX68">
        <v>1.4320442784916434</v>
      </c>
      <c r="BY68">
        <v>1.4392044998841016</v>
      </c>
      <c r="BZ68">
        <v>1.4464005223835219</v>
      </c>
      <c r="CA68">
        <v>1.4536325249954394</v>
      </c>
      <c r="CB68">
        <v>1.4609006876204165</v>
      </c>
      <c r="CC68">
        <v>1.4682051910585183</v>
      </c>
      <c r="CD68">
        <v>1.4755462170138107</v>
      </c>
      <c r="CE68">
        <v>1.4829239480988796</v>
      </c>
      <c r="CF68">
        <v>1.4903385678393739</v>
      </c>
      <c r="CG68">
        <v>1.4977902606785705</v>
      </c>
      <c r="CH68">
        <v>1.5052792119819631</v>
      </c>
      <c r="CI68">
        <v>1.5128056080418728</v>
      </c>
    </row>
    <row r="69" spans="1:87" x14ac:dyDescent="0.3">
      <c r="A69" s="4" t="s">
        <v>981</v>
      </c>
      <c r="B69" s="4" t="s">
        <v>987</v>
      </c>
      <c r="C69" s="4" t="s">
        <v>278</v>
      </c>
      <c r="D69">
        <v>1</v>
      </c>
      <c r="E69">
        <v>1.0049999999999999</v>
      </c>
      <c r="F69">
        <v>1.0100249999999997</v>
      </c>
      <c r="G69">
        <v>1.0150751249999996</v>
      </c>
      <c r="H69">
        <v>1.0201505006249996</v>
      </c>
      <c r="I69">
        <v>1.0252512531281244</v>
      </c>
      <c r="J69">
        <v>1.030377509393765</v>
      </c>
      <c r="K69">
        <v>1.0355293969407338</v>
      </c>
      <c r="L69">
        <v>1.0407070439254373</v>
      </c>
      <c r="M69">
        <v>1.0459105791450642</v>
      </c>
      <c r="N69">
        <v>1.0511401320407896</v>
      </c>
      <c r="O69">
        <v>1.0563958327009935</v>
      </c>
      <c r="P69">
        <v>1.0616778118644983</v>
      </c>
      <c r="Q69">
        <v>1.0669862009238207</v>
      </c>
      <c r="R69">
        <v>1.0723211319284396</v>
      </c>
      <c r="S69">
        <v>1.0776827375880818</v>
      </c>
      <c r="T69">
        <v>1.083071151276022</v>
      </c>
      <c r="U69">
        <v>1.0884865070324019</v>
      </c>
      <c r="V69">
        <v>1.0939289395675638</v>
      </c>
      <c r="W69">
        <v>1.0993985842654015</v>
      </c>
      <c r="X69">
        <v>1.1048955771867284</v>
      </c>
      <c r="Y69">
        <v>1.1104200550726619</v>
      </c>
      <c r="Z69">
        <v>1.1159721553480251</v>
      </c>
      <c r="AA69">
        <v>1.1215520161247652</v>
      </c>
      <c r="AB69">
        <v>1.1271597762053889</v>
      </c>
      <c r="AC69">
        <v>1.1327955750864158</v>
      </c>
      <c r="AD69">
        <v>1.1384595529618478</v>
      </c>
      <c r="AE69">
        <v>1.1441518507266568</v>
      </c>
      <c r="AF69">
        <v>1.1498726099802901</v>
      </c>
      <c r="AG69">
        <v>1.1556219730301913</v>
      </c>
      <c r="AH69">
        <v>1.1614000828953421</v>
      </c>
      <c r="AI69">
        <v>1.1672070833098187</v>
      </c>
      <c r="AJ69">
        <v>1.1730431187263677</v>
      </c>
      <c r="AK69">
        <v>1.1789083343199993</v>
      </c>
      <c r="AL69">
        <v>1.1848028759915992</v>
      </c>
      <c r="AM69">
        <v>1.1907268903715571</v>
      </c>
      <c r="AN69">
        <v>1.1966805248234147</v>
      </c>
      <c r="AO69">
        <v>1.2026639274475317</v>
      </c>
      <c r="AP69">
        <v>1.2086772470847693</v>
      </c>
      <c r="AQ69">
        <v>1.214720633320193</v>
      </c>
      <c r="AR69">
        <v>1.2207942364867939</v>
      </c>
      <c r="AS69">
        <v>1.2268982076692276</v>
      </c>
      <c r="AT69">
        <v>1.2330326987075737</v>
      </c>
      <c r="AU69">
        <v>1.2391978622011115</v>
      </c>
      <c r="AV69">
        <v>1.2453938515121168</v>
      </c>
      <c r="AW69">
        <v>1.2516208207696773</v>
      </c>
      <c r="AX69">
        <v>1.2578789248735256</v>
      </c>
      <c r="AY69">
        <v>1.264168319497893</v>
      </c>
      <c r="AZ69">
        <v>1.2704891610953823</v>
      </c>
      <c r="BA69">
        <v>1.2768416069008592</v>
      </c>
      <c r="BB69">
        <v>1.2832258149353633</v>
      </c>
      <c r="BC69">
        <v>1.28964194401004</v>
      </c>
      <c r="BD69">
        <v>1.29609015373009</v>
      </c>
      <c r="BE69">
        <v>1.3025706044987404</v>
      </c>
      <c r="BF69">
        <v>1.309083457521234</v>
      </c>
      <c r="BG69">
        <v>1.3156288748088401</v>
      </c>
      <c r="BH69">
        <v>1.3222070191828841</v>
      </c>
      <c r="BI69">
        <v>1.3288180542787984</v>
      </c>
      <c r="BJ69">
        <v>1.3354621445501922</v>
      </c>
      <c r="BK69">
        <v>1.3421394552729429</v>
      </c>
      <c r="BL69">
        <v>1.3488501525493075</v>
      </c>
      <c r="BM69">
        <v>1.3555944033120539</v>
      </c>
      <c r="BN69">
        <v>1.3623723753286141</v>
      </c>
      <c r="BO69">
        <v>1.3691842372052569</v>
      </c>
      <c r="BP69">
        <v>1.3760301583912831</v>
      </c>
      <c r="BQ69">
        <v>1.3829103091832393</v>
      </c>
      <c r="BR69">
        <v>1.3898248607291555</v>
      </c>
      <c r="BS69">
        <v>1.3967739850328011</v>
      </c>
      <c r="BT69">
        <v>1.403757854957965</v>
      </c>
      <c r="BU69">
        <v>1.4107766442327547</v>
      </c>
      <c r="BV69">
        <v>1.4178305274539182</v>
      </c>
      <c r="BW69">
        <v>1.4249196800911876</v>
      </c>
      <c r="BX69">
        <v>1.4320442784916434</v>
      </c>
      <c r="BY69">
        <v>1.4392044998841016</v>
      </c>
      <c r="BZ69">
        <v>1.4464005223835219</v>
      </c>
      <c r="CA69">
        <v>1.4536325249954394</v>
      </c>
      <c r="CB69">
        <v>1.4609006876204165</v>
      </c>
      <c r="CC69">
        <v>1.4682051910585183</v>
      </c>
      <c r="CD69">
        <v>1.4755462170138107</v>
      </c>
      <c r="CE69">
        <v>1.4829239480988796</v>
      </c>
      <c r="CF69">
        <v>1.4903385678393739</v>
      </c>
      <c r="CG69">
        <v>1.4977902606785705</v>
      </c>
      <c r="CH69">
        <v>1.5052792119819631</v>
      </c>
      <c r="CI69">
        <v>1.5128056080418728</v>
      </c>
    </row>
    <row r="70" spans="1:87" x14ac:dyDescent="0.3">
      <c r="A70" s="4" t="s">
        <v>981</v>
      </c>
      <c r="B70" s="4" t="s">
        <v>987</v>
      </c>
      <c r="C70" s="4" t="s">
        <v>664</v>
      </c>
      <c r="D70">
        <v>1</v>
      </c>
      <c r="E70">
        <v>1.0049999999999999</v>
      </c>
      <c r="F70">
        <v>1.0100249999999997</v>
      </c>
      <c r="G70">
        <v>1.0150751249999996</v>
      </c>
      <c r="H70">
        <v>1.0201505006249996</v>
      </c>
      <c r="I70">
        <v>1.0252512531281244</v>
      </c>
      <c r="J70">
        <v>1.030377509393765</v>
      </c>
      <c r="K70">
        <v>1.0355293969407338</v>
      </c>
      <c r="L70">
        <v>1.0407070439254373</v>
      </c>
      <c r="M70">
        <v>1.0459105791450642</v>
      </c>
      <c r="N70">
        <v>1.0511401320407896</v>
      </c>
      <c r="O70">
        <v>1.0563958327009935</v>
      </c>
      <c r="P70">
        <v>1.0616778118644983</v>
      </c>
      <c r="Q70">
        <v>1.0669862009238207</v>
      </c>
      <c r="R70">
        <v>1.0723211319284396</v>
      </c>
      <c r="S70">
        <v>1.0776827375880818</v>
      </c>
      <c r="T70">
        <v>1.083071151276022</v>
      </c>
      <c r="U70">
        <v>1.0884865070324019</v>
      </c>
      <c r="V70">
        <v>1.0939289395675638</v>
      </c>
      <c r="W70">
        <v>1.0993985842654015</v>
      </c>
      <c r="X70">
        <v>1.1048955771867284</v>
      </c>
      <c r="Y70">
        <v>1.1104200550726619</v>
      </c>
      <c r="Z70">
        <v>1.1159721553480251</v>
      </c>
      <c r="AA70">
        <v>1.1215520161247652</v>
      </c>
      <c r="AB70">
        <v>1.1271597762053889</v>
      </c>
      <c r="AC70">
        <v>1.1327955750864158</v>
      </c>
      <c r="AD70">
        <v>1.1384595529618478</v>
      </c>
      <c r="AE70">
        <v>1.1441518507266568</v>
      </c>
      <c r="AF70">
        <v>1.1498726099802901</v>
      </c>
      <c r="AG70">
        <v>1.1556219730301913</v>
      </c>
      <c r="AH70">
        <v>1.1614000828953421</v>
      </c>
      <c r="AI70">
        <v>1.1672070833098187</v>
      </c>
      <c r="AJ70">
        <v>1.1730431187263677</v>
      </c>
      <c r="AK70">
        <v>1.1789083343199993</v>
      </c>
      <c r="AL70">
        <v>1.1848028759915992</v>
      </c>
      <c r="AM70">
        <v>1.1907268903715571</v>
      </c>
      <c r="AN70">
        <v>1.1966805248234147</v>
      </c>
      <c r="AO70">
        <v>1.2026639274475317</v>
      </c>
      <c r="AP70">
        <v>1.2086772470847693</v>
      </c>
      <c r="AQ70">
        <v>1.214720633320193</v>
      </c>
      <c r="AR70">
        <v>1.2207942364867939</v>
      </c>
      <c r="AS70">
        <v>1.2268982076692276</v>
      </c>
      <c r="AT70">
        <v>1.2330326987075737</v>
      </c>
      <c r="AU70">
        <v>1.2391978622011115</v>
      </c>
      <c r="AV70">
        <v>1.2453938515121168</v>
      </c>
      <c r="AW70">
        <v>1.2516208207696773</v>
      </c>
      <c r="AX70">
        <v>1.2578789248735256</v>
      </c>
      <c r="AY70">
        <v>1.264168319497893</v>
      </c>
      <c r="AZ70">
        <v>1.2704891610953823</v>
      </c>
      <c r="BA70">
        <v>1.2768416069008592</v>
      </c>
      <c r="BB70">
        <v>1.2832258149353633</v>
      </c>
      <c r="BC70">
        <v>1.28964194401004</v>
      </c>
      <c r="BD70">
        <v>1.29609015373009</v>
      </c>
      <c r="BE70">
        <v>1.3025706044987404</v>
      </c>
      <c r="BF70">
        <v>1.309083457521234</v>
      </c>
      <c r="BG70">
        <v>1.3156288748088401</v>
      </c>
      <c r="BH70">
        <v>1.3222070191828841</v>
      </c>
      <c r="BI70">
        <v>1.3288180542787984</v>
      </c>
      <c r="BJ70">
        <v>1.3354621445501922</v>
      </c>
      <c r="BK70">
        <v>1.3421394552729429</v>
      </c>
      <c r="BL70">
        <v>1.3488501525493075</v>
      </c>
      <c r="BM70">
        <v>1.3555944033120539</v>
      </c>
      <c r="BN70">
        <v>1.3623723753286141</v>
      </c>
      <c r="BO70">
        <v>1.3691842372052569</v>
      </c>
      <c r="BP70">
        <v>1.3760301583912831</v>
      </c>
      <c r="BQ70">
        <v>1.3829103091832393</v>
      </c>
      <c r="BR70">
        <v>1.3898248607291555</v>
      </c>
      <c r="BS70">
        <v>1.3967739850328011</v>
      </c>
      <c r="BT70">
        <v>1.403757854957965</v>
      </c>
      <c r="BU70">
        <v>1.4107766442327547</v>
      </c>
      <c r="BV70">
        <v>1.4178305274539182</v>
      </c>
      <c r="BW70">
        <v>1.4249196800911876</v>
      </c>
      <c r="BX70">
        <v>1.4320442784916434</v>
      </c>
      <c r="BY70">
        <v>1.4392044998841016</v>
      </c>
      <c r="BZ70">
        <v>1.4464005223835219</v>
      </c>
      <c r="CA70">
        <v>1.4536325249954394</v>
      </c>
      <c r="CB70">
        <v>1.4609006876204165</v>
      </c>
      <c r="CC70">
        <v>1.4682051910585183</v>
      </c>
      <c r="CD70">
        <v>1.4755462170138107</v>
      </c>
      <c r="CE70">
        <v>1.4829239480988796</v>
      </c>
      <c r="CF70">
        <v>1.4903385678393739</v>
      </c>
      <c r="CG70">
        <v>1.4977902606785705</v>
      </c>
      <c r="CH70">
        <v>1.5052792119819631</v>
      </c>
      <c r="CI70">
        <v>1.5128056080418728</v>
      </c>
    </row>
    <row r="71" spans="1:87" x14ac:dyDescent="0.3">
      <c r="A71" s="4" t="s">
        <v>981</v>
      </c>
      <c r="B71" s="4" t="s">
        <v>987</v>
      </c>
      <c r="C71" s="4" t="s">
        <v>665</v>
      </c>
      <c r="D71">
        <v>1</v>
      </c>
      <c r="E71">
        <v>1.0049999999999999</v>
      </c>
      <c r="F71">
        <v>1.0100249999999997</v>
      </c>
      <c r="G71">
        <v>1.0150751249999996</v>
      </c>
      <c r="H71">
        <v>1.0201505006249996</v>
      </c>
      <c r="I71">
        <v>1.0252512531281244</v>
      </c>
      <c r="J71">
        <v>1.030377509393765</v>
      </c>
      <c r="K71">
        <v>1.0355293969407338</v>
      </c>
      <c r="L71">
        <v>1.0407070439254373</v>
      </c>
      <c r="M71">
        <v>1.0459105791450642</v>
      </c>
      <c r="N71">
        <v>1.0511401320407896</v>
      </c>
      <c r="O71">
        <v>1.0563958327009935</v>
      </c>
      <c r="P71">
        <v>1.0616778118644983</v>
      </c>
      <c r="Q71">
        <v>1.0669862009238207</v>
      </c>
      <c r="R71">
        <v>1.0723211319284396</v>
      </c>
      <c r="S71">
        <v>1.0776827375880818</v>
      </c>
      <c r="T71">
        <v>1.083071151276022</v>
      </c>
      <c r="U71">
        <v>1.0884865070324019</v>
      </c>
      <c r="V71">
        <v>1.0939289395675638</v>
      </c>
      <c r="W71">
        <v>1.0993985842654015</v>
      </c>
      <c r="X71">
        <v>1.1048955771867284</v>
      </c>
      <c r="Y71">
        <v>1.1104200550726619</v>
      </c>
      <c r="Z71">
        <v>1.1159721553480251</v>
      </c>
      <c r="AA71">
        <v>1.1215520161247652</v>
      </c>
      <c r="AB71">
        <v>1.1271597762053889</v>
      </c>
      <c r="AC71">
        <v>1.1327955750864158</v>
      </c>
      <c r="AD71">
        <v>1.1384595529618478</v>
      </c>
      <c r="AE71">
        <v>1.1441518507266568</v>
      </c>
      <c r="AF71">
        <v>1.1498726099802901</v>
      </c>
      <c r="AG71">
        <v>1.1556219730301913</v>
      </c>
      <c r="AH71">
        <v>1.1614000828953421</v>
      </c>
      <c r="AI71">
        <v>1.1672070833098187</v>
      </c>
      <c r="AJ71">
        <v>1.1730431187263677</v>
      </c>
      <c r="AK71">
        <v>1.1789083343199993</v>
      </c>
      <c r="AL71">
        <v>1.1848028759915992</v>
      </c>
      <c r="AM71">
        <v>1.1907268903715571</v>
      </c>
      <c r="AN71">
        <v>1.1966805248234147</v>
      </c>
      <c r="AO71">
        <v>1.2026639274475317</v>
      </c>
      <c r="AP71">
        <v>1.2086772470847693</v>
      </c>
      <c r="AQ71">
        <v>1.214720633320193</v>
      </c>
      <c r="AR71">
        <v>1.2207942364867939</v>
      </c>
      <c r="AS71">
        <v>1.2268982076692276</v>
      </c>
      <c r="AT71">
        <v>1.2330326987075737</v>
      </c>
      <c r="AU71">
        <v>1.2391978622011115</v>
      </c>
      <c r="AV71">
        <v>1.2453938515121168</v>
      </c>
      <c r="AW71">
        <v>1.2516208207696773</v>
      </c>
      <c r="AX71">
        <v>1.2578789248735256</v>
      </c>
      <c r="AY71">
        <v>1.264168319497893</v>
      </c>
      <c r="AZ71">
        <v>1.2704891610953823</v>
      </c>
      <c r="BA71">
        <v>1.2768416069008592</v>
      </c>
      <c r="BB71">
        <v>1.2832258149353633</v>
      </c>
      <c r="BC71">
        <v>1.28964194401004</v>
      </c>
      <c r="BD71">
        <v>1.29609015373009</v>
      </c>
      <c r="BE71">
        <v>1.3025706044987404</v>
      </c>
      <c r="BF71">
        <v>1.309083457521234</v>
      </c>
      <c r="BG71">
        <v>1.3156288748088401</v>
      </c>
      <c r="BH71">
        <v>1.3222070191828841</v>
      </c>
      <c r="BI71">
        <v>1.3288180542787984</v>
      </c>
      <c r="BJ71">
        <v>1.3354621445501922</v>
      </c>
      <c r="BK71">
        <v>1.3421394552729429</v>
      </c>
      <c r="BL71">
        <v>1.3488501525493075</v>
      </c>
      <c r="BM71">
        <v>1.3555944033120539</v>
      </c>
      <c r="BN71">
        <v>1.3623723753286141</v>
      </c>
      <c r="BO71">
        <v>1.3691842372052569</v>
      </c>
      <c r="BP71">
        <v>1.3760301583912831</v>
      </c>
      <c r="BQ71">
        <v>1.3829103091832393</v>
      </c>
      <c r="BR71">
        <v>1.3898248607291555</v>
      </c>
      <c r="BS71">
        <v>1.3967739850328011</v>
      </c>
      <c r="BT71">
        <v>1.403757854957965</v>
      </c>
      <c r="BU71">
        <v>1.4107766442327547</v>
      </c>
      <c r="BV71">
        <v>1.4178305274539182</v>
      </c>
      <c r="BW71">
        <v>1.4249196800911876</v>
      </c>
      <c r="BX71">
        <v>1.4320442784916434</v>
      </c>
      <c r="BY71">
        <v>1.4392044998841016</v>
      </c>
      <c r="BZ71">
        <v>1.4464005223835219</v>
      </c>
      <c r="CA71">
        <v>1.4536325249954394</v>
      </c>
      <c r="CB71">
        <v>1.4609006876204165</v>
      </c>
      <c r="CC71">
        <v>1.4682051910585183</v>
      </c>
      <c r="CD71">
        <v>1.4755462170138107</v>
      </c>
      <c r="CE71">
        <v>1.4829239480988796</v>
      </c>
      <c r="CF71">
        <v>1.4903385678393739</v>
      </c>
      <c r="CG71">
        <v>1.4977902606785705</v>
      </c>
      <c r="CH71">
        <v>1.5052792119819631</v>
      </c>
      <c r="CI71">
        <v>1.5128056080418728</v>
      </c>
    </row>
    <row r="72" spans="1:87" x14ac:dyDescent="0.3">
      <c r="A72" s="4" t="s">
        <v>981</v>
      </c>
      <c r="B72" s="4" t="s">
        <v>987</v>
      </c>
      <c r="C72" s="4" t="s">
        <v>666</v>
      </c>
      <c r="D72">
        <v>1</v>
      </c>
      <c r="E72">
        <v>1.0049999999999999</v>
      </c>
      <c r="F72">
        <v>1.0100249999999997</v>
      </c>
      <c r="G72">
        <v>1.0150751249999996</v>
      </c>
      <c r="H72">
        <v>1.0201505006249996</v>
      </c>
      <c r="I72">
        <v>1.0252512531281244</v>
      </c>
      <c r="J72">
        <v>1.030377509393765</v>
      </c>
      <c r="K72">
        <v>1.0355293969407338</v>
      </c>
      <c r="L72">
        <v>1.0407070439254373</v>
      </c>
      <c r="M72">
        <v>1.0459105791450642</v>
      </c>
      <c r="N72">
        <v>1.0511401320407896</v>
      </c>
      <c r="O72">
        <v>1.0563958327009935</v>
      </c>
      <c r="P72">
        <v>1.0616778118644983</v>
      </c>
      <c r="Q72">
        <v>1.0669862009238207</v>
      </c>
      <c r="R72">
        <v>1.0723211319284396</v>
      </c>
      <c r="S72">
        <v>1.0776827375880818</v>
      </c>
      <c r="T72">
        <v>1.083071151276022</v>
      </c>
      <c r="U72">
        <v>1.0884865070324019</v>
      </c>
      <c r="V72">
        <v>1.0939289395675638</v>
      </c>
      <c r="W72">
        <v>1.0993985842654015</v>
      </c>
      <c r="X72">
        <v>1.1048955771867284</v>
      </c>
      <c r="Y72">
        <v>1.1104200550726619</v>
      </c>
      <c r="Z72">
        <v>1.1159721553480251</v>
      </c>
      <c r="AA72">
        <v>1.1215520161247652</v>
      </c>
      <c r="AB72">
        <v>1.1271597762053889</v>
      </c>
      <c r="AC72">
        <v>1.1327955750864158</v>
      </c>
      <c r="AD72">
        <v>1.1384595529618478</v>
      </c>
      <c r="AE72">
        <v>1.1441518507266568</v>
      </c>
      <c r="AF72">
        <v>1.1498726099802901</v>
      </c>
      <c r="AG72">
        <v>1.1556219730301913</v>
      </c>
      <c r="AH72">
        <v>1.1614000828953421</v>
      </c>
      <c r="AI72">
        <v>1.1672070833098187</v>
      </c>
      <c r="AJ72">
        <v>1.1730431187263677</v>
      </c>
      <c r="AK72">
        <v>1.1789083343199993</v>
      </c>
      <c r="AL72">
        <v>1.1848028759915992</v>
      </c>
      <c r="AM72">
        <v>1.1907268903715571</v>
      </c>
      <c r="AN72">
        <v>1.1966805248234147</v>
      </c>
      <c r="AO72">
        <v>1.2026639274475317</v>
      </c>
      <c r="AP72">
        <v>1.2086772470847693</v>
      </c>
      <c r="AQ72">
        <v>1.214720633320193</v>
      </c>
      <c r="AR72">
        <v>1.2207942364867939</v>
      </c>
      <c r="AS72">
        <v>1.2268982076692276</v>
      </c>
      <c r="AT72">
        <v>1.2330326987075737</v>
      </c>
      <c r="AU72">
        <v>1.2391978622011115</v>
      </c>
      <c r="AV72">
        <v>1.2453938515121168</v>
      </c>
      <c r="AW72">
        <v>1.2516208207696773</v>
      </c>
      <c r="AX72">
        <v>1.2578789248735256</v>
      </c>
      <c r="AY72">
        <v>1.264168319497893</v>
      </c>
      <c r="AZ72">
        <v>1.2704891610953823</v>
      </c>
      <c r="BA72">
        <v>1.2768416069008592</v>
      </c>
      <c r="BB72">
        <v>1.2832258149353633</v>
      </c>
      <c r="BC72">
        <v>1.28964194401004</v>
      </c>
      <c r="BD72">
        <v>1.29609015373009</v>
      </c>
      <c r="BE72">
        <v>1.3025706044987404</v>
      </c>
      <c r="BF72">
        <v>1.309083457521234</v>
      </c>
      <c r="BG72">
        <v>1.3156288748088401</v>
      </c>
      <c r="BH72">
        <v>1.3222070191828841</v>
      </c>
      <c r="BI72">
        <v>1.3288180542787984</v>
      </c>
      <c r="BJ72">
        <v>1.3354621445501922</v>
      </c>
      <c r="BK72">
        <v>1.3421394552729429</v>
      </c>
      <c r="BL72">
        <v>1.3488501525493075</v>
      </c>
      <c r="BM72">
        <v>1.3555944033120539</v>
      </c>
      <c r="BN72">
        <v>1.3623723753286141</v>
      </c>
      <c r="BO72">
        <v>1.3691842372052569</v>
      </c>
      <c r="BP72">
        <v>1.3760301583912831</v>
      </c>
      <c r="BQ72">
        <v>1.3829103091832393</v>
      </c>
      <c r="BR72">
        <v>1.3898248607291555</v>
      </c>
      <c r="BS72">
        <v>1.3967739850328011</v>
      </c>
      <c r="BT72">
        <v>1.403757854957965</v>
      </c>
      <c r="BU72">
        <v>1.4107766442327547</v>
      </c>
      <c r="BV72">
        <v>1.4178305274539182</v>
      </c>
      <c r="BW72">
        <v>1.4249196800911876</v>
      </c>
      <c r="BX72">
        <v>1.4320442784916434</v>
      </c>
      <c r="BY72">
        <v>1.4392044998841016</v>
      </c>
      <c r="BZ72">
        <v>1.4464005223835219</v>
      </c>
      <c r="CA72">
        <v>1.4536325249954394</v>
      </c>
      <c r="CB72">
        <v>1.4609006876204165</v>
      </c>
      <c r="CC72">
        <v>1.4682051910585183</v>
      </c>
      <c r="CD72">
        <v>1.4755462170138107</v>
      </c>
      <c r="CE72">
        <v>1.4829239480988796</v>
      </c>
      <c r="CF72">
        <v>1.4903385678393739</v>
      </c>
      <c r="CG72">
        <v>1.4977902606785705</v>
      </c>
      <c r="CH72">
        <v>1.5052792119819631</v>
      </c>
      <c r="CI72">
        <v>1.5128056080418728</v>
      </c>
    </row>
    <row r="73" spans="1:87" x14ac:dyDescent="0.3">
      <c r="A73" s="4" t="s">
        <v>981</v>
      </c>
      <c r="B73" s="4" t="s">
        <v>987</v>
      </c>
      <c r="C73" s="4" t="s">
        <v>667</v>
      </c>
      <c r="D73">
        <v>1</v>
      </c>
      <c r="E73">
        <v>1.0049999999999999</v>
      </c>
      <c r="F73">
        <v>1.0100249999999997</v>
      </c>
      <c r="G73">
        <v>1.0150751249999996</v>
      </c>
      <c r="H73">
        <v>1.0201505006249996</v>
      </c>
      <c r="I73">
        <v>1.0252512531281244</v>
      </c>
      <c r="J73">
        <v>1.030377509393765</v>
      </c>
      <c r="K73">
        <v>1.0355293969407338</v>
      </c>
      <c r="L73">
        <v>1.0407070439254373</v>
      </c>
      <c r="M73">
        <v>1.0459105791450642</v>
      </c>
      <c r="N73">
        <v>1.0511401320407896</v>
      </c>
      <c r="O73">
        <v>1.0563958327009935</v>
      </c>
      <c r="P73">
        <v>1.0616778118644983</v>
      </c>
      <c r="Q73">
        <v>1.0669862009238207</v>
      </c>
      <c r="R73">
        <v>1.0723211319284396</v>
      </c>
      <c r="S73">
        <v>1.0776827375880818</v>
      </c>
      <c r="T73">
        <v>1.083071151276022</v>
      </c>
      <c r="U73">
        <v>1.0884865070324019</v>
      </c>
      <c r="V73">
        <v>1.0939289395675638</v>
      </c>
      <c r="W73">
        <v>1.0993985842654015</v>
      </c>
      <c r="X73">
        <v>1.1048955771867284</v>
      </c>
      <c r="Y73">
        <v>1.1104200550726619</v>
      </c>
      <c r="Z73">
        <v>1.1159721553480251</v>
      </c>
      <c r="AA73">
        <v>1.1215520161247652</v>
      </c>
      <c r="AB73">
        <v>1.1271597762053889</v>
      </c>
      <c r="AC73">
        <v>1.1327955750864158</v>
      </c>
      <c r="AD73">
        <v>1.1384595529618478</v>
      </c>
      <c r="AE73">
        <v>1.1441518507266568</v>
      </c>
      <c r="AF73">
        <v>1.1498726099802901</v>
      </c>
      <c r="AG73">
        <v>1.1556219730301913</v>
      </c>
      <c r="AH73">
        <v>1.1614000828953421</v>
      </c>
      <c r="AI73">
        <v>1.1672070833098187</v>
      </c>
      <c r="AJ73">
        <v>1.1730431187263677</v>
      </c>
      <c r="AK73">
        <v>1.1789083343199993</v>
      </c>
      <c r="AL73">
        <v>1.1848028759915992</v>
      </c>
      <c r="AM73">
        <v>1.1907268903715571</v>
      </c>
      <c r="AN73">
        <v>1.1966805248234147</v>
      </c>
      <c r="AO73">
        <v>1.2026639274475317</v>
      </c>
      <c r="AP73">
        <v>1.2086772470847693</v>
      </c>
      <c r="AQ73">
        <v>1.214720633320193</v>
      </c>
      <c r="AR73">
        <v>1.2207942364867939</v>
      </c>
      <c r="AS73">
        <v>1.2268982076692276</v>
      </c>
      <c r="AT73">
        <v>1.2330326987075737</v>
      </c>
      <c r="AU73">
        <v>1.2391978622011115</v>
      </c>
      <c r="AV73">
        <v>1.2453938515121168</v>
      </c>
      <c r="AW73">
        <v>1.2516208207696773</v>
      </c>
      <c r="AX73">
        <v>1.2578789248735256</v>
      </c>
      <c r="AY73">
        <v>1.264168319497893</v>
      </c>
      <c r="AZ73">
        <v>1.2704891610953823</v>
      </c>
      <c r="BA73">
        <v>1.2768416069008592</v>
      </c>
      <c r="BB73">
        <v>1.2832258149353633</v>
      </c>
      <c r="BC73">
        <v>1.28964194401004</v>
      </c>
      <c r="BD73">
        <v>1.29609015373009</v>
      </c>
      <c r="BE73">
        <v>1.3025706044987404</v>
      </c>
      <c r="BF73">
        <v>1.309083457521234</v>
      </c>
      <c r="BG73">
        <v>1.3156288748088401</v>
      </c>
      <c r="BH73">
        <v>1.3222070191828841</v>
      </c>
      <c r="BI73">
        <v>1.3288180542787984</v>
      </c>
      <c r="BJ73">
        <v>1.3354621445501922</v>
      </c>
      <c r="BK73">
        <v>1.3421394552729429</v>
      </c>
      <c r="BL73">
        <v>1.3488501525493075</v>
      </c>
      <c r="BM73">
        <v>1.3555944033120539</v>
      </c>
      <c r="BN73">
        <v>1.3623723753286141</v>
      </c>
      <c r="BO73">
        <v>1.3691842372052569</v>
      </c>
      <c r="BP73">
        <v>1.3760301583912831</v>
      </c>
      <c r="BQ73">
        <v>1.3829103091832393</v>
      </c>
      <c r="BR73">
        <v>1.3898248607291555</v>
      </c>
      <c r="BS73">
        <v>1.3967739850328011</v>
      </c>
      <c r="BT73">
        <v>1.403757854957965</v>
      </c>
      <c r="BU73">
        <v>1.4107766442327547</v>
      </c>
      <c r="BV73">
        <v>1.4178305274539182</v>
      </c>
      <c r="BW73">
        <v>1.4249196800911876</v>
      </c>
      <c r="BX73">
        <v>1.4320442784916434</v>
      </c>
      <c r="BY73">
        <v>1.4392044998841016</v>
      </c>
      <c r="BZ73">
        <v>1.4464005223835219</v>
      </c>
      <c r="CA73">
        <v>1.4536325249954394</v>
      </c>
      <c r="CB73">
        <v>1.4609006876204165</v>
      </c>
      <c r="CC73">
        <v>1.4682051910585183</v>
      </c>
      <c r="CD73">
        <v>1.4755462170138107</v>
      </c>
      <c r="CE73">
        <v>1.4829239480988796</v>
      </c>
      <c r="CF73">
        <v>1.4903385678393739</v>
      </c>
      <c r="CG73">
        <v>1.4977902606785705</v>
      </c>
      <c r="CH73">
        <v>1.5052792119819631</v>
      </c>
      <c r="CI73">
        <v>1.5128056080418728</v>
      </c>
    </row>
    <row r="74" spans="1:87" x14ac:dyDescent="0.3">
      <c r="A74" s="4" t="s">
        <v>981</v>
      </c>
      <c r="B74" s="4" t="s">
        <v>987</v>
      </c>
      <c r="C74" s="4" t="s">
        <v>668</v>
      </c>
      <c r="D74">
        <v>1</v>
      </c>
      <c r="E74">
        <v>1.0049999999999999</v>
      </c>
      <c r="F74">
        <v>1.0100249999999997</v>
      </c>
      <c r="G74">
        <v>1.0150751249999996</v>
      </c>
      <c r="H74">
        <v>1.0201505006249996</v>
      </c>
      <c r="I74">
        <v>1.0252512531281244</v>
      </c>
      <c r="J74">
        <v>1.030377509393765</v>
      </c>
      <c r="K74">
        <v>1.0355293969407338</v>
      </c>
      <c r="L74">
        <v>1.0407070439254373</v>
      </c>
      <c r="M74">
        <v>1.0459105791450642</v>
      </c>
      <c r="N74">
        <v>1.0511401320407896</v>
      </c>
      <c r="O74">
        <v>1.0563958327009935</v>
      </c>
      <c r="P74">
        <v>1.0616778118644983</v>
      </c>
      <c r="Q74">
        <v>1.0669862009238207</v>
      </c>
      <c r="R74">
        <v>1.0723211319284396</v>
      </c>
      <c r="S74">
        <v>1.0776827375880818</v>
      </c>
      <c r="T74">
        <v>1.083071151276022</v>
      </c>
      <c r="U74">
        <v>1.0884865070324019</v>
      </c>
      <c r="V74">
        <v>1.0939289395675638</v>
      </c>
      <c r="W74">
        <v>1.0993985842654015</v>
      </c>
      <c r="X74">
        <v>1.1048955771867284</v>
      </c>
      <c r="Y74">
        <v>1.1104200550726619</v>
      </c>
      <c r="Z74">
        <v>1.1159721553480251</v>
      </c>
      <c r="AA74">
        <v>1.1215520161247652</v>
      </c>
      <c r="AB74">
        <v>1.1271597762053889</v>
      </c>
      <c r="AC74">
        <v>1.1327955750864158</v>
      </c>
      <c r="AD74">
        <v>1.1384595529618478</v>
      </c>
      <c r="AE74">
        <v>1.1441518507266568</v>
      </c>
      <c r="AF74">
        <v>1.1498726099802901</v>
      </c>
      <c r="AG74">
        <v>1.1556219730301913</v>
      </c>
      <c r="AH74">
        <v>1.1614000828953421</v>
      </c>
      <c r="AI74">
        <v>1.1672070833098187</v>
      </c>
      <c r="AJ74">
        <v>1.1730431187263677</v>
      </c>
      <c r="AK74">
        <v>1.1789083343199993</v>
      </c>
      <c r="AL74">
        <v>1.1848028759915992</v>
      </c>
      <c r="AM74">
        <v>1.1907268903715571</v>
      </c>
      <c r="AN74">
        <v>1.1966805248234147</v>
      </c>
      <c r="AO74">
        <v>1.2026639274475317</v>
      </c>
      <c r="AP74">
        <v>1.2086772470847693</v>
      </c>
      <c r="AQ74">
        <v>1.214720633320193</v>
      </c>
      <c r="AR74">
        <v>1.2207942364867939</v>
      </c>
      <c r="AS74">
        <v>1.2268982076692276</v>
      </c>
      <c r="AT74">
        <v>1.2330326987075737</v>
      </c>
      <c r="AU74">
        <v>1.2391978622011115</v>
      </c>
      <c r="AV74">
        <v>1.2453938515121168</v>
      </c>
      <c r="AW74">
        <v>1.2516208207696773</v>
      </c>
      <c r="AX74">
        <v>1.2578789248735256</v>
      </c>
      <c r="AY74">
        <v>1.264168319497893</v>
      </c>
      <c r="AZ74">
        <v>1.2704891610953823</v>
      </c>
      <c r="BA74">
        <v>1.2768416069008592</v>
      </c>
      <c r="BB74">
        <v>1.2832258149353633</v>
      </c>
      <c r="BC74">
        <v>1.28964194401004</v>
      </c>
      <c r="BD74">
        <v>1.29609015373009</v>
      </c>
      <c r="BE74">
        <v>1.3025706044987404</v>
      </c>
      <c r="BF74">
        <v>1.309083457521234</v>
      </c>
      <c r="BG74">
        <v>1.3156288748088401</v>
      </c>
      <c r="BH74">
        <v>1.3222070191828841</v>
      </c>
      <c r="BI74">
        <v>1.3288180542787984</v>
      </c>
      <c r="BJ74">
        <v>1.3354621445501922</v>
      </c>
      <c r="BK74">
        <v>1.3421394552729429</v>
      </c>
      <c r="BL74">
        <v>1.3488501525493075</v>
      </c>
      <c r="BM74">
        <v>1.3555944033120539</v>
      </c>
      <c r="BN74">
        <v>1.3623723753286141</v>
      </c>
      <c r="BO74">
        <v>1.3691842372052569</v>
      </c>
      <c r="BP74">
        <v>1.3760301583912831</v>
      </c>
      <c r="BQ74">
        <v>1.3829103091832393</v>
      </c>
      <c r="BR74">
        <v>1.3898248607291555</v>
      </c>
      <c r="BS74">
        <v>1.3967739850328011</v>
      </c>
      <c r="BT74">
        <v>1.403757854957965</v>
      </c>
      <c r="BU74">
        <v>1.4107766442327547</v>
      </c>
      <c r="BV74">
        <v>1.4178305274539182</v>
      </c>
      <c r="BW74">
        <v>1.4249196800911876</v>
      </c>
      <c r="BX74">
        <v>1.4320442784916434</v>
      </c>
      <c r="BY74">
        <v>1.4392044998841016</v>
      </c>
      <c r="BZ74">
        <v>1.4464005223835219</v>
      </c>
      <c r="CA74">
        <v>1.4536325249954394</v>
      </c>
      <c r="CB74">
        <v>1.4609006876204165</v>
      </c>
      <c r="CC74">
        <v>1.4682051910585183</v>
      </c>
      <c r="CD74">
        <v>1.4755462170138107</v>
      </c>
      <c r="CE74">
        <v>1.4829239480988796</v>
      </c>
      <c r="CF74">
        <v>1.4903385678393739</v>
      </c>
      <c r="CG74">
        <v>1.4977902606785705</v>
      </c>
      <c r="CH74">
        <v>1.5052792119819631</v>
      </c>
      <c r="CI74">
        <v>1.5128056080418728</v>
      </c>
    </row>
    <row r="75" spans="1:87" x14ac:dyDescent="0.3">
      <c r="A75" s="4" t="s">
        <v>981</v>
      </c>
      <c r="B75" s="4" t="s">
        <v>987</v>
      </c>
      <c r="C75" s="4" t="s">
        <v>669</v>
      </c>
      <c r="D75">
        <v>1</v>
      </c>
      <c r="E75">
        <v>1.0049999999999999</v>
      </c>
      <c r="F75">
        <v>1.0100249999999997</v>
      </c>
      <c r="G75">
        <v>1.0150751249999996</v>
      </c>
      <c r="H75">
        <v>1.0201505006249996</v>
      </c>
      <c r="I75">
        <v>1.0252512531281244</v>
      </c>
      <c r="J75">
        <v>1.030377509393765</v>
      </c>
      <c r="K75">
        <v>1.0355293969407338</v>
      </c>
      <c r="L75">
        <v>1.0407070439254373</v>
      </c>
      <c r="M75">
        <v>1.0459105791450642</v>
      </c>
      <c r="N75">
        <v>1.0511401320407896</v>
      </c>
      <c r="O75">
        <v>1.0563958327009935</v>
      </c>
      <c r="P75">
        <v>1.0616778118644983</v>
      </c>
      <c r="Q75">
        <v>1.0669862009238207</v>
      </c>
      <c r="R75">
        <v>1.0723211319284396</v>
      </c>
      <c r="S75">
        <v>1.0776827375880818</v>
      </c>
      <c r="T75">
        <v>1.083071151276022</v>
      </c>
      <c r="U75">
        <v>1.0884865070324019</v>
      </c>
      <c r="V75">
        <v>1.0939289395675638</v>
      </c>
      <c r="W75">
        <v>1.0993985842654015</v>
      </c>
      <c r="X75">
        <v>1.1048955771867284</v>
      </c>
      <c r="Y75">
        <v>1.1104200550726619</v>
      </c>
      <c r="Z75">
        <v>1.1159721553480251</v>
      </c>
      <c r="AA75">
        <v>1.1215520161247652</v>
      </c>
      <c r="AB75">
        <v>1.1271597762053889</v>
      </c>
      <c r="AC75">
        <v>1.1327955750864158</v>
      </c>
      <c r="AD75">
        <v>1.1384595529618478</v>
      </c>
      <c r="AE75">
        <v>1.1441518507266568</v>
      </c>
      <c r="AF75">
        <v>1.1498726099802901</v>
      </c>
      <c r="AG75">
        <v>1.1556219730301913</v>
      </c>
      <c r="AH75">
        <v>1.1614000828953421</v>
      </c>
      <c r="AI75">
        <v>1.1672070833098187</v>
      </c>
      <c r="AJ75">
        <v>1.1730431187263677</v>
      </c>
      <c r="AK75">
        <v>1.1789083343199993</v>
      </c>
      <c r="AL75">
        <v>1.1848028759915992</v>
      </c>
      <c r="AM75">
        <v>1.1907268903715571</v>
      </c>
      <c r="AN75">
        <v>1.1966805248234147</v>
      </c>
      <c r="AO75">
        <v>1.2026639274475317</v>
      </c>
      <c r="AP75">
        <v>1.2086772470847693</v>
      </c>
      <c r="AQ75">
        <v>1.214720633320193</v>
      </c>
      <c r="AR75">
        <v>1.2207942364867939</v>
      </c>
      <c r="AS75">
        <v>1.2268982076692276</v>
      </c>
      <c r="AT75">
        <v>1.2330326987075737</v>
      </c>
      <c r="AU75">
        <v>1.2391978622011115</v>
      </c>
      <c r="AV75">
        <v>1.2453938515121168</v>
      </c>
      <c r="AW75">
        <v>1.2516208207696773</v>
      </c>
      <c r="AX75">
        <v>1.2578789248735256</v>
      </c>
      <c r="AY75">
        <v>1.264168319497893</v>
      </c>
      <c r="AZ75">
        <v>1.2704891610953823</v>
      </c>
      <c r="BA75">
        <v>1.2768416069008592</v>
      </c>
      <c r="BB75">
        <v>1.2832258149353633</v>
      </c>
      <c r="BC75">
        <v>1.28964194401004</v>
      </c>
      <c r="BD75">
        <v>1.29609015373009</v>
      </c>
      <c r="BE75">
        <v>1.3025706044987404</v>
      </c>
      <c r="BF75">
        <v>1.309083457521234</v>
      </c>
      <c r="BG75">
        <v>1.3156288748088401</v>
      </c>
      <c r="BH75">
        <v>1.3222070191828841</v>
      </c>
      <c r="BI75">
        <v>1.3288180542787984</v>
      </c>
      <c r="BJ75">
        <v>1.3354621445501922</v>
      </c>
      <c r="BK75">
        <v>1.3421394552729429</v>
      </c>
      <c r="BL75">
        <v>1.3488501525493075</v>
      </c>
      <c r="BM75">
        <v>1.3555944033120539</v>
      </c>
      <c r="BN75">
        <v>1.3623723753286141</v>
      </c>
      <c r="BO75">
        <v>1.3691842372052569</v>
      </c>
      <c r="BP75">
        <v>1.3760301583912831</v>
      </c>
      <c r="BQ75">
        <v>1.3829103091832393</v>
      </c>
      <c r="BR75">
        <v>1.3898248607291555</v>
      </c>
      <c r="BS75">
        <v>1.3967739850328011</v>
      </c>
      <c r="BT75">
        <v>1.403757854957965</v>
      </c>
      <c r="BU75">
        <v>1.4107766442327547</v>
      </c>
      <c r="BV75">
        <v>1.4178305274539182</v>
      </c>
      <c r="BW75">
        <v>1.4249196800911876</v>
      </c>
      <c r="BX75">
        <v>1.4320442784916434</v>
      </c>
      <c r="BY75">
        <v>1.4392044998841016</v>
      </c>
      <c r="BZ75">
        <v>1.4464005223835219</v>
      </c>
      <c r="CA75">
        <v>1.4536325249954394</v>
      </c>
      <c r="CB75">
        <v>1.4609006876204165</v>
      </c>
      <c r="CC75">
        <v>1.4682051910585183</v>
      </c>
      <c r="CD75">
        <v>1.4755462170138107</v>
      </c>
      <c r="CE75">
        <v>1.4829239480988796</v>
      </c>
      <c r="CF75">
        <v>1.4903385678393739</v>
      </c>
      <c r="CG75">
        <v>1.4977902606785705</v>
      </c>
      <c r="CH75">
        <v>1.5052792119819631</v>
      </c>
      <c r="CI75">
        <v>1.5128056080418728</v>
      </c>
    </row>
    <row r="76" spans="1:87" x14ac:dyDescent="0.3">
      <c r="A76" s="4" t="s">
        <v>981</v>
      </c>
      <c r="B76" s="4" t="s">
        <v>987</v>
      </c>
      <c r="C76" s="4" t="s">
        <v>670</v>
      </c>
      <c r="D76">
        <v>1</v>
      </c>
      <c r="E76">
        <v>1.0049999999999999</v>
      </c>
      <c r="F76">
        <v>1.0100249999999997</v>
      </c>
      <c r="G76">
        <v>1.0150751249999996</v>
      </c>
      <c r="H76">
        <v>1.0201505006249996</v>
      </c>
      <c r="I76">
        <v>1.0252512531281244</v>
      </c>
      <c r="J76">
        <v>1.030377509393765</v>
      </c>
      <c r="K76">
        <v>1.0355293969407338</v>
      </c>
      <c r="L76">
        <v>1.0407070439254373</v>
      </c>
      <c r="M76">
        <v>1.0459105791450642</v>
      </c>
      <c r="N76">
        <v>1.0511401320407896</v>
      </c>
      <c r="O76">
        <v>1.0563958327009935</v>
      </c>
      <c r="P76">
        <v>1.0616778118644983</v>
      </c>
      <c r="Q76">
        <v>1.0669862009238207</v>
      </c>
      <c r="R76">
        <v>1.0723211319284396</v>
      </c>
      <c r="S76">
        <v>1.0776827375880818</v>
      </c>
      <c r="T76">
        <v>1.083071151276022</v>
      </c>
      <c r="U76">
        <v>1.0884865070324019</v>
      </c>
      <c r="V76">
        <v>1.0939289395675638</v>
      </c>
      <c r="W76">
        <v>1.0993985842654015</v>
      </c>
      <c r="X76">
        <v>1.1048955771867284</v>
      </c>
      <c r="Y76">
        <v>1.1104200550726619</v>
      </c>
      <c r="Z76">
        <v>1.1159721553480251</v>
      </c>
      <c r="AA76">
        <v>1.1215520161247652</v>
      </c>
      <c r="AB76">
        <v>1.1271597762053889</v>
      </c>
      <c r="AC76">
        <v>1.1327955750864158</v>
      </c>
      <c r="AD76">
        <v>1.1384595529618478</v>
      </c>
      <c r="AE76">
        <v>1.1441518507266568</v>
      </c>
      <c r="AF76">
        <v>1.1498726099802901</v>
      </c>
      <c r="AG76">
        <v>1.1556219730301913</v>
      </c>
      <c r="AH76">
        <v>1.1614000828953421</v>
      </c>
      <c r="AI76">
        <v>1.1672070833098187</v>
      </c>
      <c r="AJ76">
        <v>1.1730431187263677</v>
      </c>
      <c r="AK76">
        <v>1.1789083343199993</v>
      </c>
      <c r="AL76">
        <v>1.1848028759915992</v>
      </c>
      <c r="AM76">
        <v>1.1907268903715571</v>
      </c>
      <c r="AN76">
        <v>1.1966805248234147</v>
      </c>
      <c r="AO76">
        <v>1.2026639274475317</v>
      </c>
      <c r="AP76">
        <v>1.2086772470847693</v>
      </c>
      <c r="AQ76">
        <v>1.214720633320193</v>
      </c>
      <c r="AR76">
        <v>1.2207942364867939</v>
      </c>
      <c r="AS76">
        <v>1.2268982076692276</v>
      </c>
      <c r="AT76">
        <v>1.2330326987075737</v>
      </c>
      <c r="AU76">
        <v>1.2391978622011115</v>
      </c>
      <c r="AV76">
        <v>1.2453938515121168</v>
      </c>
      <c r="AW76">
        <v>1.2516208207696773</v>
      </c>
      <c r="AX76">
        <v>1.2578789248735256</v>
      </c>
      <c r="AY76">
        <v>1.264168319497893</v>
      </c>
      <c r="AZ76">
        <v>1.2704891610953823</v>
      </c>
      <c r="BA76">
        <v>1.2768416069008592</v>
      </c>
      <c r="BB76">
        <v>1.2832258149353633</v>
      </c>
      <c r="BC76">
        <v>1.28964194401004</v>
      </c>
      <c r="BD76">
        <v>1.29609015373009</v>
      </c>
      <c r="BE76">
        <v>1.3025706044987404</v>
      </c>
      <c r="BF76">
        <v>1.309083457521234</v>
      </c>
      <c r="BG76">
        <v>1.3156288748088401</v>
      </c>
      <c r="BH76">
        <v>1.3222070191828841</v>
      </c>
      <c r="BI76">
        <v>1.3288180542787984</v>
      </c>
      <c r="BJ76">
        <v>1.3354621445501922</v>
      </c>
      <c r="BK76">
        <v>1.3421394552729429</v>
      </c>
      <c r="BL76">
        <v>1.3488501525493075</v>
      </c>
      <c r="BM76">
        <v>1.3555944033120539</v>
      </c>
      <c r="BN76">
        <v>1.3623723753286141</v>
      </c>
      <c r="BO76">
        <v>1.3691842372052569</v>
      </c>
      <c r="BP76">
        <v>1.3760301583912831</v>
      </c>
      <c r="BQ76">
        <v>1.3829103091832393</v>
      </c>
      <c r="BR76">
        <v>1.3898248607291555</v>
      </c>
      <c r="BS76">
        <v>1.3967739850328011</v>
      </c>
      <c r="BT76">
        <v>1.403757854957965</v>
      </c>
      <c r="BU76">
        <v>1.4107766442327547</v>
      </c>
      <c r="BV76">
        <v>1.4178305274539182</v>
      </c>
      <c r="BW76">
        <v>1.4249196800911876</v>
      </c>
      <c r="BX76">
        <v>1.4320442784916434</v>
      </c>
      <c r="BY76">
        <v>1.4392044998841016</v>
      </c>
      <c r="BZ76">
        <v>1.4464005223835219</v>
      </c>
      <c r="CA76">
        <v>1.4536325249954394</v>
      </c>
      <c r="CB76">
        <v>1.4609006876204165</v>
      </c>
      <c r="CC76">
        <v>1.4682051910585183</v>
      </c>
      <c r="CD76">
        <v>1.4755462170138107</v>
      </c>
      <c r="CE76">
        <v>1.4829239480988796</v>
      </c>
      <c r="CF76">
        <v>1.4903385678393739</v>
      </c>
      <c r="CG76">
        <v>1.4977902606785705</v>
      </c>
      <c r="CH76">
        <v>1.5052792119819631</v>
      </c>
      <c r="CI76">
        <v>1.5128056080418728</v>
      </c>
    </row>
    <row r="77" spans="1:87" x14ac:dyDescent="0.3">
      <c r="A77" s="4" t="s">
        <v>981</v>
      </c>
      <c r="B77" s="4" t="s">
        <v>987</v>
      </c>
      <c r="C77" s="4" t="s">
        <v>245</v>
      </c>
      <c r="D77">
        <v>1</v>
      </c>
      <c r="E77">
        <v>1.0049999999999999</v>
      </c>
      <c r="F77">
        <v>1.0100249999999997</v>
      </c>
      <c r="G77">
        <v>1.0150751249999996</v>
      </c>
      <c r="H77">
        <v>1.0201505006249996</v>
      </c>
      <c r="I77">
        <v>1.0252512531281244</v>
      </c>
      <c r="J77">
        <v>1.030377509393765</v>
      </c>
      <c r="K77">
        <v>1.0355293969407338</v>
      </c>
      <c r="L77">
        <v>1.0407070439254373</v>
      </c>
      <c r="M77">
        <v>1.0459105791450642</v>
      </c>
      <c r="N77">
        <v>1.0511401320407896</v>
      </c>
      <c r="O77">
        <v>1.0563958327009935</v>
      </c>
      <c r="P77">
        <v>1.0616778118644983</v>
      </c>
      <c r="Q77">
        <v>1.0669862009238207</v>
      </c>
      <c r="R77">
        <v>1.0723211319284396</v>
      </c>
      <c r="S77">
        <v>1.0776827375880818</v>
      </c>
      <c r="T77">
        <v>1.083071151276022</v>
      </c>
      <c r="U77">
        <v>1.0884865070324019</v>
      </c>
      <c r="V77">
        <v>1.0939289395675638</v>
      </c>
      <c r="W77">
        <v>1.0993985842654015</v>
      </c>
      <c r="X77">
        <v>1.1048955771867284</v>
      </c>
      <c r="Y77">
        <v>1.1104200550726619</v>
      </c>
      <c r="Z77">
        <v>1.1159721553480251</v>
      </c>
      <c r="AA77">
        <v>1.1215520161247652</v>
      </c>
      <c r="AB77">
        <v>1.1271597762053889</v>
      </c>
      <c r="AC77">
        <v>1.1327955750864158</v>
      </c>
      <c r="AD77">
        <v>1.1384595529618478</v>
      </c>
      <c r="AE77">
        <v>1.1441518507266568</v>
      </c>
      <c r="AF77">
        <v>1.1498726099802901</v>
      </c>
      <c r="AG77">
        <v>1.1556219730301913</v>
      </c>
      <c r="AH77">
        <v>1.1614000828953421</v>
      </c>
      <c r="AI77">
        <v>1.1672070833098187</v>
      </c>
      <c r="AJ77">
        <v>1.1730431187263677</v>
      </c>
      <c r="AK77">
        <v>1.1789083343199993</v>
      </c>
      <c r="AL77">
        <v>1.1848028759915992</v>
      </c>
      <c r="AM77">
        <v>1.1907268903715571</v>
      </c>
      <c r="AN77">
        <v>1.1966805248234147</v>
      </c>
      <c r="AO77">
        <v>1.2026639274475317</v>
      </c>
      <c r="AP77">
        <v>1.2086772470847693</v>
      </c>
      <c r="AQ77">
        <v>1.214720633320193</v>
      </c>
      <c r="AR77">
        <v>1.2207942364867939</v>
      </c>
      <c r="AS77">
        <v>1.2268982076692276</v>
      </c>
      <c r="AT77">
        <v>1.2330326987075737</v>
      </c>
      <c r="AU77">
        <v>1.2391978622011115</v>
      </c>
      <c r="AV77">
        <v>1.2453938515121168</v>
      </c>
      <c r="AW77">
        <v>1.2516208207696773</v>
      </c>
      <c r="AX77">
        <v>1.2578789248735256</v>
      </c>
      <c r="AY77">
        <v>1.264168319497893</v>
      </c>
      <c r="AZ77">
        <v>1.2704891610953823</v>
      </c>
      <c r="BA77">
        <v>1.2768416069008592</v>
      </c>
      <c r="BB77">
        <v>1.2832258149353633</v>
      </c>
      <c r="BC77">
        <v>1.28964194401004</v>
      </c>
      <c r="BD77">
        <v>1.29609015373009</v>
      </c>
      <c r="BE77">
        <v>1.3025706044987404</v>
      </c>
      <c r="BF77">
        <v>1.309083457521234</v>
      </c>
      <c r="BG77">
        <v>1.3156288748088401</v>
      </c>
      <c r="BH77">
        <v>1.3222070191828841</v>
      </c>
      <c r="BI77">
        <v>1.3288180542787984</v>
      </c>
      <c r="BJ77">
        <v>1.3354621445501922</v>
      </c>
      <c r="BK77">
        <v>1.3421394552729429</v>
      </c>
      <c r="BL77">
        <v>1.3488501525493075</v>
      </c>
      <c r="BM77">
        <v>1.3555944033120539</v>
      </c>
      <c r="BN77">
        <v>1.3623723753286141</v>
      </c>
      <c r="BO77">
        <v>1.3691842372052569</v>
      </c>
      <c r="BP77">
        <v>1.3760301583912831</v>
      </c>
      <c r="BQ77">
        <v>1.3829103091832393</v>
      </c>
      <c r="BR77">
        <v>1.3898248607291555</v>
      </c>
      <c r="BS77">
        <v>1.3967739850328011</v>
      </c>
      <c r="BT77">
        <v>1.403757854957965</v>
      </c>
      <c r="BU77">
        <v>1.4107766442327547</v>
      </c>
      <c r="BV77">
        <v>1.4178305274539182</v>
      </c>
      <c r="BW77">
        <v>1.4249196800911876</v>
      </c>
      <c r="BX77">
        <v>1.4320442784916434</v>
      </c>
      <c r="BY77">
        <v>1.4392044998841016</v>
      </c>
      <c r="BZ77">
        <v>1.4464005223835219</v>
      </c>
      <c r="CA77">
        <v>1.4536325249954394</v>
      </c>
      <c r="CB77">
        <v>1.4609006876204165</v>
      </c>
      <c r="CC77">
        <v>1.4682051910585183</v>
      </c>
      <c r="CD77">
        <v>1.4755462170138107</v>
      </c>
      <c r="CE77">
        <v>1.4829239480988796</v>
      </c>
      <c r="CF77">
        <v>1.4903385678393739</v>
      </c>
      <c r="CG77">
        <v>1.4977902606785705</v>
      </c>
      <c r="CH77">
        <v>1.5052792119819631</v>
      </c>
      <c r="CI77">
        <v>1.5128056080418728</v>
      </c>
    </row>
    <row r="78" spans="1:87" x14ac:dyDescent="0.3">
      <c r="A78" s="4" t="s">
        <v>981</v>
      </c>
      <c r="B78" s="4" t="s">
        <v>987</v>
      </c>
      <c r="C78" s="4" t="s">
        <v>252</v>
      </c>
      <c r="D78">
        <v>1</v>
      </c>
      <c r="E78">
        <v>1.0049999999999999</v>
      </c>
      <c r="F78">
        <v>1.0100249999999997</v>
      </c>
      <c r="G78">
        <v>1.0150751249999996</v>
      </c>
      <c r="H78">
        <v>1.0201505006249996</v>
      </c>
      <c r="I78">
        <v>1.0252512531281244</v>
      </c>
      <c r="J78">
        <v>1.030377509393765</v>
      </c>
      <c r="K78">
        <v>1.0355293969407338</v>
      </c>
      <c r="L78">
        <v>1.0407070439254373</v>
      </c>
      <c r="M78">
        <v>1.0459105791450642</v>
      </c>
      <c r="N78">
        <v>1.0511401320407896</v>
      </c>
      <c r="O78">
        <v>1.0563958327009935</v>
      </c>
      <c r="P78">
        <v>1.0616778118644983</v>
      </c>
      <c r="Q78">
        <v>1.0669862009238207</v>
      </c>
      <c r="R78">
        <v>1.0723211319284396</v>
      </c>
      <c r="S78">
        <v>1.0776827375880818</v>
      </c>
      <c r="T78">
        <v>1.083071151276022</v>
      </c>
      <c r="U78">
        <v>1.0884865070324019</v>
      </c>
      <c r="V78">
        <v>1.0939289395675638</v>
      </c>
      <c r="W78">
        <v>1.0993985842654015</v>
      </c>
      <c r="X78">
        <v>1.1048955771867284</v>
      </c>
      <c r="Y78">
        <v>1.1104200550726619</v>
      </c>
      <c r="Z78">
        <v>1.1159721553480251</v>
      </c>
      <c r="AA78">
        <v>1.1215520161247652</v>
      </c>
      <c r="AB78">
        <v>1.1271597762053889</v>
      </c>
      <c r="AC78">
        <v>1.1327955750864158</v>
      </c>
      <c r="AD78">
        <v>1.1384595529618478</v>
      </c>
      <c r="AE78">
        <v>1.1441518507266568</v>
      </c>
      <c r="AF78">
        <v>1.1498726099802901</v>
      </c>
      <c r="AG78">
        <v>1.1556219730301913</v>
      </c>
      <c r="AH78">
        <v>1.1614000828953421</v>
      </c>
      <c r="AI78">
        <v>1.1672070833098187</v>
      </c>
      <c r="AJ78">
        <v>1.1730431187263677</v>
      </c>
      <c r="AK78">
        <v>1.1789083343199993</v>
      </c>
      <c r="AL78">
        <v>1.1848028759915992</v>
      </c>
      <c r="AM78">
        <v>1.1907268903715571</v>
      </c>
      <c r="AN78">
        <v>1.1966805248234147</v>
      </c>
      <c r="AO78">
        <v>1.2026639274475317</v>
      </c>
      <c r="AP78">
        <v>1.2086772470847693</v>
      </c>
      <c r="AQ78">
        <v>1.214720633320193</v>
      </c>
      <c r="AR78">
        <v>1.2207942364867939</v>
      </c>
      <c r="AS78">
        <v>1.2268982076692276</v>
      </c>
      <c r="AT78">
        <v>1.2330326987075737</v>
      </c>
      <c r="AU78">
        <v>1.2391978622011115</v>
      </c>
      <c r="AV78">
        <v>1.2453938515121168</v>
      </c>
      <c r="AW78">
        <v>1.2516208207696773</v>
      </c>
      <c r="AX78">
        <v>1.2578789248735256</v>
      </c>
      <c r="AY78">
        <v>1.264168319497893</v>
      </c>
      <c r="AZ78">
        <v>1.2704891610953823</v>
      </c>
      <c r="BA78">
        <v>1.2768416069008592</v>
      </c>
      <c r="BB78">
        <v>1.2832258149353633</v>
      </c>
      <c r="BC78">
        <v>1.28964194401004</v>
      </c>
      <c r="BD78">
        <v>1.29609015373009</v>
      </c>
      <c r="BE78">
        <v>1.3025706044987404</v>
      </c>
      <c r="BF78">
        <v>1.309083457521234</v>
      </c>
      <c r="BG78">
        <v>1.3156288748088401</v>
      </c>
      <c r="BH78">
        <v>1.3222070191828841</v>
      </c>
      <c r="BI78">
        <v>1.3288180542787984</v>
      </c>
      <c r="BJ78">
        <v>1.3354621445501922</v>
      </c>
      <c r="BK78">
        <v>1.3421394552729429</v>
      </c>
      <c r="BL78">
        <v>1.3488501525493075</v>
      </c>
      <c r="BM78">
        <v>1.3555944033120539</v>
      </c>
      <c r="BN78">
        <v>1.3623723753286141</v>
      </c>
      <c r="BO78">
        <v>1.3691842372052569</v>
      </c>
      <c r="BP78">
        <v>1.3760301583912831</v>
      </c>
      <c r="BQ78">
        <v>1.3829103091832393</v>
      </c>
      <c r="BR78">
        <v>1.3898248607291555</v>
      </c>
      <c r="BS78">
        <v>1.3967739850328011</v>
      </c>
      <c r="BT78">
        <v>1.403757854957965</v>
      </c>
      <c r="BU78">
        <v>1.4107766442327547</v>
      </c>
      <c r="BV78">
        <v>1.4178305274539182</v>
      </c>
      <c r="BW78">
        <v>1.4249196800911876</v>
      </c>
      <c r="BX78">
        <v>1.4320442784916434</v>
      </c>
      <c r="BY78">
        <v>1.4392044998841016</v>
      </c>
      <c r="BZ78">
        <v>1.4464005223835219</v>
      </c>
      <c r="CA78">
        <v>1.4536325249954394</v>
      </c>
      <c r="CB78">
        <v>1.4609006876204165</v>
      </c>
      <c r="CC78">
        <v>1.4682051910585183</v>
      </c>
      <c r="CD78">
        <v>1.4755462170138107</v>
      </c>
      <c r="CE78">
        <v>1.4829239480988796</v>
      </c>
      <c r="CF78">
        <v>1.4903385678393739</v>
      </c>
      <c r="CG78">
        <v>1.4977902606785705</v>
      </c>
      <c r="CH78">
        <v>1.5052792119819631</v>
      </c>
      <c r="CI78">
        <v>1.5128056080418728</v>
      </c>
    </row>
    <row r="79" spans="1:87" x14ac:dyDescent="0.3">
      <c r="A79" s="4" t="s">
        <v>981</v>
      </c>
      <c r="B79" s="4" t="s">
        <v>987</v>
      </c>
      <c r="C79" s="4" t="s">
        <v>671</v>
      </c>
      <c r="D79">
        <v>1</v>
      </c>
      <c r="E79">
        <v>1.0049999999999999</v>
      </c>
      <c r="F79">
        <v>1.0100249999999997</v>
      </c>
      <c r="G79">
        <v>1.0150751249999996</v>
      </c>
      <c r="H79">
        <v>1.0201505006249996</v>
      </c>
      <c r="I79">
        <v>1.0252512531281244</v>
      </c>
      <c r="J79">
        <v>1.030377509393765</v>
      </c>
      <c r="K79">
        <v>1.0355293969407338</v>
      </c>
      <c r="L79">
        <v>1.0407070439254373</v>
      </c>
      <c r="M79">
        <v>1.0459105791450642</v>
      </c>
      <c r="N79">
        <v>1.0511401320407896</v>
      </c>
      <c r="O79">
        <v>1.0563958327009935</v>
      </c>
      <c r="P79">
        <v>1.0616778118644983</v>
      </c>
      <c r="Q79">
        <v>1.0669862009238207</v>
      </c>
      <c r="R79">
        <v>1.0723211319284396</v>
      </c>
      <c r="S79">
        <v>1.0776827375880818</v>
      </c>
      <c r="T79">
        <v>1.083071151276022</v>
      </c>
      <c r="U79">
        <v>1.0884865070324019</v>
      </c>
      <c r="V79">
        <v>1.0939289395675638</v>
      </c>
      <c r="W79">
        <v>1.0993985842654015</v>
      </c>
      <c r="X79">
        <v>1.1048955771867284</v>
      </c>
      <c r="Y79">
        <v>1.1104200550726619</v>
      </c>
      <c r="Z79">
        <v>1.1159721553480251</v>
      </c>
      <c r="AA79">
        <v>1.1215520161247652</v>
      </c>
      <c r="AB79">
        <v>1.1271597762053889</v>
      </c>
      <c r="AC79">
        <v>1.1327955750864158</v>
      </c>
      <c r="AD79">
        <v>1.1384595529618478</v>
      </c>
      <c r="AE79">
        <v>1.1441518507266568</v>
      </c>
      <c r="AF79">
        <v>1.1498726099802901</v>
      </c>
      <c r="AG79">
        <v>1.1556219730301913</v>
      </c>
      <c r="AH79">
        <v>1.1614000828953421</v>
      </c>
      <c r="AI79">
        <v>1.1672070833098187</v>
      </c>
      <c r="AJ79">
        <v>1.1730431187263677</v>
      </c>
      <c r="AK79">
        <v>1.1789083343199993</v>
      </c>
      <c r="AL79">
        <v>1.1848028759915992</v>
      </c>
      <c r="AM79">
        <v>1.1907268903715571</v>
      </c>
      <c r="AN79">
        <v>1.1966805248234147</v>
      </c>
      <c r="AO79">
        <v>1.2026639274475317</v>
      </c>
      <c r="AP79">
        <v>1.2086772470847693</v>
      </c>
      <c r="AQ79">
        <v>1.214720633320193</v>
      </c>
      <c r="AR79">
        <v>1.2207942364867939</v>
      </c>
      <c r="AS79">
        <v>1.2268982076692276</v>
      </c>
      <c r="AT79">
        <v>1.2330326987075737</v>
      </c>
      <c r="AU79">
        <v>1.2391978622011115</v>
      </c>
      <c r="AV79">
        <v>1.2453938515121168</v>
      </c>
      <c r="AW79">
        <v>1.2516208207696773</v>
      </c>
      <c r="AX79">
        <v>1.2578789248735256</v>
      </c>
      <c r="AY79">
        <v>1.264168319497893</v>
      </c>
      <c r="AZ79">
        <v>1.2704891610953823</v>
      </c>
      <c r="BA79">
        <v>1.2768416069008592</v>
      </c>
      <c r="BB79">
        <v>1.2832258149353633</v>
      </c>
      <c r="BC79">
        <v>1.28964194401004</v>
      </c>
      <c r="BD79">
        <v>1.29609015373009</v>
      </c>
      <c r="BE79">
        <v>1.3025706044987404</v>
      </c>
      <c r="BF79">
        <v>1.309083457521234</v>
      </c>
      <c r="BG79">
        <v>1.3156288748088401</v>
      </c>
      <c r="BH79">
        <v>1.3222070191828841</v>
      </c>
      <c r="BI79">
        <v>1.3288180542787984</v>
      </c>
      <c r="BJ79">
        <v>1.3354621445501922</v>
      </c>
      <c r="BK79">
        <v>1.3421394552729429</v>
      </c>
      <c r="BL79">
        <v>1.3488501525493075</v>
      </c>
      <c r="BM79">
        <v>1.3555944033120539</v>
      </c>
      <c r="BN79">
        <v>1.3623723753286141</v>
      </c>
      <c r="BO79">
        <v>1.3691842372052569</v>
      </c>
      <c r="BP79">
        <v>1.3760301583912831</v>
      </c>
      <c r="BQ79">
        <v>1.3829103091832393</v>
      </c>
      <c r="BR79">
        <v>1.3898248607291555</v>
      </c>
      <c r="BS79">
        <v>1.3967739850328011</v>
      </c>
      <c r="BT79">
        <v>1.403757854957965</v>
      </c>
      <c r="BU79">
        <v>1.4107766442327547</v>
      </c>
      <c r="BV79">
        <v>1.4178305274539182</v>
      </c>
      <c r="BW79">
        <v>1.4249196800911876</v>
      </c>
      <c r="BX79">
        <v>1.4320442784916434</v>
      </c>
      <c r="BY79">
        <v>1.4392044998841016</v>
      </c>
      <c r="BZ79">
        <v>1.4464005223835219</v>
      </c>
      <c r="CA79">
        <v>1.4536325249954394</v>
      </c>
      <c r="CB79">
        <v>1.4609006876204165</v>
      </c>
      <c r="CC79">
        <v>1.4682051910585183</v>
      </c>
      <c r="CD79">
        <v>1.4755462170138107</v>
      </c>
      <c r="CE79">
        <v>1.4829239480988796</v>
      </c>
      <c r="CF79">
        <v>1.4903385678393739</v>
      </c>
      <c r="CG79">
        <v>1.4977902606785705</v>
      </c>
      <c r="CH79">
        <v>1.5052792119819631</v>
      </c>
      <c r="CI79">
        <v>1.5128056080418728</v>
      </c>
    </row>
    <row r="80" spans="1:87" x14ac:dyDescent="0.3">
      <c r="A80" s="4" t="s">
        <v>981</v>
      </c>
      <c r="B80" s="4" t="s">
        <v>987</v>
      </c>
      <c r="C80" s="4" t="s">
        <v>258</v>
      </c>
      <c r="D80">
        <v>1</v>
      </c>
      <c r="E80">
        <v>1.0049999999999999</v>
      </c>
      <c r="F80">
        <v>1.0100249999999997</v>
      </c>
      <c r="G80">
        <v>1.0150751249999996</v>
      </c>
      <c r="H80">
        <v>1.0201505006249996</v>
      </c>
      <c r="I80">
        <v>1.0252512531281244</v>
      </c>
      <c r="J80">
        <v>1.030377509393765</v>
      </c>
      <c r="K80">
        <v>1.0355293969407338</v>
      </c>
      <c r="L80">
        <v>1.0407070439254373</v>
      </c>
      <c r="M80">
        <v>1.0459105791450642</v>
      </c>
      <c r="N80">
        <v>1.0511401320407896</v>
      </c>
      <c r="O80">
        <v>1.0563958327009935</v>
      </c>
      <c r="P80">
        <v>1.0616778118644983</v>
      </c>
      <c r="Q80">
        <v>1.0669862009238207</v>
      </c>
      <c r="R80">
        <v>1.0723211319284396</v>
      </c>
      <c r="S80">
        <v>1.0776827375880818</v>
      </c>
      <c r="T80">
        <v>1.083071151276022</v>
      </c>
      <c r="U80">
        <v>1.0884865070324019</v>
      </c>
      <c r="V80">
        <v>1.0939289395675638</v>
      </c>
      <c r="W80">
        <v>1.0993985842654015</v>
      </c>
      <c r="X80">
        <v>1.1048955771867284</v>
      </c>
      <c r="Y80">
        <v>1.1104200550726619</v>
      </c>
      <c r="Z80">
        <v>1.1159721553480251</v>
      </c>
      <c r="AA80">
        <v>1.1215520161247652</v>
      </c>
      <c r="AB80">
        <v>1.1271597762053889</v>
      </c>
      <c r="AC80">
        <v>1.1327955750864158</v>
      </c>
      <c r="AD80">
        <v>1.1384595529618478</v>
      </c>
      <c r="AE80">
        <v>1.1441518507266568</v>
      </c>
      <c r="AF80">
        <v>1.1498726099802901</v>
      </c>
      <c r="AG80">
        <v>1.1556219730301913</v>
      </c>
      <c r="AH80">
        <v>1.1614000828953421</v>
      </c>
      <c r="AI80">
        <v>1.1672070833098187</v>
      </c>
      <c r="AJ80">
        <v>1.1730431187263677</v>
      </c>
      <c r="AK80">
        <v>1.1789083343199993</v>
      </c>
      <c r="AL80">
        <v>1.1848028759915992</v>
      </c>
      <c r="AM80">
        <v>1.1907268903715571</v>
      </c>
      <c r="AN80">
        <v>1.1966805248234147</v>
      </c>
      <c r="AO80">
        <v>1.2026639274475317</v>
      </c>
      <c r="AP80">
        <v>1.2086772470847693</v>
      </c>
      <c r="AQ80">
        <v>1.214720633320193</v>
      </c>
      <c r="AR80">
        <v>1.2207942364867939</v>
      </c>
      <c r="AS80">
        <v>1.2268982076692276</v>
      </c>
      <c r="AT80">
        <v>1.2330326987075737</v>
      </c>
      <c r="AU80">
        <v>1.2391978622011115</v>
      </c>
      <c r="AV80">
        <v>1.2453938515121168</v>
      </c>
      <c r="AW80">
        <v>1.2516208207696773</v>
      </c>
      <c r="AX80">
        <v>1.2578789248735256</v>
      </c>
      <c r="AY80">
        <v>1.264168319497893</v>
      </c>
      <c r="AZ80">
        <v>1.2704891610953823</v>
      </c>
      <c r="BA80">
        <v>1.2768416069008592</v>
      </c>
      <c r="BB80">
        <v>1.2832258149353633</v>
      </c>
      <c r="BC80">
        <v>1.28964194401004</v>
      </c>
      <c r="BD80">
        <v>1.29609015373009</v>
      </c>
      <c r="BE80">
        <v>1.3025706044987404</v>
      </c>
      <c r="BF80">
        <v>1.309083457521234</v>
      </c>
      <c r="BG80">
        <v>1.3156288748088401</v>
      </c>
      <c r="BH80">
        <v>1.3222070191828841</v>
      </c>
      <c r="BI80">
        <v>1.3288180542787984</v>
      </c>
      <c r="BJ80">
        <v>1.3354621445501922</v>
      </c>
      <c r="BK80">
        <v>1.3421394552729429</v>
      </c>
      <c r="BL80">
        <v>1.3488501525493075</v>
      </c>
      <c r="BM80">
        <v>1.3555944033120539</v>
      </c>
      <c r="BN80">
        <v>1.3623723753286141</v>
      </c>
      <c r="BO80">
        <v>1.3691842372052569</v>
      </c>
      <c r="BP80">
        <v>1.3760301583912831</v>
      </c>
      <c r="BQ80">
        <v>1.3829103091832393</v>
      </c>
      <c r="BR80">
        <v>1.3898248607291555</v>
      </c>
      <c r="BS80">
        <v>1.3967739850328011</v>
      </c>
      <c r="BT80">
        <v>1.403757854957965</v>
      </c>
      <c r="BU80">
        <v>1.4107766442327547</v>
      </c>
      <c r="BV80">
        <v>1.4178305274539182</v>
      </c>
      <c r="BW80">
        <v>1.4249196800911876</v>
      </c>
      <c r="BX80">
        <v>1.4320442784916434</v>
      </c>
      <c r="BY80">
        <v>1.4392044998841016</v>
      </c>
      <c r="BZ80">
        <v>1.4464005223835219</v>
      </c>
      <c r="CA80">
        <v>1.4536325249954394</v>
      </c>
      <c r="CB80">
        <v>1.4609006876204165</v>
      </c>
      <c r="CC80">
        <v>1.4682051910585183</v>
      </c>
      <c r="CD80">
        <v>1.4755462170138107</v>
      </c>
      <c r="CE80">
        <v>1.4829239480988796</v>
      </c>
      <c r="CF80">
        <v>1.4903385678393739</v>
      </c>
      <c r="CG80">
        <v>1.4977902606785705</v>
      </c>
      <c r="CH80">
        <v>1.5052792119819631</v>
      </c>
      <c r="CI80">
        <v>1.5128056080418728</v>
      </c>
    </row>
    <row r="81" spans="1:87" x14ac:dyDescent="0.3">
      <c r="A81" s="4" t="s">
        <v>981</v>
      </c>
      <c r="B81" s="4" t="s">
        <v>987</v>
      </c>
      <c r="C81" s="4" t="s">
        <v>1306</v>
      </c>
      <c r="D81">
        <v>1</v>
      </c>
      <c r="E81">
        <v>1.0049999999999999</v>
      </c>
      <c r="F81">
        <v>1.0100249999999997</v>
      </c>
      <c r="G81">
        <v>1.0150751249999996</v>
      </c>
      <c r="H81">
        <v>1.0201505006249996</v>
      </c>
      <c r="I81">
        <v>1.0252512531281244</v>
      </c>
      <c r="J81">
        <v>1.030377509393765</v>
      </c>
      <c r="K81">
        <v>1.0355293969407338</v>
      </c>
      <c r="L81">
        <v>1.0407070439254373</v>
      </c>
      <c r="M81">
        <v>1.0459105791450642</v>
      </c>
      <c r="N81">
        <v>1.0511401320407896</v>
      </c>
      <c r="O81">
        <v>1.0563958327009935</v>
      </c>
      <c r="P81">
        <v>1.0616778118644983</v>
      </c>
      <c r="Q81">
        <v>1.0669862009238207</v>
      </c>
      <c r="R81">
        <v>1.0723211319284396</v>
      </c>
      <c r="S81">
        <v>1.0776827375880818</v>
      </c>
      <c r="T81">
        <v>1.083071151276022</v>
      </c>
      <c r="U81">
        <v>1.0884865070324019</v>
      </c>
      <c r="V81">
        <v>1.0939289395675638</v>
      </c>
      <c r="W81">
        <v>1.0993985842654015</v>
      </c>
      <c r="X81">
        <v>1.1048955771867284</v>
      </c>
      <c r="Y81">
        <v>1.1104200550726619</v>
      </c>
      <c r="Z81">
        <v>1.1159721553480251</v>
      </c>
      <c r="AA81">
        <v>1.1215520161247652</v>
      </c>
      <c r="AB81">
        <v>1.1271597762053889</v>
      </c>
      <c r="AC81">
        <v>1.1327955750864158</v>
      </c>
      <c r="AD81">
        <v>1.1384595529618478</v>
      </c>
      <c r="AE81">
        <v>1.1441518507266568</v>
      </c>
      <c r="AF81">
        <v>1.1498726099802901</v>
      </c>
      <c r="AG81">
        <v>1.1556219730301913</v>
      </c>
      <c r="AH81">
        <v>1.1614000828953421</v>
      </c>
      <c r="AI81">
        <v>1.1672070833098187</v>
      </c>
      <c r="AJ81">
        <v>1.1730431187263677</v>
      </c>
      <c r="AK81">
        <v>1.1789083343199993</v>
      </c>
      <c r="AL81">
        <v>1.1848028759915992</v>
      </c>
      <c r="AM81">
        <v>1.1907268903715571</v>
      </c>
      <c r="AN81">
        <v>1.1966805248234147</v>
      </c>
      <c r="AO81">
        <v>1.2026639274475317</v>
      </c>
      <c r="AP81">
        <v>1.2086772470847693</v>
      </c>
      <c r="AQ81">
        <v>1.214720633320193</v>
      </c>
      <c r="AR81">
        <v>1.2207942364867939</v>
      </c>
      <c r="AS81">
        <v>1.2268982076692276</v>
      </c>
      <c r="AT81">
        <v>1.2330326987075737</v>
      </c>
      <c r="AU81">
        <v>1.2391978622011115</v>
      </c>
      <c r="AV81">
        <v>1.2453938515121168</v>
      </c>
      <c r="AW81">
        <v>1.2516208207696773</v>
      </c>
      <c r="AX81">
        <v>1.2578789248735256</v>
      </c>
      <c r="AY81">
        <v>1.264168319497893</v>
      </c>
      <c r="AZ81">
        <v>1.2704891610953823</v>
      </c>
      <c r="BA81">
        <v>1.2768416069008592</v>
      </c>
      <c r="BB81">
        <v>1.2832258149353633</v>
      </c>
      <c r="BC81">
        <v>1.28964194401004</v>
      </c>
      <c r="BD81">
        <v>1.29609015373009</v>
      </c>
      <c r="BE81">
        <v>1.3025706044987404</v>
      </c>
      <c r="BF81">
        <v>1.309083457521234</v>
      </c>
      <c r="BG81">
        <v>1.3156288748088401</v>
      </c>
      <c r="BH81">
        <v>1.3222070191828841</v>
      </c>
      <c r="BI81">
        <v>1.3288180542787984</v>
      </c>
      <c r="BJ81">
        <v>1.3354621445501922</v>
      </c>
      <c r="BK81">
        <v>1.3421394552729429</v>
      </c>
      <c r="BL81">
        <v>1.3488501525493075</v>
      </c>
      <c r="BM81">
        <v>1.3555944033120539</v>
      </c>
      <c r="BN81">
        <v>1.3623723753286141</v>
      </c>
      <c r="BO81">
        <v>1.3691842372052569</v>
      </c>
      <c r="BP81">
        <v>1.3760301583912831</v>
      </c>
      <c r="BQ81">
        <v>1.3829103091832393</v>
      </c>
      <c r="BR81">
        <v>1.3898248607291555</v>
      </c>
      <c r="BS81">
        <v>1.3967739850328011</v>
      </c>
      <c r="BT81">
        <v>1.403757854957965</v>
      </c>
      <c r="BU81">
        <v>1.4107766442327547</v>
      </c>
      <c r="BV81">
        <v>1.4178305274539182</v>
      </c>
      <c r="BW81">
        <v>1.4249196800911876</v>
      </c>
      <c r="BX81">
        <v>1.4320442784916434</v>
      </c>
      <c r="BY81">
        <v>1.4392044998841016</v>
      </c>
      <c r="BZ81">
        <v>1.4464005223835219</v>
      </c>
      <c r="CA81">
        <v>1.4536325249954394</v>
      </c>
      <c r="CB81">
        <v>1.4609006876204165</v>
      </c>
      <c r="CC81">
        <v>1.4682051910585183</v>
      </c>
      <c r="CD81">
        <v>1.4755462170138107</v>
      </c>
      <c r="CE81">
        <v>1.4829239480988796</v>
      </c>
      <c r="CF81">
        <v>1.4903385678393739</v>
      </c>
      <c r="CG81">
        <v>1.4977902606785705</v>
      </c>
      <c r="CH81">
        <v>1.5052792119819631</v>
      </c>
      <c r="CI81">
        <v>1.5128056080418728</v>
      </c>
    </row>
    <row r="82" spans="1:87" x14ac:dyDescent="0.3">
      <c r="A82" s="4" t="s">
        <v>981</v>
      </c>
      <c r="B82" s="4" t="s">
        <v>987</v>
      </c>
      <c r="C82" s="4" t="s">
        <v>1307</v>
      </c>
      <c r="D82">
        <v>1</v>
      </c>
      <c r="E82">
        <v>1.0049999999999999</v>
      </c>
      <c r="F82">
        <v>1.0100249999999997</v>
      </c>
      <c r="G82">
        <v>1.0150751249999996</v>
      </c>
      <c r="H82">
        <v>1.0201505006249996</v>
      </c>
      <c r="I82">
        <v>1.0252512531281244</v>
      </c>
      <c r="J82">
        <v>1.030377509393765</v>
      </c>
      <c r="K82">
        <v>1.0355293969407338</v>
      </c>
      <c r="L82">
        <v>1.0407070439254373</v>
      </c>
      <c r="M82">
        <v>1.0459105791450642</v>
      </c>
      <c r="N82">
        <v>1.0511401320407896</v>
      </c>
      <c r="O82">
        <v>1.0563958327009935</v>
      </c>
      <c r="P82">
        <v>1.0616778118644983</v>
      </c>
      <c r="Q82">
        <v>1.0669862009238207</v>
      </c>
      <c r="R82">
        <v>1.0723211319284396</v>
      </c>
      <c r="S82">
        <v>1.0776827375880818</v>
      </c>
      <c r="T82">
        <v>1.083071151276022</v>
      </c>
      <c r="U82">
        <v>1.0884865070324019</v>
      </c>
      <c r="V82">
        <v>1.0939289395675638</v>
      </c>
      <c r="W82">
        <v>1.0993985842654015</v>
      </c>
      <c r="X82">
        <v>1.1048955771867284</v>
      </c>
      <c r="Y82">
        <v>1.1104200550726619</v>
      </c>
      <c r="Z82">
        <v>1.1159721553480251</v>
      </c>
      <c r="AA82">
        <v>1.1215520161247652</v>
      </c>
      <c r="AB82">
        <v>1.1271597762053889</v>
      </c>
      <c r="AC82">
        <v>1.1327955750864158</v>
      </c>
      <c r="AD82">
        <v>1.1384595529618478</v>
      </c>
      <c r="AE82">
        <v>1.1441518507266568</v>
      </c>
      <c r="AF82">
        <v>1.1498726099802901</v>
      </c>
      <c r="AG82">
        <v>1.1556219730301913</v>
      </c>
      <c r="AH82">
        <v>1.1614000828953421</v>
      </c>
      <c r="AI82">
        <v>1.1672070833098187</v>
      </c>
      <c r="AJ82">
        <v>1.1730431187263677</v>
      </c>
      <c r="AK82">
        <v>1.1789083343199993</v>
      </c>
      <c r="AL82">
        <v>1.1848028759915992</v>
      </c>
      <c r="AM82">
        <v>1.1907268903715571</v>
      </c>
      <c r="AN82">
        <v>1.1966805248234147</v>
      </c>
      <c r="AO82">
        <v>1.2026639274475317</v>
      </c>
      <c r="AP82">
        <v>1.2086772470847693</v>
      </c>
      <c r="AQ82">
        <v>1.214720633320193</v>
      </c>
      <c r="AR82">
        <v>1.2207942364867939</v>
      </c>
      <c r="AS82">
        <v>1.2268982076692276</v>
      </c>
      <c r="AT82">
        <v>1.2330326987075737</v>
      </c>
      <c r="AU82">
        <v>1.2391978622011115</v>
      </c>
      <c r="AV82">
        <v>1.2453938515121168</v>
      </c>
      <c r="AW82">
        <v>1.2516208207696773</v>
      </c>
      <c r="AX82">
        <v>1.2578789248735256</v>
      </c>
      <c r="AY82">
        <v>1.264168319497893</v>
      </c>
      <c r="AZ82">
        <v>1.2704891610953823</v>
      </c>
      <c r="BA82">
        <v>1.2768416069008592</v>
      </c>
      <c r="BB82">
        <v>1.2832258149353633</v>
      </c>
      <c r="BC82">
        <v>1.28964194401004</v>
      </c>
      <c r="BD82">
        <v>1.29609015373009</v>
      </c>
      <c r="BE82">
        <v>1.3025706044987404</v>
      </c>
      <c r="BF82">
        <v>1.309083457521234</v>
      </c>
      <c r="BG82">
        <v>1.3156288748088401</v>
      </c>
      <c r="BH82">
        <v>1.3222070191828841</v>
      </c>
      <c r="BI82">
        <v>1.3288180542787984</v>
      </c>
      <c r="BJ82">
        <v>1.3354621445501922</v>
      </c>
      <c r="BK82">
        <v>1.3421394552729429</v>
      </c>
      <c r="BL82">
        <v>1.3488501525493075</v>
      </c>
      <c r="BM82">
        <v>1.3555944033120539</v>
      </c>
      <c r="BN82">
        <v>1.3623723753286141</v>
      </c>
      <c r="BO82">
        <v>1.3691842372052569</v>
      </c>
      <c r="BP82">
        <v>1.3760301583912831</v>
      </c>
      <c r="BQ82">
        <v>1.3829103091832393</v>
      </c>
      <c r="BR82">
        <v>1.3898248607291555</v>
      </c>
      <c r="BS82">
        <v>1.3967739850328011</v>
      </c>
      <c r="BT82">
        <v>1.403757854957965</v>
      </c>
      <c r="BU82">
        <v>1.4107766442327547</v>
      </c>
      <c r="BV82">
        <v>1.4178305274539182</v>
      </c>
      <c r="BW82">
        <v>1.4249196800911876</v>
      </c>
      <c r="BX82">
        <v>1.4320442784916434</v>
      </c>
      <c r="BY82">
        <v>1.4392044998841016</v>
      </c>
      <c r="BZ82">
        <v>1.4464005223835219</v>
      </c>
      <c r="CA82">
        <v>1.4536325249954394</v>
      </c>
      <c r="CB82">
        <v>1.4609006876204165</v>
      </c>
      <c r="CC82">
        <v>1.4682051910585183</v>
      </c>
      <c r="CD82">
        <v>1.4755462170138107</v>
      </c>
      <c r="CE82">
        <v>1.4829239480988796</v>
      </c>
      <c r="CF82">
        <v>1.4903385678393739</v>
      </c>
      <c r="CG82">
        <v>1.4977902606785705</v>
      </c>
      <c r="CH82">
        <v>1.5052792119819631</v>
      </c>
      <c r="CI82">
        <v>1.5128056080418728</v>
      </c>
    </row>
    <row r="83" spans="1:87" x14ac:dyDescent="0.3">
      <c r="A83" s="4" t="s">
        <v>981</v>
      </c>
      <c r="B83" s="4" t="s">
        <v>987</v>
      </c>
      <c r="C83" s="4" t="s">
        <v>1308</v>
      </c>
      <c r="D83">
        <v>1</v>
      </c>
      <c r="E83">
        <v>1.0049999999999999</v>
      </c>
      <c r="F83">
        <v>1.0100249999999997</v>
      </c>
      <c r="G83">
        <v>1.0150751249999996</v>
      </c>
      <c r="H83">
        <v>1.0201505006249996</v>
      </c>
      <c r="I83">
        <v>1.0252512531281244</v>
      </c>
      <c r="J83">
        <v>1.030377509393765</v>
      </c>
      <c r="K83">
        <v>1.0355293969407338</v>
      </c>
      <c r="L83">
        <v>1.0407070439254373</v>
      </c>
      <c r="M83">
        <v>1.0459105791450642</v>
      </c>
      <c r="N83">
        <v>1.0511401320407896</v>
      </c>
      <c r="O83">
        <v>1.0563958327009935</v>
      </c>
      <c r="P83">
        <v>1.0616778118644983</v>
      </c>
      <c r="Q83">
        <v>1.0669862009238207</v>
      </c>
      <c r="R83">
        <v>1.0723211319284396</v>
      </c>
      <c r="S83">
        <v>1.0776827375880818</v>
      </c>
      <c r="T83">
        <v>1.083071151276022</v>
      </c>
      <c r="U83">
        <v>1.0884865070324019</v>
      </c>
      <c r="V83">
        <v>1.0939289395675638</v>
      </c>
      <c r="W83">
        <v>1.0993985842654015</v>
      </c>
      <c r="X83">
        <v>1.1048955771867284</v>
      </c>
      <c r="Y83">
        <v>1.1104200550726619</v>
      </c>
      <c r="Z83">
        <v>1.1159721553480251</v>
      </c>
      <c r="AA83">
        <v>1.1215520161247652</v>
      </c>
      <c r="AB83">
        <v>1.1271597762053889</v>
      </c>
      <c r="AC83">
        <v>1.1327955750864158</v>
      </c>
      <c r="AD83">
        <v>1.1384595529618478</v>
      </c>
      <c r="AE83">
        <v>1.1441518507266568</v>
      </c>
      <c r="AF83">
        <v>1.1498726099802901</v>
      </c>
      <c r="AG83">
        <v>1.1556219730301913</v>
      </c>
      <c r="AH83">
        <v>1.1614000828953421</v>
      </c>
      <c r="AI83">
        <v>1.1672070833098187</v>
      </c>
      <c r="AJ83">
        <v>1.1730431187263677</v>
      </c>
      <c r="AK83">
        <v>1.1789083343199993</v>
      </c>
      <c r="AL83">
        <v>1.1848028759915992</v>
      </c>
      <c r="AM83">
        <v>1.1907268903715571</v>
      </c>
      <c r="AN83">
        <v>1.1966805248234147</v>
      </c>
      <c r="AO83">
        <v>1.2026639274475317</v>
      </c>
      <c r="AP83">
        <v>1.2086772470847693</v>
      </c>
      <c r="AQ83">
        <v>1.214720633320193</v>
      </c>
      <c r="AR83">
        <v>1.2207942364867939</v>
      </c>
      <c r="AS83">
        <v>1.2268982076692276</v>
      </c>
      <c r="AT83">
        <v>1.2330326987075737</v>
      </c>
      <c r="AU83">
        <v>1.2391978622011115</v>
      </c>
      <c r="AV83">
        <v>1.2453938515121168</v>
      </c>
      <c r="AW83">
        <v>1.2516208207696773</v>
      </c>
      <c r="AX83">
        <v>1.2578789248735256</v>
      </c>
      <c r="AY83">
        <v>1.264168319497893</v>
      </c>
      <c r="AZ83">
        <v>1.2704891610953823</v>
      </c>
      <c r="BA83">
        <v>1.2768416069008592</v>
      </c>
      <c r="BB83">
        <v>1.2832258149353633</v>
      </c>
      <c r="BC83">
        <v>1.28964194401004</v>
      </c>
      <c r="BD83">
        <v>1.29609015373009</v>
      </c>
      <c r="BE83">
        <v>1.3025706044987404</v>
      </c>
      <c r="BF83">
        <v>1.309083457521234</v>
      </c>
      <c r="BG83">
        <v>1.3156288748088401</v>
      </c>
      <c r="BH83">
        <v>1.3222070191828841</v>
      </c>
      <c r="BI83">
        <v>1.3288180542787984</v>
      </c>
      <c r="BJ83">
        <v>1.3354621445501922</v>
      </c>
      <c r="BK83">
        <v>1.3421394552729429</v>
      </c>
      <c r="BL83">
        <v>1.3488501525493075</v>
      </c>
      <c r="BM83">
        <v>1.3555944033120539</v>
      </c>
      <c r="BN83">
        <v>1.3623723753286141</v>
      </c>
      <c r="BO83">
        <v>1.3691842372052569</v>
      </c>
      <c r="BP83">
        <v>1.3760301583912831</v>
      </c>
      <c r="BQ83">
        <v>1.3829103091832393</v>
      </c>
      <c r="BR83">
        <v>1.3898248607291555</v>
      </c>
      <c r="BS83">
        <v>1.3967739850328011</v>
      </c>
      <c r="BT83">
        <v>1.403757854957965</v>
      </c>
      <c r="BU83">
        <v>1.4107766442327547</v>
      </c>
      <c r="BV83">
        <v>1.4178305274539182</v>
      </c>
      <c r="BW83">
        <v>1.4249196800911876</v>
      </c>
      <c r="BX83">
        <v>1.4320442784916434</v>
      </c>
      <c r="BY83">
        <v>1.4392044998841016</v>
      </c>
      <c r="BZ83">
        <v>1.4464005223835219</v>
      </c>
      <c r="CA83">
        <v>1.4536325249954394</v>
      </c>
      <c r="CB83">
        <v>1.4609006876204165</v>
      </c>
      <c r="CC83">
        <v>1.4682051910585183</v>
      </c>
      <c r="CD83">
        <v>1.4755462170138107</v>
      </c>
      <c r="CE83">
        <v>1.4829239480988796</v>
      </c>
      <c r="CF83">
        <v>1.4903385678393739</v>
      </c>
      <c r="CG83">
        <v>1.4977902606785705</v>
      </c>
      <c r="CH83">
        <v>1.5052792119819631</v>
      </c>
      <c r="CI83">
        <v>1.5128056080418728</v>
      </c>
    </row>
    <row r="84" spans="1:87" x14ac:dyDescent="0.3">
      <c r="A84" s="4" t="s">
        <v>981</v>
      </c>
      <c r="B84" s="4" t="s">
        <v>987</v>
      </c>
      <c r="C84" s="4" t="s">
        <v>1309</v>
      </c>
      <c r="D84">
        <v>1</v>
      </c>
      <c r="E84">
        <v>1.0049999999999999</v>
      </c>
      <c r="F84">
        <v>1.0100249999999997</v>
      </c>
      <c r="G84">
        <v>1.0150751249999996</v>
      </c>
      <c r="H84">
        <v>1.0201505006249996</v>
      </c>
      <c r="I84">
        <v>1.0252512531281244</v>
      </c>
      <c r="J84">
        <v>1.030377509393765</v>
      </c>
      <c r="K84">
        <v>1.0355293969407338</v>
      </c>
      <c r="L84">
        <v>1.0407070439254373</v>
      </c>
      <c r="M84">
        <v>1.0459105791450642</v>
      </c>
      <c r="N84">
        <v>1.0511401320407896</v>
      </c>
      <c r="O84">
        <v>1.0563958327009935</v>
      </c>
      <c r="P84">
        <v>1.0616778118644983</v>
      </c>
      <c r="Q84">
        <v>1.0669862009238207</v>
      </c>
      <c r="R84">
        <v>1.0723211319284396</v>
      </c>
      <c r="S84">
        <v>1.0776827375880818</v>
      </c>
      <c r="T84">
        <v>1.083071151276022</v>
      </c>
      <c r="U84">
        <v>1.0884865070324019</v>
      </c>
      <c r="V84">
        <v>1.0939289395675638</v>
      </c>
      <c r="W84">
        <v>1.0993985842654015</v>
      </c>
      <c r="X84">
        <v>1.1048955771867284</v>
      </c>
      <c r="Y84">
        <v>1.1104200550726619</v>
      </c>
      <c r="Z84">
        <v>1.1159721553480251</v>
      </c>
      <c r="AA84">
        <v>1.1215520161247652</v>
      </c>
      <c r="AB84">
        <v>1.1271597762053889</v>
      </c>
      <c r="AC84">
        <v>1.1327955750864158</v>
      </c>
      <c r="AD84">
        <v>1.1384595529618478</v>
      </c>
      <c r="AE84">
        <v>1.1441518507266568</v>
      </c>
      <c r="AF84">
        <v>1.1498726099802901</v>
      </c>
      <c r="AG84">
        <v>1.1556219730301913</v>
      </c>
      <c r="AH84">
        <v>1.1614000828953421</v>
      </c>
      <c r="AI84">
        <v>1.1672070833098187</v>
      </c>
      <c r="AJ84">
        <v>1.1730431187263677</v>
      </c>
      <c r="AK84">
        <v>1.1789083343199993</v>
      </c>
      <c r="AL84">
        <v>1.1848028759915992</v>
      </c>
      <c r="AM84">
        <v>1.1907268903715571</v>
      </c>
      <c r="AN84">
        <v>1.1966805248234147</v>
      </c>
      <c r="AO84">
        <v>1.2026639274475317</v>
      </c>
      <c r="AP84">
        <v>1.2086772470847693</v>
      </c>
      <c r="AQ84">
        <v>1.214720633320193</v>
      </c>
      <c r="AR84">
        <v>1.2207942364867939</v>
      </c>
      <c r="AS84">
        <v>1.2268982076692276</v>
      </c>
      <c r="AT84">
        <v>1.2330326987075737</v>
      </c>
      <c r="AU84">
        <v>1.2391978622011115</v>
      </c>
      <c r="AV84">
        <v>1.2453938515121168</v>
      </c>
      <c r="AW84">
        <v>1.2516208207696773</v>
      </c>
      <c r="AX84">
        <v>1.2578789248735256</v>
      </c>
      <c r="AY84">
        <v>1.264168319497893</v>
      </c>
      <c r="AZ84">
        <v>1.2704891610953823</v>
      </c>
      <c r="BA84">
        <v>1.2768416069008592</v>
      </c>
      <c r="BB84">
        <v>1.2832258149353633</v>
      </c>
      <c r="BC84">
        <v>1.28964194401004</v>
      </c>
      <c r="BD84">
        <v>1.29609015373009</v>
      </c>
      <c r="BE84">
        <v>1.3025706044987404</v>
      </c>
      <c r="BF84">
        <v>1.309083457521234</v>
      </c>
      <c r="BG84">
        <v>1.3156288748088401</v>
      </c>
      <c r="BH84">
        <v>1.3222070191828841</v>
      </c>
      <c r="BI84">
        <v>1.3288180542787984</v>
      </c>
      <c r="BJ84">
        <v>1.3354621445501922</v>
      </c>
      <c r="BK84">
        <v>1.3421394552729429</v>
      </c>
      <c r="BL84">
        <v>1.3488501525493075</v>
      </c>
      <c r="BM84">
        <v>1.3555944033120539</v>
      </c>
      <c r="BN84">
        <v>1.3623723753286141</v>
      </c>
      <c r="BO84">
        <v>1.3691842372052569</v>
      </c>
      <c r="BP84">
        <v>1.3760301583912831</v>
      </c>
      <c r="BQ84">
        <v>1.3829103091832393</v>
      </c>
      <c r="BR84">
        <v>1.3898248607291555</v>
      </c>
      <c r="BS84">
        <v>1.3967739850328011</v>
      </c>
      <c r="BT84">
        <v>1.403757854957965</v>
      </c>
      <c r="BU84">
        <v>1.4107766442327547</v>
      </c>
      <c r="BV84">
        <v>1.4178305274539182</v>
      </c>
      <c r="BW84">
        <v>1.4249196800911876</v>
      </c>
      <c r="BX84">
        <v>1.4320442784916434</v>
      </c>
      <c r="BY84">
        <v>1.4392044998841016</v>
      </c>
      <c r="BZ84">
        <v>1.4464005223835219</v>
      </c>
      <c r="CA84">
        <v>1.4536325249954394</v>
      </c>
      <c r="CB84">
        <v>1.4609006876204165</v>
      </c>
      <c r="CC84">
        <v>1.4682051910585183</v>
      </c>
      <c r="CD84">
        <v>1.4755462170138107</v>
      </c>
      <c r="CE84">
        <v>1.4829239480988796</v>
      </c>
      <c r="CF84">
        <v>1.4903385678393739</v>
      </c>
      <c r="CG84">
        <v>1.4977902606785705</v>
      </c>
      <c r="CH84">
        <v>1.5052792119819631</v>
      </c>
      <c r="CI84">
        <v>1.5128056080418728</v>
      </c>
    </row>
    <row r="85" spans="1:87" x14ac:dyDescent="0.3">
      <c r="A85" s="4" t="s">
        <v>981</v>
      </c>
      <c r="B85" s="4" t="s">
        <v>987</v>
      </c>
      <c r="C85" s="4" t="s">
        <v>1310</v>
      </c>
      <c r="D85">
        <v>1</v>
      </c>
      <c r="E85">
        <v>1.0049999999999999</v>
      </c>
      <c r="F85">
        <v>1.0100249999999997</v>
      </c>
      <c r="G85">
        <v>1.0150751249999996</v>
      </c>
      <c r="H85">
        <v>1.0201505006249996</v>
      </c>
      <c r="I85">
        <v>1.0252512531281244</v>
      </c>
      <c r="J85">
        <v>1.030377509393765</v>
      </c>
      <c r="K85">
        <v>1.0355293969407338</v>
      </c>
      <c r="L85">
        <v>1.0407070439254373</v>
      </c>
      <c r="M85">
        <v>1.0459105791450642</v>
      </c>
      <c r="N85">
        <v>1.0511401320407896</v>
      </c>
      <c r="O85">
        <v>1.0563958327009935</v>
      </c>
      <c r="P85">
        <v>1.0616778118644983</v>
      </c>
      <c r="Q85">
        <v>1.0669862009238207</v>
      </c>
      <c r="R85">
        <v>1.0723211319284396</v>
      </c>
      <c r="S85">
        <v>1.0776827375880818</v>
      </c>
      <c r="T85">
        <v>1.083071151276022</v>
      </c>
      <c r="U85">
        <v>1.0884865070324019</v>
      </c>
      <c r="V85">
        <v>1.0939289395675638</v>
      </c>
      <c r="W85">
        <v>1.0993985842654015</v>
      </c>
      <c r="X85">
        <v>1.1048955771867284</v>
      </c>
      <c r="Y85">
        <v>1.1104200550726619</v>
      </c>
      <c r="Z85">
        <v>1.1159721553480251</v>
      </c>
      <c r="AA85">
        <v>1.1215520161247652</v>
      </c>
      <c r="AB85">
        <v>1.1271597762053889</v>
      </c>
      <c r="AC85">
        <v>1.1327955750864158</v>
      </c>
      <c r="AD85">
        <v>1.1384595529618478</v>
      </c>
      <c r="AE85">
        <v>1.1441518507266568</v>
      </c>
      <c r="AF85">
        <v>1.1498726099802901</v>
      </c>
      <c r="AG85">
        <v>1.1556219730301913</v>
      </c>
      <c r="AH85">
        <v>1.1614000828953421</v>
      </c>
      <c r="AI85">
        <v>1.1672070833098187</v>
      </c>
      <c r="AJ85">
        <v>1.1730431187263677</v>
      </c>
      <c r="AK85">
        <v>1.1789083343199993</v>
      </c>
      <c r="AL85">
        <v>1.1848028759915992</v>
      </c>
      <c r="AM85">
        <v>1.1907268903715571</v>
      </c>
      <c r="AN85">
        <v>1.1966805248234147</v>
      </c>
      <c r="AO85">
        <v>1.2026639274475317</v>
      </c>
      <c r="AP85">
        <v>1.2086772470847693</v>
      </c>
      <c r="AQ85">
        <v>1.214720633320193</v>
      </c>
      <c r="AR85">
        <v>1.2207942364867939</v>
      </c>
      <c r="AS85">
        <v>1.2268982076692276</v>
      </c>
      <c r="AT85">
        <v>1.2330326987075737</v>
      </c>
      <c r="AU85">
        <v>1.2391978622011115</v>
      </c>
      <c r="AV85">
        <v>1.2453938515121168</v>
      </c>
      <c r="AW85">
        <v>1.2516208207696773</v>
      </c>
      <c r="AX85">
        <v>1.2578789248735256</v>
      </c>
      <c r="AY85">
        <v>1.264168319497893</v>
      </c>
      <c r="AZ85">
        <v>1.2704891610953823</v>
      </c>
      <c r="BA85">
        <v>1.2768416069008592</v>
      </c>
      <c r="BB85">
        <v>1.2832258149353633</v>
      </c>
      <c r="BC85">
        <v>1.28964194401004</v>
      </c>
      <c r="BD85">
        <v>1.29609015373009</v>
      </c>
      <c r="BE85">
        <v>1.3025706044987404</v>
      </c>
      <c r="BF85">
        <v>1.309083457521234</v>
      </c>
      <c r="BG85">
        <v>1.3156288748088401</v>
      </c>
      <c r="BH85">
        <v>1.3222070191828841</v>
      </c>
      <c r="BI85">
        <v>1.3288180542787984</v>
      </c>
      <c r="BJ85">
        <v>1.3354621445501922</v>
      </c>
      <c r="BK85">
        <v>1.3421394552729429</v>
      </c>
      <c r="BL85">
        <v>1.3488501525493075</v>
      </c>
      <c r="BM85">
        <v>1.3555944033120539</v>
      </c>
      <c r="BN85">
        <v>1.3623723753286141</v>
      </c>
      <c r="BO85">
        <v>1.3691842372052569</v>
      </c>
      <c r="BP85">
        <v>1.3760301583912831</v>
      </c>
      <c r="BQ85">
        <v>1.3829103091832393</v>
      </c>
      <c r="BR85">
        <v>1.3898248607291555</v>
      </c>
      <c r="BS85">
        <v>1.3967739850328011</v>
      </c>
      <c r="BT85">
        <v>1.403757854957965</v>
      </c>
      <c r="BU85">
        <v>1.4107766442327547</v>
      </c>
      <c r="BV85">
        <v>1.4178305274539182</v>
      </c>
      <c r="BW85">
        <v>1.4249196800911876</v>
      </c>
      <c r="BX85">
        <v>1.4320442784916434</v>
      </c>
      <c r="BY85">
        <v>1.4392044998841016</v>
      </c>
      <c r="BZ85">
        <v>1.4464005223835219</v>
      </c>
      <c r="CA85">
        <v>1.4536325249954394</v>
      </c>
      <c r="CB85">
        <v>1.4609006876204165</v>
      </c>
      <c r="CC85">
        <v>1.4682051910585183</v>
      </c>
      <c r="CD85">
        <v>1.4755462170138107</v>
      </c>
      <c r="CE85">
        <v>1.4829239480988796</v>
      </c>
      <c r="CF85">
        <v>1.4903385678393739</v>
      </c>
      <c r="CG85">
        <v>1.4977902606785705</v>
      </c>
      <c r="CH85">
        <v>1.5052792119819631</v>
      </c>
      <c r="CI85">
        <v>1.5128056080418728</v>
      </c>
    </row>
    <row r="86" spans="1:87" x14ac:dyDescent="0.3">
      <c r="A86" s="4" t="s">
        <v>981</v>
      </c>
      <c r="B86" s="4" t="s">
        <v>987</v>
      </c>
      <c r="C86" s="4" t="s">
        <v>1315</v>
      </c>
      <c r="D86">
        <v>1</v>
      </c>
      <c r="E86">
        <v>1.0049999999999999</v>
      </c>
      <c r="F86">
        <v>1.0100249999999997</v>
      </c>
      <c r="G86">
        <v>1.0150751249999996</v>
      </c>
      <c r="H86">
        <v>1.0201505006249996</v>
      </c>
      <c r="I86">
        <v>1.0252512531281244</v>
      </c>
      <c r="J86">
        <v>1.030377509393765</v>
      </c>
      <c r="K86">
        <v>1.0355293969407338</v>
      </c>
      <c r="L86">
        <v>1.0407070439254373</v>
      </c>
      <c r="M86">
        <v>1.0459105791450642</v>
      </c>
      <c r="N86">
        <v>1.0511401320407896</v>
      </c>
      <c r="O86">
        <v>1.0563958327009935</v>
      </c>
      <c r="P86">
        <v>1.0616778118644983</v>
      </c>
      <c r="Q86">
        <v>1.0669862009238207</v>
      </c>
      <c r="R86">
        <v>1.0723211319284396</v>
      </c>
      <c r="S86">
        <v>1.0776827375880818</v>
      </c>
      <c r="T86">
        <v>1.083071151276022</v>
      </c>
      <c r="U86">
        <v>1.0884865070324019</v>
      </c>
      <c r="V86">
        <v>1.0939289395675638</v>
      </c>
      <c r="W86">
        <v>1.0993985842654015</v>
      </c>
      <c r="X86">
        <v>1.1048955771867284</v>
      </c>
      <c r="Y86">
        <v>1.1104200550726619</v>
      </c>
      <c r="Z86">
        <v>1.1159721553480251</v>
      </c>
      <c r="AA86">
        <v>1.1215520161247652</v>
      </c>
      <c r="AB86">
        <v>1.1271597762053889</v>
      </c>
      <c r="AC86">
        <v>1.1327955750864158</v>
      </c>
      <c r="AD86">
        <v>1.1384595529618478</v>
      </c>
      <c r="AE86">
        <v>1.1441518507266568</v>
      </c>
      <c r="AF86">
        <v>1.1498726099802901</v>
      </c>
      <c r="AG86">
        <v>1.1556219730301913</v>
      </c>
      <c r="AH86">
        <v>1.1614000828953421</v>
      </c>
      <c r="AI86">
        <v>1.1672070833098187</v>
      </c>
      <c r="AJ86">
        <v>1.1730431187263677</v>
      </c>
      <c r="AK86">
        <v>1.1789083343199993</v>
      </c>
      <c r="AL86">
        <v>1.1848028759915992</v>
      </c>
      <c r="AM86">
        <v>1.1907268903715571</v>
      </c>
      <c r="AN86">
        <v>1.1966805248234147</v>
      </c>
      <c r="AO86">
        <v>1.2026639274475317</v>
      </c>
      <c r="AP86">
        <v>1.2086772470847693</v>
      </c>
      <c r="AQ86">
        <v>1.214720633320193</v>
      </c>
      <c r="AR86">
        <v>1.2207942364867939</v>
      </c>
      <c r="AS86">
        <v>1.2268982076692276</v>
      </c>
      <c r="AT86">
        <v>1.2330326987075737</v>
      </c>
      <c r="AU86">
        <v>1.2391978622011115</v>
      </c>
      <c r="AV86">
        <v>1.2453938515121168</v>
      </c>
      <c r="AW86">
        <v>1.2516208207696773</v>
      </c>
      <c r="AX86">
        <v>1.2578789248735256</v>
      </c>
      <c r="AY86">
        <v>1.264168319497893</v>
      </c>
      <c r="AZ86">
        <v>1.2704891610953823</v>
      </c>
      <c r="BA86">
        <v>1.2768416069008592</v>
      </c>
      <c r="BB86">
        <v>1.2832258149353633</v>
      </c>
      <c r="BC86">
        <v>1.28964194401004</v>
      </c>
      <c r="BD86">
        <v>1.29609015373009</v>
      </c>
      <c r="BE86">
        <v>1.3025706044987404</v>
      </c>
      <c r="BF86">
        <v>1.309083457521234</v>
      </c>
      <c r="BG86">
        <v>1.3156288748088401</v>
      </c>
      <c r="BH86">
        <v>1.3222070191828841</v>
      </c>
      <c r="BI86">
        <v>1.3288180542787984</v>
      </c>
      <c r="BJ86">
        <v>1.3354621445501922</v>
      </c>
      <c r="BK86">
        <v>1.3421394552729429</v>
      </c>
      <c r="BL86">
        <v>1.3488501525493075</v>
      </c>
      <c r="BM86">
        <v>1.3555944033120539</v>
      </c>
      <c r="BN86">
        <v>1.3623723753286141</v>
      </c>
      <c r="BO86">
        <v>1.3691842372052569</v>
      </c>
      <c r="BP86">
        <v>1.3760301583912831</v>
      </c>
      <c r="BQ86">
        <v>1.3829103091832393</v>
      </c>
      <c r="BR86">
        <v>1.3898248607291555</v>
      </c>
      <c r="BS86">
        <v>1.3967739850328011</v>
      </c>
      <c r="BT86">
        <v>1.403757854957965</v>
      </c>
      <c r="BU86">
        <v>1.4107766442327547</v>
      </c>
      <c r="BV86">
        <v>1.4178305274539182</v>
      </c>
      <c r="BW86">
        <v>1.4249196800911876</v>
      </c>
      <c r="BX86">
        <v>1.4320442784916434</v>
      </c>
      <c r="BY86">
        <v>1.4392044998841016</v>
      </c>
      <c r="BZ86">
        <v>1.4464005223835219</v>
      </c>
      <c r="CA86">
        <v>1.4536325249954394</v>
      </c>
      <c r="CB86">
        <v>1.4609006876204165</v>
      </c>
      <c r="CC86">
        <v>1.4682051910585183</v>
      </c>
      <c r="CD86">
        <v>1.4755462170138107</v>
      </c>
      <c r="CE86">
        <v>1.4829239480988796</v>
      </c>
      <c r="CF86">
        <v>1.4903385678393739</v>
      </c>
      <c r="CG86">
        <v>1.4977902606785705</v>
      </c>
      <c r="CH86">
        <v>1.5052792119819631</v>
      </c>
      <c r="CI86">
        <v>1.5128056080418728</v>
      </c>
    </row>
    <row r="87" spans="1:87" x14ac:dyDescent="0.3">
      <c r="A87" s="4" t="s">
        <v>981</v>
      </c>
      <c r="B87" s="4" t="s">
        <v>987</v>
      </c>
      <c r="C87" s="4" t="s">
        <v>1316</v>
      </c>
      <c r="D87">
        <v>1</v>
      </c>
      <c r="E87">
        <v>1.0049999999999999</v>
      </c>
      <c r="F87">
        <v>1.0100249999999997</v>
      </c>
      <c r="G87">
        <v>1.0150751249999996</v>
      </c>
      <c r="H87">
        <v>1.0201505006249996</v>
      </c>
      <c r="I87">
        <v>1.0252512531281244</v>
      </c>
      <c r="J87">
        <v>1.030377509393765</v>
      </c>
      <c r="K87">
        <v>1.0355293969407338</v>
      </c>
      <c r="L87">
        <v>1.0407070439254373</v>
      </c>
      <c r="M87">
        <v>1.0459105791450642</v>
      </c>
      <c r="N87">
        <v>1.0511401320407896</v>
      </c>
      <c r="O87">
        <v>1.0563958327009935</v>
      </c>
      <c r="P87">
        <v>1.0616778118644983</v>
      </c>
      <c r="Q87">
        <v>1.0669862009238207</v>
      </c>
      <c r="R87">
        <v>1.0723211319284396</v>
      </c>
      <c r="S87">
        <v>1.0776827375880818</v>
      </c>
      <c r="T87">
        <v>1.083071151276022</v>
      </c>
      <c r="U87">
        <v>1.0884865070324019</v>
      </c>
      <c r="V87">
        <v>1.0939289395675638</v>
      </c>
      <c r="W87">
        <v>1.0993985842654015</v>
      </c>
      <c r="X87">
        <v>1.1048955771867284</v>
      </c>
      <c r="Y87">
        <v>1.1104200550726619</v>
      </c>
      <c r="Z87">
        <v>1.1159721553480251</v>
      </c>
      <c r="AA87">
        <v>1.1215520161247652</v>
      </c>
      <c r="AB87">
        <v>1.1271597762053889</v>
      </c>
      <c r="AC87">
        <v>1.1327955750864158</v>
      </c>
      <c r="AD87">
        <v>1.1384595529618478</v>
      </c>
      <c r="AE87">
        <v>1.1441518507266568</v>
      </c>
      <c r="AF87">
        <v>1.1498726099802901</v>
      </c>
      <c r="AG87">
        <v>1.1556219730301913</v>
      </c>
      <c r="AH87">
        <v>1.1614000828953421</v>
      </c>
      <c r="AI87">
        <v>1.1672070833098187</v>
      </c>
      <c r="AJ87">
        <v>1.1730431187263677</v>
      </c>
      <c r="AK87">
        <v>1.1789083343199993</v>
      </c>
      <c r="AL87">
        <v>1.1848028759915992</v>
      </c>
      <c r="AM87">
        <v>1.1907268903715571</v>
      </c>
      <c r="AN87">
        <v>1.1966805248234147</v>
      </c>
      <c r="AO87">
        <v>1.2026639274475317</v>
      </c>
      <c r="AP87">
        <v>1.2086772470847693</v>
      </c>
      <c r="AQ87">
        <v>1.214720633320193</v>
      </c>
      <c r="AR87">
        <v>1.2207942364867939</v>
      </c>
      <c r="AS87">
        <v>1.2268982076692276</v>
      </c>
      <c r="AT87">
        <v>1.2330326987075737</v>
      </c>
      <c r="AU87">
        <v>1.2391978622011115</v>
      </c>
      <c r="AV87">
        <v>1.2453938515121168</v>
      </c>
      <c r="AW87">
        <v>1.2516208207696773</v>
      </c>
      <c r="AX87">
        <v>1.2578789248735256</v>
      </c>
      <c r="AY87">
        <v>1.264168319497893</v>
      </c>
      <c r="AZ87">
        <v>1.2704891610953823</v>
      </c>
      <c r="BA87">
        <v>1.2768416069008592</v>
      </c>
      <c r="BB87">
        <v>1.2832258149353633</v>
      </c>
      <c r="BC87">
        <v>1.28964194401004</v>
      </c>
      <c r="BD87">
        <v>1.29609015373009</v>
      </c>
      <c r="BE87">
        <v>1.3025706044987404</v>
      </c>
      <c r="BF87">
        <v>1.309083457521234</v>
      </c>
      <c r="BG87">
        <v>1.3156288748088401</v>
      </c>
      <c r="BH87">
        <v>1.3222070191828841</v>
      </c>
      <c r="BI87">
        <v>1.3288180542787984</v>
      </c>
      <c r="BJ87">
        <v>1.3354621445501922</v>
      </c>
      <c r="BK87">
        <v>1.3421394552729429</v>
      </c>
      <c r="BL87">
        <v>1.3488501525493075</v>
      </c>
      <c r="BM87">
        <v>1.3555944033120539</v>
      </c>
      <c r="BN87">
        <v>1.3623723753286141</v>
      </c>
      <c r="BO87">
        <v>1.3691842372052569</v>
      </c>
      <c r="BP87">
        <v>1.3760301583912831</v>
      </c>
      <c r="BQ87">
        <v>1.3829103091832393</v>
      </c>
      <c r="BR87">
        <v>1.3898248607291555</v>
      </c>
      <c r="BS87">
        <v>1.3967739850328011</v>
      </c>
      <c r="BT87">
        <v>1.403757854957965</v>
      </c>
      <c r="BU87">
        <v>1.4107766442327547</v>
      </c>
      <c r="BV87">
        <v>1.4178305274539182</v>
      </c>
      <c r="BW87">
        <v>1.4249196800911876</v>
      </c>
      <c r="BX87">
        <v>1.4320442784916434</v>
      </c>
      <c r="BY87">
        <v>1.4392044998841016</v>
      </c>
      <c r="BZ87">
        <v>1.4464005223835219</v>
      </c>
      <c r="CA87">
        <v>1.4536325249954394</v>
      </c>
      <c r="CB87">
        <v>1.4609006876204165</v>
      </c>
      <c r="CC87">
        <v>1.4682051910585183</v>
      </c>
      <c r="CD87">
        <v>1.4755462170138107</v>
      </c>
      <c r="CE87">
        <v>1.4829239480988796</v>
      </c>
      <c r="CF87">
        <v>1.4903385678393739</v>
      </c>
      <c r="CG87">
        <v>1.4977902606785705</v>
      </c>
      <c r="CH87">
        <v>1.5052792119819631</v>
      </c>
      <c r="CI87">
        <v>1.5128056080418728</v>
      </c>
    </row>
    <row r="88" spans="1:87" x14ac:dyDescent="0.3">
      <c r="A88" s="4" t="s">
        <v>981</v>
      </c>
      <c r="B88" s="4" t="s">
        <v>987</v>
      </c>
      <c r="C88" s="4" t="s">
        <v>1317</v>
      </c>
      <c r="D88">
        <v>1</v>
      </c>
      <c r="E88">
        <v>1.0049999999999999</v>
      </c>
      <c r="F88">
        <v>1.0100249999999997</v>
      </c>
      <c r="G88">
        <v>1.0150751249999996</v>
      </c>
      <c r="H88">
        <v>1.0201505006249996</v>
      </c>
      <c r="I88">
        <v>1.0252512531281244</v>
      </c>
      <c r="J88">
        <v>1.030377509393765</v>
      </c>
      <c r="K88">
        <v>1.0355293969407338</v>
      </c>
      <c r="L88">
        <v>1.0407070439254373</v>
      </c>
      <c r="M88">
        <v>1.0459105791450642</v>
      </c>
      <c r="N88">
        <v>1.0511401320407896</v>
      </c>
      <c r="O88">
        <v>1.0563958327009935</v>
      </c>
      <c r="P88">
        <v>1.0616778118644983</v>
      </c>
      <c r="Q88">
        <v>1.0669862009238207</v>
      </c>
      <c r="R88">
        <v>1.0723211319284396</v>
      </c>
      <c r="S88">
        <v>1.0776827375880818</v>
      </c>
      <c r="T88">
        <v>1.083071151276022</v>
      </c>
      <c r="U88">
        <v>1.0884865070324019</v>
      </c>
      <c r="V88">
        <v>1.0939289395675638</v>
      </c>
      <c r="W88">
        <v>1.0993985842654015</v>
      </c>
      <c r="X88">
        <v>1.1048955771867284</v>
      </c>
      <c r="Y88">
        <v>1.1104200550726619</v>
      </c>
      <c r="Z88">
        <v>1.1159721553480251</v>
      </c>
      <c r="AA88">
        <v>1.1215520161247652</v>
      </c>
      <c r="AB88">
        <v>1.1271597762053889</v>
      </c>
      <c r="AC88">
        <v>1.1327955750864158</v>
      </c>
      <c r="AD88">
        <v>1.1384595529618478</v>
      </c>
      <c r="AE88">
        <v>1.1441518507266568</v>
      </c>
      <c r="AF88">
        <v>1.1498726099802901</v>
      </c>
      <c r="AG88">
        <v>1.1556219730301913</v>
      </c>
      <c r="AH88">
        <v>1.1614000828953421</v>
      </c>
      <c r="AI88">
        <v>1.1672070833098187</v>
      </c>
      <c r="AJ88">
        <v>1.1730431187263677</v>
      </c>
      <c r="AK88">
        <v>1.1789083343199993</v>
      </c>
      <c r="AL88">
        <v>1.1848028759915992</v>
      </c>
      <c r="AM88">
        <v>1.1907268903715571</v>
      </c>
      <c r="AN88">
        <v>1.1966805248234147</v>
      </c>
      <c r="AO88">
        <v>1.2026639274475317</v>
      </c>
      <c r="AP88">
        <v>1.2086772470847693</v>
      </c>
      <c r="AQ88">
        <v>1.214720633320193</v>
      </c>
      <c r="AR88">
        <v>1.2207942364867939</v>
      </c>
      <c r="AS88">
        <v>1.2268982076692276</v>
      </c>
      <c r="AT88">
        <v>1.2330326987075737</v>
      </c>
      <c r="AU88">
        <v>1.2391978622011115</v>
      </c>
      <c r="AV88">
        <v>1.2453938515121168</v>
      </c>
      <c r="AW88">
        <v>1.2516208207696773</v>
      </c>
      <c r="AX88">
        <v>1.2578789248735256</v>
      </c>
      <c r="AY88">
        <v>1.264168319497893</v>
      </c>
      <c r="AZ88">
        <v>1.2704891610953823</v>
      </c>
      <c r="BA88">
        <v>1.2768416069008592</v>
      </c>
      <c r="BB88">
        <v>1.2832258149353633</v>
      </c>
      <c r="BC88">
        <v>1.28964194401004</v>
      </c>
      <c r="BD88">
        <v>1.29609015373009</v>
      </c>
      <c r="BE88">
        <v>1.3025706044987404</v>
      </c>
      <c r="BF88">
        <v>1.309083457521234</v>
      </c>
      <c r="BG88">
        <v>1.3156288748088401</v>
      </c>
      <c r="BH88">
        <v>1.3222070191828841</v>
      </c>
      <c r="BI88">
        <v>1.3288180542787984</v>
      </c>
      <c r="BJ88">
        <v>1.3354621445501922</v>
      </c>
      <c r="BK88">
        <v>1.3421394552729429</v>
      </c>
      <c r="BL88">
        <v>1.3488501525493075</v>
      </c>
      <c r="BM88">
        <v>1.3555944033120539</v>
      </c>
      <c r="BN88">
        <v>1.3623723753286141</v>
      </c>
      <c r="BO88">
        <v>1.3691842372052569</v>
      </c>
      <c r="BP88">
        <v>1.3760301583912831</v>
      </c>
      <c r="BQ88">
        <v>1.3829103091832393</v>
      </c>
      <c r="BR88">
        <v>1.3898248607291555</v>
      </c>
      <c r="BS88">
        <v>1.3967739850328011</v>
      </c>
      <c r="BT88">
        <v>1.403757854957965</v>
      </c>
      <c r="BU88">
        <v>1.4107766442327547</v>
      </c>
      <c r="BV88">
        <v>1.4178305274539182</v>
      </c>
      <c r="BW88">
        <v>1.4249196800911876</v>
      </c>
      <c r="BX88">
        <v>1.4320442784916434</v>
      </c>
      <c r="BY88">
        <v>1.4392044998841016</v>
      </c>
      <c r="BZ88">
        <v>1.4464005223835219</v>
      </c>
      <c r="CA88">
        <v>1.4536325249954394</v>
      </c>
      <c r="CB88">
        <v>1.4609006876204165</v>
      </c>
      <c r="CC88">
        <v>1.4682051910585183</v>
      </c>
      <c r="CD88">
        <v>1.4755462170138107</v>
      </c>
      <c r="CE88">
        <v>1.4829239480988796</v>
      </c>
      <c r="CF88">
        <v>1.4903385678393739</v>
      </c>
      <c r="CG88">
        <v>1.4977902606785705</v>
      </c>
      <c r="CH88">
        <v>1.5052792119819631</v>
      </c>
      <c r="CI88">
        <v>1.5128056080418728</v>
      </c>
    </row>
    <row r="89" spans="1:87" x14ac:dyDescent="0.3">
      <c r="A89" s="4" t="s">
        <v>981</v>
      </c>
      <c r="B89" s="4" t="s">
        <v>987</v>
      </c>
      <c r="C89" s="4" t="s">
        <v>1318</v>
      </c>
      <c r="D89">
        <v>1</v>
      </c>
      <c r="E89">
        <v>1.0049999999999999</v>
      </c>
      <c r="F89">
        <v>1.0100249999999997</v>
      </c>
      <c r="G89">
        <v>1.0150751249999996</v>
      </c>
      <c r="H89">
        <v>1.0201505006249996</v>
      </c>
      <c r="I89">
        <v>1.0252512531281244</v>
      </c>
      <c r="J89">
        <v>1.030377509393765</v>
      </c>
      <c r="K89">
        <v>1.0355293969407338</v>
      </c>
      <c r="L89">
        <v>1.0407070439254373</v>
      </c>
      <c r="M89">
        <v>1.0459105791450642</v>
      </c>
      <c r="N89">
        <v>1.0511401320407896</v>
      </c>
      <c r="O89">
        <v>1.0563958327009935</v>
      </c>
      <c r="P89">
        <v>1.0616778118644983</v>
      </c>
      <c r="Q89">
        <v>1.0669862009238207</v>
      </c>
      <c r="R89">
        <v>1.0723211319284396</v>
      </c>
      <c r="S89">
        <v>1.0776827375880818</v>
      </c>
      <c r="T89">
        <v>1.083071151276022</v>
      </c>
      <c r="U89">
        <v>1.0884865070324019</v>
      </c>
      <c r="V89">
        <v>1.0939289395675638</v>
      </c>
      <c r="W89">
        <v>1.0993985842654015</v>
      </c>
      <c r="X89">
        <v>1.1048955771867284</v>
      </c>
      <c r="Y89">
        <v>1.1104200550726619</v>
      </c>
      <c r="Z89">
        <v>1.1159721553480251</v>
      </c>
      <c r="AA89">
        <v>1.1215520161247652</v>
      </c>
      <c r="AB89">
        <v>1.1271597762053889</v>
      </c>
      <c r="AC89">
        <v>1.1327955750864158</v>
      </c>
      <c r="AD89">
        <v>1.1384595529618478</v>
      </c>
      <c r="AE89">
        <v>1.1441518507266568</v>
      </c>
      <c r="AF89">
        <v>1.1498726099802901</v>
      </c>
      <c r="AG89">
        <v>1.1556219730301913</v>
      </c>
      <c r="AH89">
        <v>1.1614000828953421</v>
      </c>
      <c r="AI89">
        <v>1.1672070833098187</v>
      </c>
      <c r="AJ89">
        <v>1.1730431187263677</v>
      </c>
      <c r="AK89">
        <v>1.1789083343199993</v>
      </c>
      <c r="AL89">
        <v>1.1848028759915992</v>
      </c>
      <c r="AM89">
        <v>1.1907268903715571</v>
      </c>
      <c r="AN89">
        <v>1.1966805248234147</v>
      </c>
      <c r="AO89">
        <v>1.2026639274475317</v>
      </c>
      <c r="AP89">
        <v>1.2086772470847693</v>
      </c>
      <c r="AQ89">
        <v>1.214720633320193</v>
      </c>
      <c r="AR89">
        <v>1.2207942364867939</v>
      </c>
      <c r="AS89">
        <v>1.2268982076692276</v>
      </c>
      <c r="AT89">
        <v>1.2330326987075737</v>
      </c>
      <c r="AU89">
        <v>1.2391978622011115</v>
      </c>
      <c r="AV89">
        <v>1.2453938515121168</v>
      </c>
      <c r="AW89">
        <v>1.2516208207696773</v>
      </c>
      <c r="AX89">
        <v>1.2578789248735256</v>
      </c>
      <c r="AY89">
        <v>1.264168319497893</v>
      </c>
      <c r="AZ89">
        <v>1.2704891610953823</v>
      </c>
      <c r="BA89">
        <v>1.2768416069008592</v>
      </c>
      <c r="BB89">
        <v>1.2832258149353633</v>
      </c>
      <c r="BC89">
        <v>1.28964194401004</v>
      </c>
      <c r="BD89">
        <v>1.29609015373009</v>
      </c>
      <c r="BE89">
        <v>1.3025706044987404</v>
      </c>
      <c r="BF89">
        <v>1.309083457521234</v>
      </c>
      <c r="BG89">
        <v>1.3156288748088401</v>
      </c>
      <c r="BH89">
        <v>1.3222070191828841</v>
      </c>
      <c r="BI89">
        <v>1.3288180542787984</v>
      </c>
      <c r="BJ89">
        <v>1.3354621445501922</v>
      </c>
      <c r="BK89">
        <v>1.3421394552729429</v>
      </c>
      <c r="BL89">
        <v>1.3488501525493075</v>
      </c>
      <c r="BM89">
        <v>1.3555944033120539</v>
      </c>
      <c r="BN89">
        <v>1.3623723753286141</v>
      </c>
      <c r="BO89">
        <v>1.3691842372052569</v>
      </c>
      <c r="BP89">
        <v>1.3760301583912831</v>
      </c>
      <c r="BQ89">
        <v>1.3829103091832393</v>
      </c>
      <c r="BR89">
        <v>1.3898248607291555</v>
      </c>
      <c r="BS89">
        <v>1.3967739850328011</v>
      </c>
      <c r="BT89">
        <v>1.403757854957965</v>
      </c>
      <c r="BU89">
        <v>1.4107766442327547</v>
      </c>
      <c r="BV89">
        <v>1.4178305274539182</v>
      </c>
      <c r="BW89">
        <v>1.4249196800911876</v>
      </c>
      <c r="BX89">
        <v>1.4320442784916434</v>
      </c>
      <c r="BY89">
        <v>1.4392044998841016</v>
      </c>
      <c r="BZ89">
        <v>1.4464005223835219</v>
      </c>
      <c r="CA89">
        <v>1.4536325249954394</v>
      </c>
      <c r="CB89">
        <v>1.4609006876204165</v>
      </c>
      <c r="CC89">
        <v>1.4682051910585183</v>
      </c>
      <c r="CD89">
        <v>1.4755462170138107</v>
      </c>
      <c r="CE89">
        <v>1.4829239480988796</v>
      </c>
      <c r="CF89">
        <v>1.4903385678393739</v>
      </c>
      <c r="CG89">
        <v>1.4977902606785705</v>
      </c>
      <c r="CH89">
        <v>1.5052792119819631</v>
      </c>
      <c r="CI89">
        <v>1.5128056080418728</v>
      </c>
    </row>
    <row r="90" spans="1:87" x14ac:dyDescent="0.3">
      <c r="A90" s="4" t="s">
        <v>981</v>
      </c>
      <c r="B90" s="4" t="s">
        <v>987</v>
      </c>
      <c r="C90" s="4" t="s">
        <v>1319</v>
      </c>
      <c r="D90">
        <v>1</v>
      </c>
      <c r="E90">
        <v>1.0049999999999999</v>
      </c>
      <c r="F90">
        <v>1.0100249999999997</v>
      </c>
      <c r="G90">
        <v>1.0150751249999996</v>
      </c>
      <c r="H90">
        <v>1.0201505006249996</v>
      </c>
      <c r="I90">
        <v>1.0252512531281244</v>
      </c>
      <c r="J90">
        <v>1.030377509393765</v>
      </c>
      <c r="K90">
        <v>1.0355293969407338</v>
      </c>
      <c r="L90">
        <v>1.0407070439254373</v>
      </c>
      <c r="M90">
        <v>1.0459105791450642</v>
      </c>
      <c r="N90">
        <v>1.0511401320407896</v>
      </c>
      <c r="O90">
        <v>1.0563958327009935</v>
      </c>
      <c r="P90">
        <v>1.0616778118644983</v>
      </c>
      <c r="Q90">
        <v>1.0669862009238207</v>
      </c>
      <c r="R90">
        <v>1.0723211319284396</v>
      </c>
      <c r="S90">
        <v>1.0776827375880818</v>
      </c>
      <c r="T90">
        <v>1.083071151276022</v>
      </c>
      <c r="U90">
        <v>1.0884865070324019</v>
      </c>
      <c r="V90">
        <v>1.0939289395675638</v>
      </c>
      <c r="W90">
        <v>1.0993985842654015</v>
      </c>
      <c r="X90">
        <v>1.1048955771867284</v>
      </c>
      <c r="Y90">
        <v>1.1104200550726619</v>
      </c>
      <c r="Z90">
        <v>1.1159721553480251</v>
      </c>
      <c r="AA90">
        <v>1.1215520161247652</v>
      </c>
      <c r="AB90">
        <v>1.1271597762053889</v>
      </c>
      <c r="AC90">
        <v>1.1327955750864158</v>
      </c>
      <c r="AD90">
        <v>1.1384595529618478</v>
      </c>
      <c r="AE90">
        <v>1.1441518507266568</v>
      </c>
      <c r="AF90">
        <v>1.1498726099802901</v>
      </c>
      <c r="AG90">
        <v>1.1556219730301913</v>
      </c>
      <c r="AH90">
        <v>1.1614000828953421</v>
      </c>
      <c r="AI90">
        <v>1.1672070833098187</v>
      </c>
      <c r="AJ90">
        <v>1.1730431187263677</v>
      </c>
      <c r="AK90">
        <v>1.1789083343199993</v>
      </c>
      <c r="AL90">
        <v>1.1848028759915992</v>
      </c>
      <c r="AM90">
        <v>1.1907268903715571</v>
      </c>
      <c r="AN90">
        <v>1.1966805248234147</v>
      </c>
      <c r="AO90">
        <v>1.2026639274475317</v>
      </c>
      <c r="AP90">
        <v>1.2086772470847693</v>
      </c>
      <c r="AQ90">
        <v>1.214720633320193</v>
      </c>
      <c r="AR90">
        <v>1.2207942364867939</v>
      </c>
      <c r="AS90">
        <v>1.2268982076692276</v>
      </c>
      <c r="AT90">
        <v>1.2330326987075737</v>
      </c>
      <c r="AU90">
        <v>1.2391978622011115</v>
      </c>
      <c r="AV90">
        <v>1.2453938515121168</v>
      </c>
      <c r="AW90">
        <v>1.2516208207696773</v>
      </c>
      <c r="AX90">
        <v>1.2578789248735256</v>
      </c>
      <c r="AY90">
        <v>1.264168319497893</v>
      </c>
      <c r="AZ90">
        <v>1.2704891610953823</v>
      </c>
      <c r="BA90">
        <v>1.2768416069008592</v>
      </c>
      <c r="BB90">
        <v>1.2832258149353633</v>
      </c>
      <c r="BC90">
        <v>1.28964194401004</v>
      </c>
      <c r="BD90">
        <v>1.29609015373009</v>
      </c>
      <c r="BE90">
        <v>1.3025706044987404</v>
      </c>
      <c r="BF90">
        <v>1.309083457521234</v>
      </c>
      <c r="BG90">
        <v>1.3156288748088401</v>
      </c>
      <c r="BH90">
        <v>1.3222070191828841</v>
      </c>
      <c r="BI90">
        <v>1.3288180542787984</v>
      </c>
      <c r="BJ90">
        <v>1.3354621445501922</v>
      </c>
      <c r="BK90">
        <v>1.3421394552729429</v>
      </c>
      <c r="BL90">
        <v>1.3488501525493075</v>
      </c>
      <c r="BM90">
        <v>1.3555944033120539</v>
      </c>
      <c r="BN90">
        <v>1.3623723753286141</v>
      </c>
      <c r="BO90">
        <v>1.3691842372052569</v>
      </c>
      <c r="BP90">
        <v>1.3760301583912831</v>
      </c>
      <c r="BQ90">
        <v>1.3829103091832393</v>
      </c>
      <c r="BR90">
        <v>1.3898248607291555</v>
      </c>
      <c r="BS90">
        <v>1.3967739850328011</v>
      </c>
      <c r="BT90">
        <v>1.403757854957965</v>
      </c>
      <c r="BU90">
        <v>1.4107766442327547</v>
      </c>
      <c r="BV90">
        <v>1.4178305274539182</v>
      </c>
      <c r="BW90">
        <v>1.4249196800911876</v>
      </c>
      <c r="BX90">
        <v>1.4320442784916434</v>
      </c>
      <c r="BY90">
        <v>1.4392044998841016</v>
      </c>
      <c r="BZ90">
        <v>1.4464005223835219</v>
      </c>
      <c r="CA90">
        <v>1.4536325249954394</v>
      </c>
      <c r="CB90">
        <v>1.4609006876204165</v>
      </c>
      <c r="CC90">
        <v>1.4682051910585183</v>
      </c>
      <c r="CD90">
        <v>1.4755462170138107</v>
      </c>
      <c r="CE90">
        <v>1.4829239480988796</v>
      </c>
      <c r="CF90">
        <v>1.4903385678393739</v>
      </c>
      <c r="CG90">
        <v>1.4977902606785705</v>
      </c>
      <c r="CH90">
        <v>1.5052792119819631</v>
      </c>
      <c r="CI90">
        <v>1.5128056080418728</v>
      </c>
    </row>
    <row r="91" spans="1:87" x14ac:dyDescent="0.3">
      <c r="A91" s="4" t="s">
        <v>981</v>
      </c>
      <c r="B91" s="4" t="s">
        <v>987</v>
      </c>
      <c r="C91" s="4" t="s">
        <v>1320</v>
      </c>
      <c r="D91">
        <v>1</v>
      </c>
      <c r="E91">
        <v>1.0049999999999999</v>
      </c>
      <c r="F91">
        <v>1.0100249999999997</v>
      </c>
      <c r="G91">
        <v>1.0150751249999996</v>
      </c>
      <c r="H91">
        <v>1.0201505006249996</v>
      </c>
      <c r="I91">
        <v>1.0252512531281244</v>
      </c>
      <c r="J91">
        <v>1.030377509393765</v>
      </c>
      <c r="K91">
        <v>1.0355293969407338</v>
      </c>
      <c r="L91">
        <v>1.0407070439254373</v>
      </c>
      <c r="M91">
        <v>1.0459105791450642</v>
      </c>
      <c r="N91">
        <v>1.0511401320407896</v>
      </c>
      <c r="O91">
        <v>1.0563958327009935</v>
      </c>
      <c r="P91">
        <v>1.0616778118644983</v>
      </c>
      <c r="Q91">
        <v>1.0669862009238207</v>
      </c>
      <c r="R91">
        <v>1.0723211319284396</v>
      </c>
      <c r="S91">
        <v>1.0776827375880818</v>
      </c>
      <c r="T91">
        <v>1.083071151276022</v>
      </c>
      <c r="U91">
        <v>1.0884865070324019</v>
      </c>
      <c r="V91">
        <v>1.0939289395675638</v>
      </c>
      <c r="W91">
        <v>1.0993985842654015</v>
      </c>
      <c r="X91">
        <v>1.1048955771867284</v>
      </c>
      <c r="Y91">
        <v>1.1104200550726619</v>
      </c>
      <c r="Z91">
        <v>1.1159721553480251</v>
      </c>
      <c r="AA91">
        <v>1.1215520161247652</v>
      </c>
      <c r="AB91">
        <v>1.1271597762053889</v>
      </c>
      <c r="AC91">
        <v>1.1327955750864158</v>
      </c>
      <c r="AD91">
        <v>1.1384595529618478</v>
      </c>
      <c r="AE91">
        <v>1.1441518507266568</v>
      </c>
      <c r="AF91">
        <v>1.1498726099802901</v>
      </c>
      <c r="AG91">
        <v>1.1556219730301913</v>
      </c>
      <c r="AH91">
        <v>1.1614000828953421</v>
      </c>
      <c r="AI91">
        <v>1.1672070833098187</v>
      </c>
      <c r="AJ91">
        <v>1.1730431187263677</v>
      </c>
      <c r="AK91">
        <v>1.1789083343199993</v>
      </c>
      <c r="AL91">
        <v>1.1848028759915992</v>
      </c>
      <c r="AM91">
        <v>1.1907268903715571</v>
      </c>
      <c r="AN91">
        <v>1.1966805248234147</v>
      </c>
      <c r="AO91">
        <v>1.2026639274475317</v>
      </c>
      <c r="AP91">
        <v>1.2086772470847693</v>
      </c>
      <c r="AQ91">
        <v>1.214720633320193</v>
      </c>
      <c r="AR91">
        <v>1.2207942364867939</v>
      </c>
      <c r="AS91">
        <v>1.2268982076692276</v>
      </c>
      <c r="AT91">
        <v>1.2330326987075737</v>
      </c>
      <c r="AU91">
        <v>1.2391978622011115</v>
      </c>
      <c r="AV91">
        <v>1.2453938515121168</v>
      </c>
      <c r="AW91">
        <v>1.2516208207696773</v>
      </c>
      <c r="AX91">
        <v>1.2578789248735256</v>
      </c>
      <c r="AY91">
        <v>1.264168319497893</v>
      </c>
      <c r="AZ91">
        <v>1.2704891610953823</v>
      </c>
      <c r="BA91">
        <v>1.2768416069008592</v>
      </c>
      <c r="BB91">
        <v>1.2832258149353633</v>
      </c>
      <c r="BC91">
        <v>1.28964194401004</v>
      </c>
      <c r="BD91">
        <v>1.29609015373009</v>
      </c>
      <c r="BE91">
        <v>1.3025706044987404</v>
      </c>
      <c r="BF91">
        <v>1.309083457521234</v>
      </c>
      <c r="BG91">
        <v>1.3156288748088401</v>
      </c>
      <c r="BH91">
        <v>1.3222070191828841</v>
      </c>
      <c r="BI91">
        <v>1.3288180542787984</v>
      </c>
      <c r="BJ91">
        <v>1.3354621445501922</v>
      </c>
      <c r="BK91">
        <v>1.3421394552729429</v>
      </c>
      <c r="BL91">
        <v>1.3488501525493075</v>
      </c>
      <c r="BM91">
        <v>1.3555944033120539</v>
      </c>
      <c r="BN91">
        <v>1.3623723753286141</v>
      </c>
      <c r="BO91">
        <v>1.3691842372052569</v>
      </c>
      <c r="BP91">
        <v>1.3760301583912831</v>
      </c>
      <c r="BQ91">
        <v>1.3829103091832393</v>
      </c>
      <c r="BR91">
        <v>1.3898248607291555</v>
      </c>
      <c r="BS91">
        <v>1.3967739850328011</v>
      </c>
      <c r="BT91">
        <v>1.403757854957965</v>
      </c>
      <c r="BU91">
        <v>1.4107766442327547</v>
      </c>
      <c r="BV91">
        <v>1.4178305274539182</v>
      </c>
      <c r="BW91">
        <v>1.4249196800911876</v>
      </c>
      <c r="BX91">
        <v>1.4320442784916434</v>
      </c>
      <c r="BY91">
        <v>1.4392044998841016</v>
      </c>
      <c r="BZ91">
        <v>1.4464005223835219</v>
      </c>
      <c r="CA91">
        <v>1.4536325249954394</v>
      </c>
      <c r="CB91">
        <v>1.4609006876204165</v>
      </c>
      <c r="CC91">
        <v>1.4682051910585183</v>
      </c>
      <c r="CD91">
        <v>1.4755462170138107</v>
      </c>
      <c r="CE91">
        <v>1.4829239480988796</v>
      </c>
      <c r="CF91">
        <v>1.4903385678393739</v>
      </c>
      <c r="CG91">
        <v>1.4977902606785705</v>
      </c>
      <c r="CH91">
        <v>1.5052792119819631</v>
      </c>
      <c r="CI91">
        <v>1.5128056080418728</v>
      </c>
    </row>
    <row r="92" spans="1:87" x14ac:dyDescent="0.3">
      <c r="A92" s="4" t="s">
        <v>981</v>
      </c>
      <c r="B92" s="4" t="s">
        <v>987</v>
      </c>
      <c r="C92" s="4" t="s">
        <v>1321</v>
      </c>
      <c r="D92">
        <v>1</v>
      </c>
      <c r="E92">
        <v>1.0049999999999999</v>
      </c>
      <c r="F92">
        <v>1.0100249999999997</v>
      </c>
      <c r="G92">
        <v>1.0150751249999996</v>
      </c>
      <c r="H92">
        <v>1.0201505006249996</v>
      </c>
      <c r="I92">
        <v>1.0252512531281244</v>
      </c>
      <c r="J92">
        <v>1.030377509393765</v>
      </c>
      <c r="K92">
        <v>1.0355293969407338</v>
      </c>
      <c r="L92">
        <v>1.0407070439254373</v>
      </c>
      <c r="M92">
        <v>1.0459105791450642</v>
      </c>
      <c r="N92">
        <v>1.0511401320407896</v>
      </c>
      <c r="O92">
        <v>1.0563958327009935</v>
      </c>
      <c r="P92">
        <v>1.0616778118644983</v>
      </c>
      <c r="Q92">
        <v>1.0669862009238207</v>
      </c>
      <c r="R92">
        <v>1.0723211319284396</v>
      </c>
      <c r="S92">
        <v>1.0776827375880818</v>
      </c>
      <c r="T92">
        <v>1.083071151276022</v>
      </c>
      <c r="U92">
        <v>1.0884865070324019</v>
      </c>
      <c r="V92">
        <v>1.0939289395675638</v>
      </c>
      <c r="W92">
        <v>1.0993985842654015</v>
      </c>
      <c r="X92">
        <v>1.1048955771867284</v>
      </c>
      <c r="Y92">
        <v>1.1104200550726619</v>
      </c>
      <c r="Z92">
        <v>1.1159721553480251</v>
      </c>
      <c r="AA92">
        <v>1.1215520161247652</v>
      </c>
      <c r="AB92">
        <v>1.1271597762053889</v>
      </c>
      <c r="AC92">
        <v>1.1327955750864158</v>
      </c>
      <c r="AD92">
        <v>1.1384595529618478</v>
      </c>
      <c r="AE92">
        <v>1.1441518507266568</v>
      </c>
      <c r="AF92">
        <v>1.1498726099802901</v>
      </c>
      <c r="AG92">
        <v>1.1556219730301913</v>
      </c>
      <c r="AH92">
        <v>1.1614000828953421</v>
      </c>
      <c r="AI92">
        <v>1.1672070833098187</v>
      </c>
      <c r="AJ92">
        <v>1.1730431187263677</v>
      </c>
      <c r="AK92">
        <v>1.1789083343199993</v>
      </c>
      <c r="AL92">
        <v>1.1848028759915992</v>
      </c>
      <c r="AM92">
        <v>1.1907268903715571</v>
      </c>
      <c r="AN92">
        <v>1.1966805248234147</v>
      </c>
      <c r="AO92">
        <v>1.2026639274475317</v>
      </c>
      <c r="AP92">
        <v>1.2086772470847693</v>
      </c>
      <c r="AQ92">
        <v>1.214720633320193</v>
      </c>
      <c r="AR92">
        <v>1.2207942364867939</v>
      </c>
      <c r="AS92">
        <v>1.2268982076692276</v>
      </c>
      <c r="AT92">
        <v>1.2330326987075737</v>
      </c>
      <c r="AU92">
        <v>1.2391978622011115</v>
      </c>
      <c r="AV92">
        <v>1.2453938515121168</v>
      </c>
      <c r="AW92">
        <v>1.2516208207696773</v>
      </c>
      <c r="AX92">
        <v>1.2578789248735256</v>
      </c>
      <c r="AY92">
        <v>1.264168319497893</v>
      </c>
      <c r="AZ92">
        <v>1.2704891610953823</v>
      </c>
      <c r="BA92">
        <v>1.2768416069008592</v>
      </c>
      <c r="BB92">
        <v>1.2832258149353633</v>
      </c>
      <c r="BC92">
        <v>1.28964194401004</v>
      </c>
      <c r="BD92">
        <v>1.29609015373009</v>
      </c>
      <c r="BE92">
        <v>1.3025706044987404</v>
      </c>
      <c r="BF92">
        <v>1.309083457521234</v>
      </c>
      <c r="BG92">
        <v>1.3156288748088401</v>
      </c>
      <c r="BH92">
        <v>1.3222070191828841</v>
      </c>
      <c r="BI92">
        <v>1.3288180542787984</v>
      </c>
      <c r="BJ92">
        <v>1.3354621445501922</v>
      </c>
      <c r="BK92">
        <v>1.3421394552729429</v>
      </c>
      <c r="BL92">
        <v>1.3488501525493075</v>
      </c>
      <c r="BM92">
        <v>1.3555944033120539</v>
      </c>
      <c r="BN92">
        <v>1.3623723753286141</v>
      </c>
      <c r="BO92">
        <v>1.3691842372052569</v>
      </c>
      <c r="BP92">
        <v>1.3760301583912831</v>
      </c>
      <c r="BQ92">
        <v>1.3829103091832393</v>
      </c>
      <c r="BR92">
        <v>1.3898248607291555</v>
      </c>
      <c r="BS92">
        <v>1.3967739850328011</v>
      </c>
      <c r="BT92">
        <v>1.403757854957965</v>
      </c>
      <c r="BU92">
        <v>1.4107766442327547</v>
      </c>
      <c r="BV92">
        <v>1.4178305274539182</v>
      </c>
      <c r="BW92">
        <v>1.4249196800911876</v>
      </c>
      <c r="BX92">
        <v>1.4320442784916434</v>
      </c>
      <c r="BY92">
        <v>1.4392044998841016</v>
      </c>
      <c r="BZ92">
        <v>1.4464005223835219</v>
      </c>
      <c r="CA92">
        <v>1.4536325249954394</v>
      </c>
      <c r="CB92">
        <v>1.4609006876204165</v>
      </c>
      <c r="CC92">
        <v>1.4682051910585183</v>
      </c>
      <c r="CD92">
        <v>1.4755462170138107</v>
      </c>
      <c r="CE92">
        <v>1.4829239480988796</v>
      </c>
      <c r="CF92">
        <v>1.4903385678393739</v>
      </c>
      <c r="CG92">
        <v>1.4977902606785705</v>
      </c>
      <c r="CH92">
        <v>1.5052792119819631</v>
      </c>
      <c r="CI92">
        <v>1.5128056080418728</v>
      </c>
    </row>
    <row r="93" spans="1:87" x14ac:dyDescent="0.3">
      <c r="A93" s="4" t="s">
        <v>981</v>
      </c>
      <c r="B93" s="4" t="s">
        <v>987</v>
      </c>
      <c r="C93" s="4" t="s">
        <v>1322</v>
      </c>
      <c r="D93">
        <v>1</v>
      </c>
      <c r="E93">
        <v>1.0049999999999999</v>
      </c>
      <c r="F93">
        <v>1.0100249999999997</v>
      </c>
      <c r="G93">
        <v>1.0150751249999996</v>
      </c>
      <c r="H93">
        <v>1.0201505006249996</v>
      </c>
      <c r="I93">
        <v>1.0252512531281244</v>
      </c>
      <c r="J93">
        <v>1.030377509393765</v>
      </c>
      <c r="K93">
        <v>1.0355293969407338</v>
      </c>
      <c r="L93">
        <v>1.0407070439254373</v>
      </c>
      <c r="M93">
        <v>1.0459105791450642</v>
      </c>
      <c r="N93">
        <v>1.0511401320407896</v>
      </c>
      <c r="O93">
        <v>1.0563958327009935</v>
      </c>
      <c r="P93">
        <v>1.0616778118644983</v>
      </c>
      <c r="Q93">
        <v>1.0669862009238207</v>
      </c>
      <c r="R93">
        <v>1.0723211319284396</v>
      </c>
      <c r="S93">
        <v>1.0776827375880818</v>
      </c>
      <c r="T93">
        <v>1.083071151276022</v>
      </c>
      <c r="U93">
        <v>1.0884865070324019</v>
      </c>
      <c r="V93">
        <v>1.0939289395675638</v>
      </c>
      <c r="W93">
        <v>1.0993985842654015</v>
      </c>
      <c r="X93">
        <v>1.1048955771867284</v>
      </c>
      <c r="Y93">
        <v>1.1104200550726619</v>
      </c>
      <c r="Z93">
        <v>1.1159721553480251</v>
      </c>
      <c r="AA93">
        <v>1.1215520161247652</v>
      </c>
      <c r="AB93">
        <v>1.1271597762053889</v>
      </c>
      <c r="AC93">
        <v>1.1327955750864158</v>
      </c>
      <c r="AD93">
        <v>1.1384595529618478</v>
      </c>
      <c r="AE93">
        <v>1.1441518507266568</v>
      </c>
      <c r="AF93">
        <v>1.1498726099802901</v>
      </c>
      <c r="AG93">
        <v>1.1556219730301913</v>
      </c>
      <c r="AH93">
        <v>1.1614000828953421</v>
      </c>
      <c r="AI93">
        <v>1.1672070833098187</v>
      </c>
      <c r="AJ93">
        <v>1.1730431187263677</v>
      </c>
      <c r="AK93">
        <v>1.1789083343199993</v>
      </c>
      <c r="AL93">
        <v>1.1848028759915992</v>
      </c>
      <c r="AM93">
        <v>1.1907268903715571</v>
      </c>
      <c r="AN93">
        <v>1.1966805248234147</v>
      </c>
      <c r="AO93">
        <v>1.2026639274475317</v>
      </c>
      <c r="AP93">
        <v>1.2086772470847693</v>
      </c>
      <c r="AQ93">
        <v>1.214720633320193</v>
      </c>
      <c r="AR93">
        <v>1.2207942364867939</v>
      </c>
      <c r="AS93">
        <v>1.2268982076692276</v>
      </c>
      <c r="AT93">
        <v>1.2330326987075737</v>
      </c>
      <c r="AU93">
        <v>1.2391978622011115</v>
      </c>
      <c r="AV93">
        <v>1.2453938515121168</v>
      </c>
      <c r="AW93">
        <v>1.2516208207696773</v>
      </c>
      <c r="AX93">
        <v>1.2578789248735256</v>
      </c>
      <c r="AY93">
        <v>1.264168319497893</v>
      </c>
      <c r="AZ93">
        <v>1.2704891610953823</v>
      </c>
      <c r="BA93">
        <v>1.2768416069008592</v>
      </c>
      <c r="BB93">
        <v>1.2832258149353633</v>
      </c>
      <c r="BC93">
        <v>1.28964194401004</v>
      </c>
      <c r="BD93">
        <v>1.29609015373009</v>
      </c>
      <c r="BE93">
        <v>1.3025706044987404</v>
      </c>
      <c r="BF93">
        <v>1.309083457521234</v>
      </c>
      <c r="BG93">
        <v>1.3156288748088401</v>
      </c>
      <c r="BH93">
        <v>1.3222070191828841</v>
      </c>
      <c r="BI93">
        <v>1.3288180542787984</v>
      </c>
      <c r="BJ93">
        <v>1.3354621445501922</v>
      </c>
      <c r="BK93">
        <v>1.3421394552729429</v>
      </c>
      <c r="BL93">
        <v>1.3488501525493075</v>
      </c>
      <c r="BM93">
        <v>1.3555944033120539</v>
      </c>
      <c r="BN93">
        <v>1.3623723753286141</v>
      </c>
      <c r="BO93">
        <v>1.3691842372052569</v>
      </c>
      <c r="BP93">
        <v>1.3760301583912831</v>
      </c>
      <c r="BQ93">
        <v>1.3829103091832393</v>
      </c>
      <c r="BR93">
        <v>1.3898248607291555</v>
      </c>
      <c r="BS93">
        <v>1.3967739850328011</v>
      </c>
      <c r="BT93">
        <v>1.403757854957965</v>
      </c>
      <c r="BU93">
        <v>1.4107766442327547</v>
      </c>
      <c r="BV93">
        <v>1.4178305274539182</v>
      </c>
      <c r="BW93">
        <v>1.4249196800911876</v>
      </c>
      <c r="BX93">
        <v>1.4320442784916434</v>
      </c>
      <c r="BY93">
        <v>1.4392044998841016</v>
      </c>
      <c r="BZ93">
        <v>1.4464005223835219</v>
      </c>
      <c r="CA93">
        <v>1.4536325249954394</v>
      </c>
      <c r="CB93">
        <v>1.4609006876204165</v>
      </c>
      <c r="CC93">
        <v>1.4682051910585183</v>
      </c>
      <c r="CD93">
        <v>1.4755462170138107</v>
      </c>
      <c r="CE93">
        <v>1.4829239480988796</v>
      </c>
      <c r="CF93">
        <v>1.4903385678393739</v>
      </c>
      <c r="CG93">
        <v>1.4977902606785705</v>
      </c>
      <c r="CH93">
        <v>1.5052792119819631</v>
      </c>
      <c r="CI93">
        <v>1.5128056080418728</v>
      </c>
    </row>
    <row r="94" spans="1:87" x14ac:dyDescent="0.3">
      <c r="A94" s="4" t="s">
        <v>981</v>
      </c>
      <c r="B94" s="4" t="s">
        <v>987</v>
      </c>
      <c r="C94" s="4" t="s">
        <v>1323</v>
      </c>
      <c r="D94">
        <v>1</v>
      </c>
      <c r="E94">
        <v>1.0049999999999999</v>
      </c>
      <c r="F94">
        <v>1.0100249999999997</v>
      </c>
      <c r="G94">
        <v>1.0150751249999996</v>
      </c>
      <c r="H94">
        <v>1.0201505006249996</v>
      </c>
      <c r="I94">
        <v>1.0252512531281244</v>
      </c>
      <c r="J94">
        <v>1.030377509393765</v>
      </c>
      <c r="K94">
        <v>1.0355293969407338</v>
      </c>
      <c r="L94">
        <v>1.0407070439254373</v>
      </c>
      <c r="M94">
        <v>1.0459105791450642</v>
      </c>
      <c r="N94">
        <v>1.0511401320407896</v>
      </c>
      <c r="O94">
        <v>1.0563958327009935</v>
      </c>
      <c r="P94">
        <v>1.0616778118644983</v>
      </c>
      <c r="Q94">
        <v>1.0669862009238207</v>
      </c>
      <c r="R94">
        <v>1.0723211319284396</v>
      </c>
      <c r="S94">
        <v>1.0776827375880818</v>
      </c>
      <c r="T94">
        <v>1.083071151276022</v>
      </c>
      <c r="U94">
        <v>1.0884865070324019</v>
      </c>
      <c r="V94">
        <v>1.0939289395675638</v>
      </c>
      <c r="W94">
        <v>1.0993985842654015</v>
      </c>
      <c r="X94">
        <v>1.1048955771867284</v>
      </c>
      <c r="Y94">
        <v>1.1104200550726619</v>
      </c>
      <c r="Z94">
        <v>1.1159721553480251</v>
      </c>
      <c r="AA94">
        <v>1.1215520161247652</v>
      </c>
      <c r="AB94">
        <v>1.1271597762053889</v>
      </c>
      <c r="AC94">
        <v>1.1327955750864158</v>
      </c>
      <c r="AD94">
        <v>1.1384595529618478</v>
      </c>
      <c r="AE94">
        <v>1.1441518507266568</v>
      </c>
      <c r="AF94">
        <v>1.1498726099802901</v>
      </c>
      <c r="AG94">
        <v>1.1556219730301913</v>
      </c>
      <c r="AH94">
        <v>1.1614000828953421</v>
      </c>
      <c r="AI94">
        <v>1.1672070833098187</v>
      </c>
      <c r="AJ94">
        <v>1.1730431187263677</v>
      </c>
      <c r="AK94">
        <v>1.1789083343199993</v>
      </c>
      <c r="AL94">
        <v>1.1848028759915992</v>
      </c>
      <c r="AM94">
        <v>1.1907268903715571</v>
      </c>
      <c r="AN94">
        <v>1.1966805248234147</v>
      </c>
      <c r="AO94">
        <v>1.2026639274475317</v>
      </c>
      <c r="AP94">
        <v>1.2086772470847693</v>
      </c>
      <c r="AQ94">
        <v>1.214720633320193</v>
      </c>
      <c r="AR94">
        <v>1.2207942364867939</v>
      </c>
      <c r="AS94">
        <v>1.2268982076692276</v>
      </c>
      <c r="AT94">
        <v>1.2330326987075737</v>
      </c>
      <c r="AU94">
        <v>1.2391978622011115</v>
      </c>
      <c r="AV94">
        <v>1.2453938515121168</v>
      </c>
      <c r="AW94">
        <v>1.2516208207696773</v>
      </c>
      <c r="AX94">
        <v>1.2578789248735256</v>
      </c>
      <c r="AY94">
        <v>1.264168319497893</v>
      </c>
      <c r="AZ94">
        <v>1.2704891610953823</v>
      </c>
      <c r="BA94">
        <v>1.2768416069008592</v>
      </c>
      <c r="BB94">
        <v>1.2832258149353633</v>
      </c>
      <c r="BC94">
        <v>1.28964194401004</v>
      </c>
      <c r="BD94">
        <v>1.29609015373009</v>
      </c>
      <c r="BE94">
        <v>1.3025706044987404</v>
      </c>
      <c r="BF94">
        <v>1.309083457521234</v>
      </c>
      <c r="BG94">
        <v>1.3156288748088401</v>
      </c>
      <c r="BH94">
        <v>1.3222070191828841</v>
      </c>
      <c r="BI94">
        <v>1.3288180542787984</v>
      </c>
      <c r="BJ94">
        <v>1.3354621445501922</v>
      </c>
      <c r="BK94">
        <v>1.3421394552729429</v>
      </c>
      <c r="BL94">
        <v>1.3488501525493075</v>
      </c>
      <c r="BM94">
        <v>1.3555944033120539</v>
      </c>
      <c r="BN94">
        <v>1.3623723753286141</v>
      </c>
      <c r="BO94">
        <v>1.3691842372052569</v>
      </c>
      <c r="BP94">
        <v>1.3760301583912831</v>
      </c>
      <c r="BQ94">
        <v>1.3829103091832393</v>
      </c>
      <c r="BR94">
        <v>1.3898248607291555</v>
      </c>
      <c r="BS94">
        <v>1.3967739850328011</v>
      </c>
      <c r="BT94">
        <v>1.403757854957965</v>
      </c>
      <c r="BU94">
        <v>1.4107766442327547</v>
      </c>
      <c r="BV94">
        <v>1.4178305274539182</v>
      </c>
      <c r="BW94">
        <v>1.4249196800911876</v>
      </c>
      <c r="BX94">
        <v>1.4320442784916434</v>
      </c>
      <c r="BY94">
        <v>1.4392044998841016</v>
      </c>
      <c r="BZ94">
        <v>1.4464005223835219</v>
      </c>
      <c r="CA94">
        <v>1.4536325249954394</v>
      </c>
      <c r="CB94">
        <v>1.4609006876204165</v>
      </c>
      <c r="CC94">
        <v>1.4682051910585183</v>
      </c>
      <c r="CD94">
        <v>1.4755462170138107</v>
      </c>
      <c r="CE94">
        <v>1.4829239480988796</v>
      </c>
      <c r="CF94">
        <v>1.4903385678393739</v>
      </c>
      <c r="CG94">
        <v>1.4977902606785705</v>
      </c>
      <c r="CH94">
        <v>1.5052792119819631</v>
      </c>
      <c r="CI94">
        <v>1.5128056080418728</v>
      </c>
    </row>
    <row r="95" spans="1:87" x14ac:dyDescent="0.3">
      <c r="A95" s="4" t="s">
        <v>981</v>
      </c>
      <c r="B95" s="4" t="s">
        <v>987</v>
      </c>
      <c r="C95" s="4" t="s">
        <v>1324</v>
      </c>
      <c r="D95">
        <v>1</v>
      </c>
      <c r="E95">
        <v>1.0049999999999999</v>
      </c>
      <c r="F95">
        <v>1.0100249999999997</v>
      </c>
      <c r="G95">
        <v>1.0150751249999996</v>
      </c>
      <c r="H95">
        <v>1.0201505006249996</v>
      </c>
      <c r="I95">
        <v>1.0252512531281244</v>
      </c>
      <c r="J95">
        <v>1.030377509393765</v>
      </c>
      <c r="K95">
        <v>1.0355293969407338</v>
      </c>
      <c r="L95">
        <v>1.0407070439254373</v>
      </c>
      <c r="M95">
        <v>1.0459105791450642</v>
      </c>
      <c r="N95">
        <v>1.0511401320407896</v>
      </c>
      <c r="O95">
        <v>1.0563958327009935</v>
      </c>
      <c r="P95">
        <v>1.0616778118644983</v>
      </c>
      <c r="Q95">
        <v>1.0669862009238207</v>
      </c>
      <c r="R95">
        <v>1.0723211319284396</v>
      </c>
      <c r="S95">
        <v>1.0776827375880818</v>
      </c>
      <c r="T95">
        <v>1.083071151276022</v>
      </c>
      <c r="U95">
        <v>1.0884865070324019</v>
      </c>
      <c r="V95">
        <v>1.0939289395675638</v>
      </c>
      <c r="W95">
        <v>1.0993985842654015</v>
      </c>
      <c r="X95">
        <v>1.1048955771867284</v>
      </c>
      <c r="Y95">
        <v>1.1104200550726619</v>
      </c>
      <c r="Z95">
        <v>1.1159721553480251</v>
      </c>
      <c r="AA95">
        <v>1.1215520161247652</v>
      </c>
      <c r="AB95">
        <v>1.1271597762053889</v>
      </c>
      <c r="AC95">
        <v>1.1327955750864158</v>
      </c>
      <c r="AD95">
        <v>1.1384595529618478</v>
      </c>
      <c r="AE95">
        <v>1.1441518507266568</v>
      </c>
      <c r="AF95">
        <v>1.1498726099802901</v>
      </c>
      <c r="AG95">
        <v>1.1556219730301913</v>
      </c>
      <c r="AH95">
        <v>1.1614000828953421</v>
      </c>
      <c r="AI95">
        <v>1.1672070833098187</v>
      </c>
      <c r="AJ95">
        <v>1.1730431187263677</v>
      </c>
      <c r="AK95">
        <v>1.1789083343199993</v>
      </c>
      <c r="AL95">
        <v>1.1848028759915992</v>
      </c>
      <c r="AM95">
        <v>1.1907268903715571</v>
      </c>
      <c r="AN95">
        <v>1.1966805248234147</v>
      </c>
      <c r="AO95">
        <v>1.2026639274475317</v>
      </c>
      <c r="AP95">
        <v>1.2086772470847693</v>
      </c>
      <c r="AQ95">
        <v>1.214720633320193</v>
      </c>
      <c r="AR95">
        <v>1.2207942364867939</v>
      </c>
      <c r="AS95">
        <v>1.2268982076692276</v>
      </c>
      <c r="AT95">
        <v>1.2330326987075737</v>
      </c>
      <c r="AU95">
        <v>1.2391978622011115</v>
      </c>
      <c r="AV95">
        <v>1.2453938515121168</v>
      </c>
      <c r="AW95">
        <v>1.2516208207696773</v>
      </c>
      <c r="AX95">
        <v>1.2578789248735256</v>
      </c>
      <c r="AY95">
        <v>1.264168319497893</v>
      </c>
      <c r="AZ95">
        <v>1.2704891610953823</v>
      </c>
      <c r="BA95">
        <v>1.2768416069008592</v>
      </c>
      <c r="BB95">
        <v>1.2832258149353633</v>
      </c>
      <c r="BC95">
        <v>1.28964194401004</v>
      </c>
      <c r="BD95">
        <v>1.29609015373009</v>
      </c>
      <c r="BE95">
        <v>1.3025706044987404</v>
      </c>
      <c r="BF95">
        <v>1.309083457521234</v>
      </c>
      <c r="BG95">
        <v>1.3156288748088401</v>
      </c>
      <c r="BH95">
        <v>1.3222070191828841</v>
      </c>
      <c r="BI95">
        <v>1.3288180542787984</v>
      </c>
      <c r="BJ95">
        <v>1.3354621445501922</v>
      </c>
      <c r="BK95">
        <v>1.3421394552729429</v>
      </c>
      <c r="BL95">
        <v>1.3488501525493075</v>
      </c>
      <c r="BM95">
        <v>1.3555944033120539</v>
      </c>
      <c r="BN95">
        <v>1.3623723753286141</v>
      </c>
      <c r="BO95">
        <v>1.3691842372052569</v>
      </c>
      <c r="BP95">
        <v>1.3760301583912831</v>
      </c>
      <c r="BQ95">
        <v>1.3829103091832393</v>
      </c>
      <c r="BR95">
        <v>1.3898248607291555</v>
      </c>
      <c r="BS95">
        <v>1.3967739850328011</v>
      </c>
      <c r="BT95">
        <v>1.403757854957965</v>
      </c>
      <c r="BU95">
        <v>1.4107766442327547</v>
      </c>
      <c r="BV95">
        <v>1.4178305274539182</v>
      </c>
      <c r="BW95">
        <v>1.4249196800911876</v>
      </c>
      <c r="BX95">
        <v>1.4320442784916434</v>
      </c>
      <c r="BY95">
        <v>1.4392044998841016</v>
      </c>
      <c r="BZ95">
        <v>1.4464005223835219</v>
      </c>
      <c r="CA95">
        <v>1.4536325249954394</v>
      </c>
      <c r="CB95">
        <v>1.4609006876204165</v>
      </c>
      <c r="CC95">
        <v>1.4682051910585183</v>
      </c>
      <c r="CD95">
        <v>1.4755462170138107</v>
      </c>
      <c r="CE95">
        <v>1.4829239480988796</v>
      </c>
      <c r="CF95">
        <v>1.4903385678393739</v>
      </c>
      <c r="CG95">
        <v>1.4977902606785705</v>
      </c>
      <c r="CH95">
        <v>1.5052792119819631</v>
      </c>
      <c r="CI95">
        <v>1.5128056080418728</v>
      </c>
    </row>
    <row r="96" spans="1:87" x14ac:dyDescent="0.3">
      <c r="A96" s="4" t="s">
        <v>981</v>
      </c>
      <c r="B96" s="4" t="s">
        <v>987</v>
      </c>
      <c r="C96" s="4" t="s">
        <v>1325</v>
      </c>
      <c r="D96">
        <v>1</v>
      </c>
      <c r="E96">
        <v>1.0049999999999999</v>
      </c>
      <c r="F96">
        <v>1.0100249999999997</v>
      </c>
      <c r="G96">
        <v>1.0150751249999996</v>
      </c>
      <c r="H96">
        <v>1.0201505006249996</v>
      </c>
      <c r="I96">
        <v>1.0252512531281244</v>
      </c>
      <c r="J96">
        <v>1.030377509393765</v>
      </c>
      <c r="K96">
        <v>1.0355293969407338</v>
      </c>
      <c r="L96">
        <v>1.0407070439254373</v>
      </c>
      <c r="M96">
        <v>1.0459105791450642</v>
      </c>
      <c r="N96">
        <v>1.0511401320407896</v>
      </c>
      <c r="O96">
        <v>1.0563958327009935</v>
      </c>
      <c r="P96">
        <v>1.0616778118644983</v>
      </c>
      <c r="Q96">
        <v>1.0669862009238207</v>
      </c>
      <c r="R96">
        <v>1.0723211319284396</v>
      </c>
      <c r="S96">
        <v>1.0776827375880818</v>
      </c>
      <c r="T96">
        <v>1.083071151276022</v>
      </c>
      <c r="U96">
        <v>1.0884865070324019</v>
      </c>
      <c r="V96">
        <v>1.0939289395675638</v>
      </c>
      <c r="W96">
        <v>1.0993985842654015</v>
      </c>
      <c r="X96">
        <v>1.1048955771867284</v>
      </c>
      <c r="Y96">
        <v>1.1104200550726619</v>
      </c>
      <c r="Z96">
        <v>1.1159721553480251</v>
      </c>
      <c r="AA96">
        <v>1.1215520161247652</v>
      </c>
      <c r="AB96">
        <v>1.1271597762053889</v>
      </c>
      <c r="AC96">
        <v>1.1327955750864158</v>
      </c>
      <c r="AD96">
        <v>1.1384595529618478</v>
      </c>
      <c r="AE96">
        <v>1.1441518507266568</v>
      </c>
      <c r="AF96">
        <v>1.1498726099802901</v>
      </c>
      <c r="AG96">
        <v>1.1556219730301913</v>
      </c>
      <c r="AH96">
        <v>1.1614000828953421</v>
      </c>
      <c r="AI96">
        <v>1.1672070833098187</v>
      </c>
      <c r="AJ96">
        <v>1.1730431187263677</v>
      </c>
      <c r="AK96">
        <v>1.1789083343199993</v>
      </c>
      <c r="AL96">
        <v>1.1848028759915992</v>
      </c>
      <c r="AM96">
        <v>1.1907268903715571</v>
      </c>
      <c r="AN96">
        <v>1.1966805248234147</v>
      </c>
      <c r="AO96">
        <v>1.2026639274475317</v>
      </c>
      <c r="AP96">
        <v>1.2086772470847693</v>
      </c>
      <c r="AQ96">
        <v>1.214720633320193</v>
      </c>
      <c r="AR96">
        <v>1.2207942364867939</v>
      </c>
      <c r="AS96">
        <v>1.2268982076692276</v>
      </c>
      <c r="AT96">
        <v>1.2330326987075737</v>
      </c>
      <c r="AU96">
        <v>1.2391978622011115</v>
      </c>
      <c r="AV96">
        <v>1.2453938515121168</v>
      </c>
      <c r="AW96">
        <v>1.2516208207696773</v>
      </c>
      <c r="AX96">
        <v>1.2578789248735256</v>
      </c>
      <c r="AY96">
        <v>1.264168319497893</v>
      </c>
      <c r="AZ96">
        <v>1.2704891610953823</v>
      </c>
      <c r="BA96">
        <v>1.2768416069008592</v>
      </c>
      <c r="BB96">
        <v>1.2832258149353633</v>
      </c>
      <c r="BC96">
        <v>1.28964194401004</v>
      </c>
      <c r="BD96">
        <v>1.29609015373009</v>
      </c>
      <c r="BE96">
        <v>1.3025706044987404</v>
      </c>
      <c r="BF96">
        <v>1.309083457521234</v>
      </c>
      <c r="BG96">
        <v>1.3156288748088401</v>
      </c>
      <c r="BH96">
        <v>1.3222070191828841</v>
      </c>
      <c r="BI96">
        <v>1.3288180542787984</v>
      </c>
      <c r="BJ96">
        <v>1.3354621445501922</v>
      </c>
      <c r="BK96">
        <v>1.3421394552729429</v>
      </c>
      <c r="BL96">
        <v>1.3488501525493075</v>
      </c>
      <c r="BM96">
        <v>1.3555944033120539</v>
      </c>
      <c r="BN96">
        <v>1.3623723753286141</v>
      </c>
      <c r="BO96">
        <v>1.3691842372052569</v>
      </c>
      <c r="BP96">
        <v>1.3760301583912831</v>
      </c>
      <c r="BQ96">
        <v>1.3829103091832393</v>
      </c>
      <c r="BR96">
        <v>1.3898248607291555</v>
      </c>
      <c r="BS96">
        <v>1.3967739850328011</v>
      </c>
      <c r="BT96">
        <v>1.403757854957965</v>
      </c>
      <c r="BU96">
        <v>1.4107766442327547</v>
      </c>
      <c r="BV96">
        <v>1.4178305274539182</v>
      </c>
      <c r="BW96">
        <v>1.4249196800911876</v>
      </c>
      <c r="BX96">
        <v>1.4320442784916434</v>
      </c>
      <c r="BY96">
        <v>1.4392044998841016</v>
      </c>
      <c r="BZ96">
        <v>1.4464005223835219</v>
      </c>
      <c r="CA96">
        <v>1.4536325249954394</v>
      </c>
      <c r="CB96">
        <v>1.4609006876204165</v>
      </c>
      <c r="CC96">
        <v>1.4682051910585183</v>
      </c>
      <c r="CD96">
        <v>1.4755462170138107</v>
      </c>
      <c r="CE96">
        <v>1.4829239480988796</v>
      </c>
      <c r="CF96">
        <v>1.4903385678393739</v>
      </c>
      <c r="CG96">
        <v>1.4977902606785705</v>
      </c>
      <c r="CH96">
        <v>1.5052792119819631</v>
      </c>
      <c r="CI96">
        <v>1.5128056080418728</v>
      </c>
    </row>
    <row r="97" spans="1:87" x14ac:dyDescent="0.3">
      <c r="A97" s="4" t="s">
        <v>981</v>
      </c>
      <c r="B97" s="4" t="s">
        <v>987</v>
      </c>
      <c r="C97" s="4" t="s">
        <v>1176</v>
      </c>
      <c r="D97">
        <v>1</v>
      </c>
      <c r="E97">
        <v>1.0049999999999999</v>
      </c>
      <c r="F97">
        <v>1.0100249999999997</v>
      </c>
      <c r="G97">
        <v>1.0150751249999996</v>
      </c>
      <c r="H97">
        <v>1.0201505006249996</v>
      </c>
      <c r="I97">
        <v>1.0252512531281244</v>
      </c>
      <c r="J97">
        <v>1.030377509393765</v>
      </c>
      <c r="K97">
        <v>1.0355293969407338</v>
      </c>
      <c r="L97">
        <v>1.0407070439254373</v>
      </c>
      <c r="M97">
        <v>1.0459105791450642</v>
      </c>
      <c r="N97">
        <v>1.0511401320407896</v>
      </c>
      <c r="O97">
        <v>1.0563958327009935</v>
      </c>
      <c r="P97">
        <v>1.0616778118644983</v>
      </c>
      <c r="Q97">
        <v>1.0669862009238207</v>
      </c>
      <c r="R97">
        <v>1.0723211319284396</v>
      </c>
      <c r="S97">
        <v>1.0776827375880818</v>
      </c>
      <c r="T97">
        <v>1.083071151276022</v>
      </c>
      <c r="U97">
        <v>1.0884865070324019</v>
      </c>
      <c r="V97">
        <v>1.0939289395675638</v>
      </c>
      <c r="W97">
        <v>1.0993985842654015</v>
      </c>
      <c r="X97">
        <v>1.1048955771867284</v>
      </c>
      <c r="Y97">
        <v>1.1104200550726619</v>
      </c>
      <c r="Z97">
        <v>1.1159721553480251</v>
      </c>
      <c r="AA97">
        <v>1.1215520161247652</v>
      </c>
      <c r="AB97">
        <v>1.1271597762053889</v>
      </c>
      <c r="AC97">
        <v>1.1327955750864158</v>
      </c>
      <c r="AD97">
        <v>1.1384595529618478</v>
      </c>
      <c r="AE97">
        <v>1.1441518507266568</v>
      </c>
      <c r="AF97">
        <v>1.1498726099802901</v>
      </c>
      <c r="AG97">
        <v>1.1556219730301913</v>
      </c>
      <c r="AH97">
        <v>1.1614000828953421</v>
      </c>
      <c r="AI97">
        <v>1.1672070833098187</v>
      </c>
      <c r="AJ97">
        <v>1.1730431187263677</v>
      </c>
      <c r="AK97">
        <v>1.1789083343199993</v>
      </c>
      <c r="AL97">
        <v>1.1848028759915992</v>
      </c>
      <c r="AM97">
        <v>1.1907268903715571</v>
      </c>
      <c r="AN97">
        <v>1.1966805248234147</v>
      </c>
      <c r="AO97">
        <v>1.2026639274475317</v>
      </c>
      <c r="AP97">
        <v>1.2086772470847693</v>
      </c>
      <c r="AQ97">
        <v>1.214720633320193</v>
      </c>
      <c r="AR97">
        <v>1.2207942364867939</v>
      </c>
      <c r="AS97">
        <v>1.2268982076692276</v>
      </c>
      <c r="AT97">
        <v>1.2330326987075737</v>
      </c>
      <c r="AU97">
        <v>1.2391978622011115</v>
      </c>
      <c r="AV97">
        <v>1.2453938515121168</v>
      </c>
      <c r="AW97">
        <v>1.2516208207696773</v>
      </c>
      <c r="AX97">
        <v>1.2578789248735256</v>
      </c>
      <c r="AY97">
        <v>1.264168319497893</v>
      </c>
      <c r="AZ97">
        <v>1.2704891610953823</v>
      </c>
      <c r="BA97">
        <v>1.2768416069008592</v>
      </c>
      <c r="BB97">
        <v>1.2832258149353633</v>
      </c>
      <c r="BC97">
        <v>1.28964194401004</v>
      </c>
      <c r="BD97">
        <v>1.29609015373009</v>
      </c>
      <c r="BE97">
        <v>1.3025706044987404</v>
      </c>
      <c r="BF97">
        <v>1.309083457521234</v>
      </c>
      <c r="BG97">
        <v>1.3156288748088401</v>
      </c>
      <c r="BH97">
        <v>1.3222070191828841</v>
      </c>
      <c r="BI97">
        <v>1.3288180542787984</v>
      </c>
      <c r="BJ97">
        <v>1.3354621445501922</v>
      </c>
      <c r="BK97">
        <v>1.3421394552729429</v>
      </c>
      <c r="BL97">
        <v>1.3488501525493075</v>
      </c>
      <c r="BM97">
        <v>1.3555944033120539</v>
      </c>
      <c r="BN97">
        <v>1.3623723753286141</v>
      </c>
      <c r="BO97">
        <v>1.3691842372052569</v>
      </c>
      <c r="BP97">
        <v>1.3760301583912831</v>
      </c>
      <c r="BQ97">
        <v>1.3829103091832393</v>
      </c>
      <c r="BR97">
        <v>1.3898248607291555</v>
      </c>
      <c r="BS97">
        <v>1.3967739850328011</v>
      </c>
      <c r="BT97">
        <v>1.403757854957965</v>
      </c>
      <c r="BU97">
        <v>1.4107766442327547</v>
      </c>
      <c r="BV97">
        <v>1.4178305274539182</v>
      </c>
      <c r="BW97">
        <v>1.4249196800911876</v>
      </c>
      <c r="BX97">
        <v>1.4320442784916434</v>
      </c>
      <c r="BY97">
        <v>1.4392044998841016</v>
      </c>
      <c r="BZ97">
        <v>1.4464005223835219</v>
      </c>
      <c r="CA97">
        <v>1.4536325249954394</v>
      </c>
      <c r="CB97">
        <v>1.4609006876204165</v>
      </c>
      <c r="CC97">
        <v>1.4682051910585183</v>
      </c>
      <c r="CD97">
        <v>1.4755462170138107</v>
      </c>
      <c r="CE97">
        <v>1.4829239480988796</v>
      </c>
      <c r="CF97">
        <v>1.4903385678393739</v>
      </c>
      <c r="CG97">
        <v>1.4977902606785705</v>
      </c>
      <c r="CH97">
        <v>1.5052792119819631</v>
      </c>
      <c r="CI97">
        <v>1.5128056080418728</v>
      </c>
    </row>
    <row r="98" spans="1:87" x14ac:dyDescent="0.3">
      <c r="A98" s="4" t="s">
        <v>981</v>
      </c>
      <c r="B98" s="4" t="s">
        <v>987</v>
      </c>
      <c r="C98" s="4" t="s">
        <v>1129</v>
      </c>
      <c r="D98">
        <v>1</v>
      </c>
      <c r="E98">
        <v>1.0049999999999999</v>
      </c>
      <c r="F98">
        <v>1.0100249999999997</v>
      </c>
      <c r="G98">
        <v>1.0150751249999996</v>
      </c>
      <c r="H98">
        <v>1.0201505006249996</v>
      </c>
      <c r="I98">
        <v>1.0252512531281244</v>
      </c>
      <c r="J98">
        <v>1.030377509393765</v>
      </c>
      <c r="K98">
        <v>1.0355293969407338</v>
      </c>
      <c r="L98">
        <v>1.0407070439254373</v>
      </c>
      <c r="M98">
        <v>1.0459105791450642</v>
      </c>
      <c r="N98">
        <v>1.0511401320407896</v>
      </c>
      <c r="O98">
        <v>1.0563958327009935</v>
      </c>
      <c r="P98">
        <v>1.0616778118644983</v>
      </c>
      <c r="Q98">
        <v>1.0669862009238207</v>
      </c>
      <c r="R98">
        <v>1.0723211319284396</v>
      </c>
      <c r="S98">
        <v>1.0776827375880818</v>
      </c>
      <c r="T98">
        <v>1.083071151276022</v>
      </c>
      <c r="U98">
        <v>1.0884865070324019</v>
      </c>
      <c r="V98">
        <v>1.0939289395675638</v>
      </c>
      <c r="W98">
        <v>1.0993985842654015</v>
      </c>
      <c r="X98">
        <v>1.1048955771867284</v>
      </c>
      <c r="Y98">
        <v>1.1104200550726619</v>
      </c>
      <c r="Z98">
        <v>1.1159721553480251</v>
      </c>
      <c r="AA98">
        <v>1.1215520161247652</v>
      </c>
      <c r="AB98">
        <v>1.1271597762053889</v>
      </c>
      <c r="AC98">
        <v>1.1327955750864158</v>
      </c>
      <c r="AD98">
        <v>1.1384595529618478</v>
      </c>
      <c r="AE98">
        <v>1.1441518507266568</v>
      </c>
      <c r="AF98">
        <v>1.1498726099802901</v>
      </c>
      <c r="AG98">
        <v>1.1556219730301913</v>
      </c>
      <c r="AH98">
        <v>1.1614000828953421</v>
      </c>
      <c r="AI98">
        <v>1.1672070833098187</v>
      </c>
      <c r="AJ98">
        <v>1.1730431187263677</v>
      </c>
      <c r="AK98">
        <v>1.1789083343199993</v>
      </c>
      <c r="AL98">
        <v>1.1848028759915992</v>
      </c>
      <c r="AM98">
        <v>1.1907268903715571</v>
      </c>
      <c r="AN98">
        <v>1.1966805248234147</v>
      </c>
      <c r="AO98">
        <v>1.2026639274475317</v>
      </c>
      <c r="AP98">
        <v>1.2086772470847693</v>
      </c>
      <c r="AQ98">
        <v>1.214720633320193</v>
      </c>
      <c r="AR98">
        <v>1.2207942364867939</v>
      </c>
      <c r="AS98">
        <v>1.2268982076692276</v>
      </c>
      <c r="AT98">
        <v>1.2330326987075737</v>
      </c>
      <c r="AU98">
        <v>1.2391978622011115</v>
      </c>
      <c r="AV98">
        <v>1.2453938515121168</v>
      </c>
      <c r="AW98">
        <v>1.2516208207696773</v>
      </c>
      <c r="AX98">
        <v>1.2578789248735256</v>
      </c>
      <c r="AY98">
        <v>1.264168319497893</v>
      </c>
      <c r="AZ98">
        <v>1.2704891610953823</v>
      </c>
      <c r="BA98">
        <v>1.2768416069008592</v>
      </c>
      <c r="BB98">
        <v>1.2832258149353633</v>
      </c>
      <c r="BC98">
        <v>1.28964194401004</v>
      </c>
      <c r="BD98">
        <v>1.29609015373009</v>
      </c>
      <c r="BE98">
        <v>1.3025706044987404</v>
      </c>
      <c r="BF98">
        <v>1.309083457521234</v>
      </c>
      <c r="BG98">
        <v>1.3156288748088401</v>
      </c>
      <c r="BH98">
        <v>1.3222070191828841</v>
      </c>
      <c r="BI98">
        <v>1.3288180542787984</v>
      </c>
      <c r="BJ98">
        <v>1.3354621445501922</v>
      </c>
      <c r="BK98">
        <v>1.3421394552729429</v>
      </c>
      <c r="BL98">
        <v>1.3488501525493075</v>
      </c>
      <c r="BM98">
        <v>1.3555944033120539</v>
      </c>
      <c r="BN98">
        <v>1.3623723753286141</v>
      </c>
      <c r="BO98">
        <v>1.3691842372052569</v>
      </c>
      <c r="BP98">
        <v>1.3760301583912831</v>
      </c>
      <c r="BQ98">
        <v>1.3829103091832393</v>
      </c>
      <c r="BR98">
        <v>1.3898248607291555</v>
      </c>
      <c r="BS98">
        <v>1.3967739850328011</v>
      </c>
      <c r="BT98">
        <v>1.403757854957965</v>
      </c>
      <c r="BU98">
        <v>1.4107766442327547</v>
      </c>
      <c r="BV98">
        <v>1.4178305274539182</v>
      </c>
      <c r="BW98">
        <v>1.4249196800911876</v>
      </c>
      <c r="BX98">
        <v>1.4320442784916434</v>
      </c>
      <c r="BY98">
        <v>1.4392044998841016</v>
      </c>
      <c r="BZ98">
        <v>1.4464005223835219</v>
      </c>
      <c r="CA98">
        <v>1.4536325249954394</v>
      </c>
      <c r="CB98">
        <v>1.4609006876204165</v>
      </c>
      <c r="CC98">
        <v>1.4682051910585183</v>
      </c>
      <c r="CD98">
        <v>1.4755462170138107</v>
      </c>
      <c r="CE98">
        <v>1.4829239480988796</v>
      </c>
      <c r="CF98">
        <v>1.4903385678393739</v>
      </c>
      <c r="CG98">
        <v>1.4977902606785705</v>
      </c>
      <c r="CH98">
        <v>1.5052792119819631</v>
      </c>
      <c r="CI98">
        <v>1.5128056080418728</v>
      </c>
    </row>
    <row r="99" spans="1:87" x14ac:dyDescent="0.3">
      <c r="A99" s="4" t="s">
        <v>981</v>
      </c>
      <c r="B99" s="4" t="s">
        <v>1544</v>
      </c>
      <c r="C99" s="4" t="s">
        <v>1545</v>
      </c>
      <c r="D99">
        <v>67.8</v>
      </c>
      <c r="E99">
        <v>67.8</v>
      </c>
      <c r="F99">
        <v>67.8</v>
      </c>
      <c r="G99">
        <v>67.8</v>
      </c>
      <c r="H99">
        <v>147.9</v>
      </c>
      <c r="I99">
        <v>344.9</v>
      </c>
      <c r="J99">
        <v>231.7</v>
      </c>
      <c r="K99">
        <v>200.8</v>
      </c>
      <c r="L99">
        <v>181.6</v>
      </c>
      <c r="M99">
        <v>162.5</v>
      </c>
      <c r="N99">
        <v>143.30000000000001</v>
      </c>
      <c r="O99">
        <v>124.2</v>
      </c>
      <c r="P99">
        <v>105</v>
      </c>
      <c r="Q99">
        <v>85.9</v>
      </c>
      <c r="R99">
        <v>84.6</v>
      </c>
      <c r="S99">
        <v>83.4</v>
      </c>
      <c r="T99">
        <v>82.2</v>
      </c>
      <c r="U99">
        <v>81</v>
      </c>
      <c r="V99">
        <v>79.8</v>
      </c>
      <c r="W99">
        <v>79.400000000000006</v>
      </c>
      <c r="X99">
        <v>79.099999999999994</v>
      </c>
      <c r="Y99">
        <v>78.8</v>
      </c>
      <c r="Z99">
        <v>78.400000000000006</v>
      </c>
      <c r="AA99">
        <v>78.099999999999994</v>
      </c>
      <c r="AB99">
        <v>77.599999999999994</v>
      </c>
      <c r="AC99">
        <v>77.099999999999994</v>
      </c>
      <c r="AD99">
        <v>76.599999999999994</v>
      </c>
      <c r="AE99">
        <v>76.099999999999994</v>
      </c>
      <c r="AF99">
        <v>75.599999999999994</v>
      </c>
      <c r="AG99">
        <v>75.5</v>
      </c>
      <c r="AH99">
        <v>75.400000000000006</v>
      </c>
      <c r="AI99">
        <v>75.3</v>
      </c>
      <c r="AJ99">
        <v>75.2</v>
      </c>
      <c r="AK99">
        <v>75.099999999999994</v>
      </c>
    </row>
    <row r="100" spans="1:87" x14ac:dyDescent="0.3">
      <c r="A100" s="4" t="s">
        <v>981</v>
      </c>
      <c r="B100" s="4" t="s">
        <v>1544</v>
      </c>
      <c r="C100" s="4" t="s">
        <v>1541</v>
      </c>
      <c r="D100">
        <v>47.2</v>
      </c>
      <c r="E100">
        <v>47.2</v>
      </c>
      <c r="F100">
        <v>47.2</v>
      </c>
      <c r="G100">
        <v>47.2</v>
      </c>
      <c r="H100">
        <v>75.5</v>
      </c>
      <c r="I100">
        <v>99.8</v>
      </c>
      <c r="J100">
        <v>88.8</v>
      </c>
      <c r="K100">
        <v>75.7</v>
      </c>
      <c r="L100">
        <v>77.7</v>
      </c>
      <c r="M100">
        <v>79.7</v>
      </c>
      <c r="N100">
        <v>81.7</v>
      </c>
      <c r="O100">
        <v>83.8</v>
      </c>
      <c r="P100">
        <v>85.8</v>
      </c>
      <c r="Q100">
        <v>87.8</v>
      </c>
      <c r="R100">
        <v>88.3</v>
      </c>
      <c r="S100">
        <v>88.7</v>
      </c>
      <c r="T100">
        <v>89.1</v>
      </c>
      <c r="U100">
        <v>89.5</v>
      </c>
      <c r="V100">
        <v>90</v>
      </c>
      <c r="W100">
        <v>90.8</v>
      </c>
      <c r="X100">
        <v>91.7</v>
      </c>
      <c r="Y100">
        <v>92.5</v>
      </c>
      <c r="Z100">
        <v>93.4</v>
      </c>
      <c r="AA100">
        <v>94.3</v>
      </c>
      <c r="AB100">
        <v>94.8</v>
      </c>
      <c r="AC100">
        <v>95.3</v>
      </c>
      <c r="AD100">
        <v>95.9</v>
      </c>
      <c r="AE100">
        <v>96.4</v>
      </c>
      <c r="AF100">
        <v>96.9</v>
      </c>
      <c r="AG100">
        <v>97.9</v>
      </c>
      <c r="AH100">
        <v>98.9</v>
      </c>
      <c r="AI100">
        <v>99.8</v>
      </c>
      <c r="AJ100">
        <v>100.8</v>
      </c>
      <c r="AK100">
        <v>101.8</v>
      </c>
    </row>
    <row r="101" spans="1:87" x14ac:dyDescent="0.3">
      <c r="A101" s="4" t="s">
        <v>981</v>
      </c>
      <c r="B101" s="4" t="s">
        <v>1544</v>
      </c>
      <c r="C101" s="4" t="s">
        <v>1546</v>
      </c>
      <c r="D101">
        <v>2.2000000000000002</v>
      </c>
      <c r="E101">
        <v>2.2000000000000002</v>
      </c>
      <c r="F101">
        <v>2.2000000000000002</v>
      </c>
      <c r="G101">
        <v>2.2000000000000002</v>
      </c>
      <c r="H101">
        <v>4.0999999999999996</v>
      </c>
      <c r="I101">
        <v>6.4</v>
      </c>
      <c r="J101">
        <v>6</v>
      </c>
      <c r="K101">
        <v>5.7</v>
      </c>
      <c r="L101">
        <v>5.4</v>
      </c>
      <c r="M101">
        <v>5.2</v>
      </c>
      <c r="N101">
        <v>5</v>
      </c>
      <c r="O101">
        <v>4.7</v>
      </c>
      <c r="P101">
        <v>4.5</v>
      </c>
      <c r="Q101">
        <v>4.3</v>
      </c>
      <c r="R101">
        <v>4.3</v>
      </c>
      <c r="S101">
        <v>4.3</v>
      </c>
      <c r="T101">
        <v>4.3</v>
      </c>
      <c r="U101">
        <v>4.4000000000000004</v>
      </c>
      <c r="V101">
        <v>4.4000000000000004</v>
      </c>
      <c r="W101">
        <v>4.4000000000000004</v>
      </c>
      <c r="X101">
        <v>4.4000000000000004</v>
      </c>
      <c r="Y101">
        <v>4.5</v>
      </c>
      <c r="Z101">
        <v>4.5</v>
      </c>
      <c r="AA101">
        <v>4.5</v>
      </c>
      <c r="AB101">
        <v>4.5</v>
      </c>
      <c r="AC101">
        <v>4.5</v>
      </c>
      <c r="AD101">
        <v>4.5999999999999996</v>
      </c>
      <c r="AE101">
        <v>4.5999999999999996</v>
      </c>
      <c r="AF101">
        <v>4.5999999999999996</v>
      </c>
      <c r="AG101">
        <v>4.7</v>
      </c>
      <c r="AH101">
        <v>4.8</v>
      </c>
      <c r="AI101">
        <v>4.9000000000000004</v>
      </c>
      <c r="AJ101">
        <v>4.9000000000000004</v>
      </c>
      <c r="AK101">
        <v>5</v>
      </c>
    </row>
    <row r="102" spans="1:87" x14ac:dyDescent="0.3">
      <c r="A102" s="4" t="s">
        <v>981</v>
      </c>
      <c r="B102" s="4" t="s">
        <v>1544</v>
      </c>
      <c r="C102" s="4" t="s">
        <v>1542</v>
      </c>
      <c r="D102">
        <v>47.2</v>
      </c>
      <c r="E102">
        <v>47.2</v>
      </c>
      <c r="F102">
        <v>47.2</v>
      </c>
      <c r="G102">
        <v>47.2</v>
      </c>
      <c r="H102">
        <v>75.5</v>
      </c>
      <c r="I102">
        <v>99.8</v>
      </c>
      <c r="J102">
        <v>88.8</v>
      </c>
      <c r="K102">
        <v>75.7</v>
      </c>
      <c r="L102">
        <v>77.7</v>
      </c>
      <c r="M102">
        <v>79.7</v>
      </c>
      <c r="N102">
        <v>81.7</v>
      </c>
      <c r="O102">
        <v>83.8</v>
      </c>
      <c r="P102">
        <v>85.8</v>
      </c>
      <c r="Q102">
        <v>87.8</v>
      </c>
      <c r="R102">
        <v>88.3</v>
      </c>
      <c r="S102">
        <v>88.7</v>
      </c>
      <c r="T102">
        <v>89.1</v>
      </c>
      <c r="U102">
        <v>89.5</v>
      </c>
      <c r="V102">
        <v>90</v>
      </c>
      <c r="W102">
        <v>90.8</v>
      </c>
      <c r="X102">
        <v>91.7</v>
      </c>
      <c r="Y102">
        <v>92.5</v>
      </c>
      <c r="Z102">
        <v>93.4</v>
      </c>
      <c r="AA102">
        <v>94.3</v>
      </c>
      <c r="AB102">
        <v>94.8</v>
      </c>
      <c r="AC102">
        <v>95.3</v>
      </c>
      <c r="AD102">
        <v>95.9</v>
      </c>
      <c r="AE102">
        <v>96.4</v>
      </c>
      <c r="AF102">
        <v>96.9</v>
      </c>
      <c r="AG102">
        <v>97.9</v>
      </c>
      <c r="AH102">
        <v>98.9</v>
      </c>
      <c r="AI102">
        <v>99.8</v>
      </c>
      <c r="AJ102">
        <v>100.8</v>
      </c>
      <c r="AK102">
        <v>101.8</v>
      </c>
    </row>
    <row r="103" spans="1:87" x14ac:dyDescent="0.3">
      <c r="A103" s="4" t="s">
        <v>1547</v>
      </c>
      <c r="B103" s="4" t="s">
        <v>1544</v>
      </c>
      <c r="C103" s="4" t="s">
        <v>1545</v>
      </c>
      <c r="D103">
        <v>67.8</v>
      </c>
      <c r="E103">
        <v>67.8</v>
      </c>
      <c r="F103">
        <v>67.8</v>
      </c>
      <c r="G103">
        <v>67.8</v>
      </c>
      <c r="H103">
        <v>147.9</v>
      </c>
      <c r="I103">
        <v>344.9</v>
      </c>
      <c r="J103">
        <v>231.7</v>
      </c>
      <c r="K103">
        <v>200.8</v>
      </c>
      <c r="L103">
        <v>177.4</v>
      </c>
      <c r="M103">
        <v>154</v>
      </c>
      <c r="N103">
        <v>130.5</v>
      </c>
      <c r="O103">
        <v>107.1</v>
      </c>
      <c r="P103">
        <v>83.7</v>
      </c>
      <c r="Q103">
        <v>60.3</v>
      </c>
      <c r="R103">
        <v>59.7</v>
      </c>
      <c r="S103">
        <v>59.2</v>
      </c>
      <c r="T103">
        <v>58.6</v>
      </c>
      <c r="U103">
        <v>58</v>
      </c>
      <c r="V103">
        <v>57.4</v>
      </c>
      <c r="W103">
        <v>56.8</v>
      </c>
      <c r="X103">
        <v>56.2</v>
      </c>
      <c r="Y103">
        <v>55.6</v>
      </c>
      <c r="Z103">
        <v>55</v>
      </c>
      <c r="AA103">
        <v>54.4</v>
      </c>
      <c r="AB103">
        <v>53.9</v>
      </c>
      <c r="AC103">
        <v>53.3</v>
      </c>
      <c r="AD103">
        <v>52.7</v>
      </c>
      <c r="AE103">
        <v>52.1</v>
      </c>
      <c r="AF103">
        <v>51.5</v>
      </c>
      <c r="AG103">
        <v>50.9</v>
      </c>
      <c r="AH103">
        <v>50.3</v>
      </c>
      <c r="AI103">
        <v>49.7</v>
      </c>
      <c r="AJ103">
        <v>49.1</v>
      </c>
      <c r="AK103">
        <v>48.6</v>
      </c>
    </row>
    <row r="104" spans="1:87" x14ac:dyDescent="0.3">
      <c r="A104" s="4" t="s">
        <v>1547</v>
      </c>
      <c r="B104" s="4" t="s">
        <v>1544</v>
      </c>
      <c r="C104" s="4" t="s">
        <v>1541</v>
      </c>
      <c r="D104">
        <v>47.2</v>
      </c>
      <c r="E104">
        <v>47.2</v>
      </c>
      <c r="F104">
        <v>47.2</v>
      </c>
      <c r="G104">
        <v>47.2</v>
      </c>
      <c r="H104">
        <v>75.5</v>
      </c>
      <c r="I104">
        <v>99.8</v>
      </c>
      <c r="J104">
        <v>88.8</v>
      </c>
      <c r="K104">
        <v>75.7</v>
      </c>
      <c r="L104">
        <v>68.900000000000006</v>
      </c>
      <c r="M104">
        <v>62.1</v>
      </c>
      <c r="N104">
        <v>55.3</v>
      </c>
      <c r="O104">
        <v>48.6</v>
      </c>
      <c r="P104">
        <v>41.8</v>
      </c>
      <c r="Q104">
        <v>35</v>
      </c>
      <c r="R104">
        <v>34.5</v>
      </c>
      <c r="S104">
        <v>33.9</v>
      </c>
      <c r="T104">
        <v>33.4</v>
      </c>
      <c r="U104">
        <v>32.799999999999997</v>
      </c>
      <c r="V104">
        <v>32.299999999999997</v>
      </c>
      <c r="W104">
        <v>31.7</v>
      </c>
      <c r="X104">
        <v>31.2</v>
      </c>
      <c r="Y104">
        <v>30.6</v>
      </c>
      <c r="Z104">
        <v>30.1</v>
      </c>
      <c r="AA104">
        <v>29.5</v>
      </c>
      <c r="AB104">
        <v>29</v>
      </c>
      <c r="AC104">
        <v>28.4</v>
      </c>
      <c r="AD104">
        <v>27.9</v>
      </c>
      <c r="AE104">
        <v>27.3</v>
      </c>
      <c r="AF104">
        <v>26.8</v>
      </c>
      <c r="AG104">
        <v>26.2</v>
      </c>
      <c r="AH104">
        <v>25.7</v>
      </c>
      <c r="AI104">
        <v>25.1</v>
      </c>
      <c r="AJ104">
        <v>24.6</v>
      </c>
      <c r="AK104">
        <v>24</v>
      </c>
    </row>
    <row r="105" spans="1:87" x14ac:dyDescent="0.3">
      <c r="A105" s="4" t="s">
        <v>1547</v>
      </c>
      <c r="B105" s="4" t="s">
        <v>1544</v>
      </c>
      <c r="C105" s="4" t="s">
        <v>1546</v>
      </c>
      <c r="D105">
        <v>2.2000000000000002</v>
      </c>
      <c r="E105">
        <v>2.2000000000000002</v>
      </c>
      <c r="F105">
        <v>2.2000000000000002</v>
      </c>
      <c r="G105">
        <v>2.2000000000000002</v>
      </c>
      <c r="H105">
        <v>4.0999999999999996</v>
      </c>
      <c r="I105">
        <v>6.4</v>
      </c>
      <c r="J105">
        <v>6</v>
      </c>
      <c r="K105">
        <v>5.7</v>
      </c>
      <c r="L105">
        <v>5.4</v>
      </c>
      <c r="M105">
        <v>5.0999999999999996</v>
      </c>
      <c r="N105">
        <v>4.8</v>
      </c>
      <c r="O105">
        <v>4.5</v>
      </c>
      <c r="P105">
        <v>4.2</v>
      </c>
      <c r="Q105">
        <v>4</v>
      </c>
      <c r="R105">
        <v>3.9</v>
      </c>
      <c r="S105">
        <v>3.8</v>
      </c>
      <c r="T105">
        <v>3.7</v>
      </c>
      <c r="U105">
        <v>3.6</v>
      </c>
      <c r="V105">
        <v>3.5</v>
      </c>
      <c r="W105">
        <v>3.4</v>
      </c>
      <c r="X105">
        <v>3.3</v>
      </c>
      <c r="Y105">
        <v>3.2</v>
      </c>
      <c r="Z105">
        <v>3.1</v>
      </c>
      <c r="AA105">
        <v>3</v>
      </c>
      <c r="AB105">
        <v>3</v>
      </c>
      <c r="AC105">
        <v>2.9</v>
      </c>
      <c r="AD105">
        <v>2.9</v>
      </c>
      <c r="AE105">
        <v>2.8</v>
      </c>
      <c r="AF105">
        <v>2.8</v>
      </c>
      <c r="AG105">
        <v>2.8</v>
      </c>
      <c r="AH105">
        <v>2.8</v>
      </c>
      <c r="AI105">
        <v>2.8</v>
      </c>
      <c r="AJ105">
        <v>2.8</v>
      </c>
      <c r="AK105">
        <v>2.8</v>
      </c>
    </row>
    <row r="106" spans="1:87" x14ac:dyDescent="0.3">
      <c r="A106" s="4" t="s">
        <v>1547</v>
      </c>
      <c r="B106" s="4" t="s">
        <v>1544</v>
      </c>
      <c r="C106" s="4" t="s">
        <v>1542</v>
      </c>
      <c r="D106">
        <v>47.2</v>
      </c>
      <c r="E106">
        <v>47.2</v>
      </c>
      <c r="F106">
        <v>47.2</v>
      </c>
      <c r="G106">
        <v>47.2</v>
      </c>
      <c r="H106">
        <v>75.5</v>
      </c>
      <c r="I106">
        <v>99.8</v>
      </c>
      <c r="J106">
        <v>88.8</v>
      </c>
      <c r="K106">
        <v>75.7</v>
      </c>
      <c r="L106">
        <v>68.900000000000006</v>
      </c>
      <c r="M106">
        <v>62.1</v>
      </c>
      <c r="N106">
        <v>55.3</v>
      </c>
      <c r="O106">
        <v>48.6</v>
      </c>
      <c r="P106">
        <v>41.8</v>
      </c>
      <c r="Q106">
        <v>35</v>
      </c>
      <c r="R106">
        <v>34.5</v>
      </c>
      <c r="S106">
        <v>33.9</v>
      </c>
      <c r="T106">
        <v>33.4</v>
      </c>
      <c r="U106">
        <v>32.799999999999997</v>
      </c>
      <c r="V106">
        <v>32.299999999999997</v>
      </c>
      <c r="W106">
        <v>31.7</v>
      </c>
      <c r="X106">
        <v>31.2</v>
      </c>
      <c r="Y106">
        <v>30.6</v>
      </c>
      <c r="Z106">
        <v>30.1</v>
      </c>
      <c r="AA106">
        <v>29.5</v>
      </c>
      <c r="AB106">
        <v>29</v>
      </c>
      <c r="AC106">
        <v>28.4</v>
      </c>
      <c r="AD106">
        <v>27.9</v>
      </c>
      <c r="AE106">
        <v>27.3</v>
      </c>
      <c r="AF106">
        <v>26.8</v>
      </c>
      <c r="AG106">
        <v>26.2</v>
      </c>
      <c r="AH106">
        <v>25.7</v>
      </c>
      <c r="AI106">
        <v>25.1</v>
      </c>
      <c r="AJ106">
        <v>24.6</v>
      </c>
      <c r="AK106">
        <v>24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08AF-EF60-44AF-80B6-8F5C83B2BD92}">
  <dimension ref="A1:D27"/>
  <sheetViews>
    <sheetView workbookViewId="0"/>
  </sheetViews>
  <sheetFormatPr baseColWidth="10" defaultRowHeight="14.4" x14ac:dyDescent="0.3"/>
  <sheetData>
    <row r="1" spans="1:4" x14ac:dyDescent="0.3">
      <c r="B1" s="4" t="s">
        <v>1711</v>
      </c>
      <c r="C1" s="4" t="s">
        <v>1712</v>
      </c>
      <c r="D1" s="4" t="s">
        <v>1713</v>
      </c>
    </row>
    <row r="2" spans="1:4" x14ac:dyDescent="0.3">
      <c r="A2" s="4" t="s">
        <v>1685</v>
      </c>
      <c r="B2">
        <v>3050.6235861154246</v>
      </c>
      <c r="C2">
        <v>59.096226079569682</v>
      </c>
      <c r="D2">
        <v>8.4521864496042038</v>
      </c>
    </row>
    <row r="3" spans="1:4" x14ac:dyDescent="0.3">
      <c r="A3" s="4" t="s">
        <v>1686</v>
      </c>
      <c r="B3">
        <v>54811.846864931773</v>
      </c>
      <c r="C3">
        <v>1654.6855983094483</v>
      </c>
      <c r="D3">
        <v>260.61363873986789</v>
      </c>
    </row>
    <row r="4" spans="1:4" x14ac:dyDescent="0.3">
      <c r="A4" s="4" t="s">
        <v>1687</v>
      </c>
      <c r="B4">
        <v>29196.871436666068</v>
      </c>
      <c r="C4">
        <v>780.10823878223152</v>
      </c>
      <c r="D4">
        <v>221.48257221736702</v>
      </c>
    </row>
    <row r="5" spans="1:4" x14ac:dyDescent="0.3">
      <c r="A5" s="4" t="s">
        <v>1688</v>
      </c>
      <c r="B5">
        <v>7161.5304975236868</v>
      </c>
      <c r="C5">
        <v>182.213966270475</v>
      </c>
      <c r="D5">
        <v>57.815429027230145</v>
      </c>
    </row>
    <row r="6" spans="1:4" x14ac:dyDescent="0.3">
      <c r="A6" s="4" t="s">
        <v>1689</v>
      </c>
      <c r="B6">
        <v>1735.7033555764212</v>
      </c>
      <c r="C6">
        <v>49.446609405416439</v>
      </c>
      <c r="D6">
        <v>94.509176915198935</v>
      </c>
    </row>
    <row r="7" spans="1:4" x14ac:dyDescent="0.3">
      <c r="A7" s="4" t="s">
        <v>1690</v>
      </c>
      <c r="B7">
        <v>804.46792775485596</v>
      </c>
      <c r="C7">
        <v>23.555476354297102</v>
      </c>
      <c r="D7">
        <v>10.394503504269565</v>
      </c>
    </row>
    <row r="8" spans="1:4" x14ac:dyDescent="0.3">
      <c r="A8" s="4" t="s">
        <v>1691</v>
      </c>
      <c r="B8">
        <v>2050.0340275989297</v>
      </c>
      <c r="C8">
        <v>60.26653630136196</v>
      </c>
      <c r="D8">
        <v>26.181829896987178</v>
      </c>
    </row>
    <row r="9" spans="1:4" x14ac:dyDescent="0.3">
      <c r="A9" s="4" t="s">
        <v>1692</v>
      </c>
      <c r="B9">
        <v>1636.5854447750471</v>
      </c>
      <c r="C9">
        <v>67.914580068888213</v>
      </c>
      <c r="D9">
        <v>49.609797356028992</v>
      </c>
    </row>
    <row r="10" spans="1:4" x14ac:dyDescent="0.3">
      <c r="A10" s="4" t="s">
        <v>1693</v>
      </c>
      <c r="B10">
        <v>112.53815448229166</v>
      </c>
      <c r="C10">
        <v>3.6015898359716281</v>
      </c>
      <c r="D10">
        <v>4.5186149473080999</v>
      </c>
    </row>
    <row r="11" spans="1:4" x14ac:dyDescent="0.3">
      <c r="A11" s="4" t="s">
        <v>1694</v>
      </c>
      <c r="B11">
        <v>854.56975729615579</v>
      </c>
      <c r="C11">
        <v>63.657426639005251</v>
      </c>
      <c r="D11">
        <v>55.292930313969705</v>
      </c>
    </row>
    <row r="12" spans="1:4" x14ac:dyDescent="0.3">
      <c r="A12" s="4" t="s">
        <v>1695</v>
      </c>
      <c r="B12">
        <v>14182.891602929602</v>
      </c>
      <c r="C12">
        <v>948.52579930133095</v>
      </c>
      <c r="D12">
        <v>770.00320013063595</v>
      </c>
    </row>
    <row r="13" spans="1:4" x14ac:dyDescent="0.3">
      <c r="A13" s="4" t="s">
        <v>1696</v>
      </c>
      <c r="B13">
        <v>179.66245623282325</v>
      </c>
      <c r="C13">
        <v>5.7707742032938452</v>
      </c>
      <c r="D13">
        <v>5.9869458077836928</v>
      </c>
    </row>
    <row r="14" spans="1:4" x14ac:dyDescent="0.3">
      <c r="A14" s="4" t="s">
        <v>1697</v>
      </c>
      <c r="B14">
        <v>255.36808621695224</v>
      </c>
      <c r="C14">
        <v>9.6187722529240105</v>
      </c>
      <c r="D14">
        <v>5.3394818133005089</v>
      </c>
    </row>
    <row r="15" spans="1:4" x14ac:dyDescent="0.3">
      <c r="A15" s="4" t="s">
        <v>1698</v>
      </c>
      <c r="B15">
        <v>1051.0659640402966</v>
      </c>
      <c r="C15">
        <v>88.072509678192162</v>
      </c>
      <c r="D15">
        <v>24.1978738773456</v>
      </c>
    </row>
    <row r="16" spans="1:4" x14ac:dyDescent="0.3">
      <c r="A16" s="4" t="s">
        <v>1699</v>
      </c>
      <c r="B16">
        <v>2166.6471328755852</v>
      </c>
      <c r="C16">
        <v>131.32672089068359</v>
      </c>
      <c r="D16">
        <v>161.52435906638536</v>
      </c>
    </row>
    <row r="17" spans="1:4" x14ac:dyDescent="0.3">
      <c r="A17" s="4" t="s">
        <v>1700</v>
      </c>
      <c r="B17">
        <v>1767.2439969707141</v>
      </c>
      <c r="C17">
        <v>167.17424152650804</v>
      </c>
      <c r="D17">
        <v>110.26352541652855</v>
      </c>
    </row>
    <row r="18" spans="1:4" x14ac:dyDescent="0.3">
      <c r="A18" s="4" t="s">
        <v>1701</v>
      </c>
      <c r="B18">
        <v>5997.721922500541</v>
      </c>
      <c r="C18">
        <v>47.303026887652862</v>
      </c>
      <c r="D18">
        <v>544.32321875337311</v>
      </c>
    </row>
    <row r="19" spans="1:4" x14ac:dyDescent="0.3">
      <c r="A19" s="4" t="s">
        <v>1702</v>
      </c>
      <c r="B19">
        <v>991.82956454485725</v>
      </c>
      <c r="C19">
        <v>57.989452118154325</v>
      </c>
      <c r="D19">
        <v>54.844916043945965</v>
      </c>
    </row>
    <row r="20" spans="1:4" x14ac:dyDescent="0.3">
      <c r="A20" s="4" t="s">
        <v>1703</v>
      </c>
      <c r="B20">
        <v>3050.6235861154246</v>
      </c>
      <c r="C20">
        <v>59.096226079569682</v>
      </c>
      <c r="D20">
        <v>8.4521864496042038</v>
      </c>
    </row>
    <row r="21" spans="1:4" x14ac:dyDescent="0.3">
      <c r="A21" s="4" t="s">
        <v>1704</v>
      </c>
      <c r="B21">
        <v>47616.198461565255</v>
      </c>
      <c r="C21">
        <v>36.330067852212927</v>
      </c>
      <c r="D21">
        <v>13.129394291192765</v>
      </c>
    </row>
    <row r="22" spans="1:4" x14ac:dyDescent="0.3">
      <c r="A22" s="4" t="s">
        <v>1705</v>
      </c>
      <c r="B22">
        <v>10844.520416769474</v>
      </c>
      <c r="C22">
        <v>294.96530473357558</v>
      </c>
      <c r="D22">
        <v>70.732296297949816</v>
      </c>
    </row>
    <row r="23" spans="1:4" x14ac:dyDescent="0.3">
      <c r="A23" s="4" t="s">
        <v>1706</v>
      </c>
      <c r="B23">
        <v>2078.1626254730509</v>
      </c>
      <c r="C23">
        <v>29.01844324710633</v>
      </c>
      <c r="D23">
        <v>14.878629876245709</v>
      </c>
    </row>
    <row r="24" spans="1:4" x14ac:dyDescent="0.3">
      <c r="A24" s="4" t="s">
        <v>1707</v>
      </c>
      <c r="B24">
        <v>488.29837817182897</v>
      </c>
      <c r="C24">
        <v>25.046896907486715</v>
      </c>
      <c r="D24">
        <v>20.593550157823483</v>
      </c>
    </row>
    <row r="25" spans="1:4" x14ac:dyDescent="0.3">
      <c r="A25" s="4" t="s">
        <v>1708</v>
      </c>
      <c r="B25">
        <v>1225.9809739123566</v>
      </c>
      <c r="C25">
        <v>77.30121032613927</v>
      </c>
      <c r="D25">
        <v>61.969271113449381</v>
      </c>
    </row>
    <row r="26" spans="1:4" x14ac:dyDescent="0.3">
      <c r="A26" s="4" t="s">
        <v>1709</v>
      </c>
      <c r="B26">
        <v>504.01821709558385</v>
      </c>
      <c r="C26">
        <v>24.320234994268123</v>
      </c>
      <c r="D26">
        <v>16.920865080201761</v>
      </c>
    </row>
    <row r="27" spans="1:4" x14ac:dyDescent="0.3">
      <c r="A27" s="4" t="s">
        <v>1710</v>
      </c>
      <c r="B27">
        <v>3395</v>
      </c>
      <c r="C27">
        <v>92.39</v>
      </c>
      <c r="D27">
        <v>101.67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S253"/>
  <sheetViews>
    <sheetView workbookViewId="0">
      <selection activeCell="C20" sqref="C20"/>
    </sheetView>
  </sheetViews>
  <sheetFormatPr baseColWidth="10" defaultColWidth="10.88671875" defaultRowHeight="14.4" x14ac:dyDescent="0.3"/>
  <cols>
    <col min="1" max="1" width="27.5546875" customWidth="1"/>
  </cols>
  <sheetData>
    <row r="1" spans="1:253" x14ac:dyDescent="0.3">
      <c r="B1" s="4" t="s">
        <v>1548</v>
      </c>
      <c r="C1" s="4" t="s">
        <v>1549</v>
      </c>
      <c r="D1" s="4" t="s">
        <v>1550</v>
      </c>
      <c r="E1" s="4" t="s">
        <v>1551</v>
      </c>
      <c r="F1" s="4" t="s">
        <v>1552</v>
      </c>
      <c r="G1" s="4" t="s">
        <v>1553</v>
      </c>
      <c r="H1" s="4" t="s">
        <v>1554</v>
      </c>
      <c r="I1" s="4" t="s">
        <v>1555</v>
      </c>
      <c r="J1" s="4" t="s">
        <v>1556</v>
      </c>
      <c r="K1" s="4" t="s">
        <v>1557</v>
      </c>
      <c r="L1" s="4" t="s">
        <v>1558</v>
      </c>
      <c r="M1" s="4" t="s">
        <v>1559</v>
      </c>
      <c r="N1" s="4" t="s">
        <v>1560</v>
      </c>
      <c r="O1" s="4" t="s">
        <v>1561</v>
      </c>
      <c r="P1" s="4" t="s">
        <v>1562</v>
      </c>
      <c r="Q1" s="4" t="s">
        <v>1563</v>
      </c>
      <c r="R1" s="4" t="s">
        <v>1564</v>
      </c>
      <c r="S1" s="4" t="s">
        <v>1565</v>
      </c>
      <c r="T1" s="4" t="s">
        <v>1566</v>
      </c>
      <c r="U1" s="4" t="s">
        <v>1567</v>
      </c>
      <c r="V1" s="4" t="s">
        <v>1568</v>
      </c>
      <c r="W1" s="4" t="s">
        <v>1569</v>
      </c>
      <c r="X1" s="4" t="s">
        <v>1570</v>
      </c>
      <c r="Y1" s="4" t="s">
        <v>1571</v>
      </c>
      <c r="Z1" s="4" t="s">
        <v>1572</v>
      </c>
      <c r="AA1" s="4" t="s">
        <v>1573</v>
      </c>
      <c r="AB1" s="4" t="s">
        <v>1574</v>
      </c>
      <c r="AC1" s="4" t="s">
        <v>1575</v>
      </c>
      <c r="AD1" s="4" t="s">
        <v>1576</v>
      </c>
      <c r="AE1" s="4" t="s">
        <v>1577</v>
      </c>
      <c r="AF1" s="4" t="s">
        <v>1578</v>
      </c>
      <c r="AG1" s="4" t="s">
        <v>1579</v>
      </c>
      <c r="AH1" s="4" t="s">
        <v>1580</v>
      </c>
      <c r="AI1" s="4" t="s">
        <v>1581</v>
      </c>
      <c r="AJ1" s="4" t="s">
        <v>1582</v>
      </c>
      <c r="AK1" s="4" t="s">
        <v>1583</v>
      </c>
      <c r="AL1" s="4" t="s">
        <v>1584</v>
      </c>
      <c r="AM1" s="4" t="s">
        <v>1585</v>
      </c>
      <c r="AN1" s="4" t="s">
        <v>1586</v>
      </c>
      <c r="AO1" s="4" t="s">
        <v>1587</v>
      </c>
      <c r="AP1" s="4" t="s">
        <v>1588</v>
      </c>
      <c r="AQ1" s="4" t="s">
        <v>1589</v>
      </c>
      <c r="AR1" s="4" t="s">
        <v>1590</v>
      </c>
      <c r="AS1" s="4" t="s">
        <v>1591</v>
      </c>
      <c r="AT1" s="4" t="s">
        <v>1592</v>
      </c>
      <c r="AU1" s="4" t="s">
        <v>511</v>
      </c>
      <c r="AV1" s="4" t="s">
        <v>512</v>
      </c>
      <c r="AW1" s="4" t="s">
        <v>513</v>
      </c>
      <c r="AX1" s="4" t="s">
        <v>514</v>
      </c>
      <c r="AY1" s="4" t="s">
        <v>515</v>
      </c>
      <c r="AZ1" s="4" t="s">
        <v>516</v>
      </c>
      <c r="BA1" s="4" t="s">
        <v>517</v>
      </c>
      <c r="BB1" s="4" t="s">
        <v>518</v>
      </c>
      <c r="BC1" s="4" t="s">
        <v>519</v>
      </c>
      <c r="BD1" s="4" t="s">
        <v>520</v>
      </c>
      <c r="BE1" s="4" t="s">
        <v>521</v>
      </c>
      <c r="BF1" s="4" t="s">
        <v>522</v>
      </c>
      <c r="BG1" s="4" t="s">
        <v>1593</v>
      </c>
      <c r="BH1" s="4" t="s">
        <v>1594</v>
      </c>
      <c r="BI1" s="4" t="s">
        <v>1595</v>
      </c>
      <c r="BJ1" s="4" t="s">
        <v>1596</v>
      </c>
      <c r="BK1" s="4" t="s">
        <v>1597</v>
      </c>
      <c r="BL1" s="4" t="s">
        <v>1598</v>
      </c>
      <c r="BM1" s="4" t="s">
        <v>1599</v>
      </c>
      <c r="BN1" s="4" t="s">
        <v>1600</v>
      </c>
      <c r="BO1" s="4" t="s">
        <v>1601</v>
      </c>
      <c r="BP1" s="4" t="s">
        <v>1602</v>
      </c>
      <c r="BQ1" s="4" t="s">
        <v>1603</v>
      </c>
      <c r="BR1" s="4" t="s">
        <v>1604</v>
      </c>
      <c r="BS1" s="4" t="s">
        <v>1605</v>
      </c>
      <c r="BT1" s="4" t="s">
        <v>1606</v>
      </c>
      <c r="BU1" s="4" t="s">
        <v>1607</v>
      </c>
      <c r="BV1" s="4" t="s">
        <v>1608</v>
      </c>
      <c r="BW1" s="4" t="s">
        <v>1609</v>
      </c>
      <c r="BX1" s="4" t="s">
        <v>1610</v>
      </c>
      <c r="BY1" s="4" t="s">
        <v>1611</v>
      </c>
      <c r="BZ1" s="4" t="s">
        <v>1180</v>
      </c>
      <c r="CA1" s="4" t="s">
        <v>1191</v>
      </c>
      <c r="CB1" s="4" t="s">
        <v>1132</v>
      </c>
      <c r="CC1" s="4" t="s">
        <v>1612</v>
      </c>
      <c r="CD1" s="4" t="s">
        <v>1613</v>
      </c>
      <c r="CE1" s="4" t="s">
        <v>1614</v>
      </c>
      <c r="CF1" s="4" t="s">
        <v>1615</v>
      </c>
      <c r="CG1" s="4" t="s">
        <v>1616</v>
      </c>
      <c r="CH1" s="4" t="s">
        <v>1617</v>
      </c>
      <c r="CI1" s="4" t="s">
        <v>1618</v>
      </c>
      <c r="CJ1" s="4" t="s">
        <v>1619</v>
      </c>
      <c r="CK1" s="4" t="s">
        <v>1620</v>
      </c>
      <c r="CL1" s="4" t="s">
        <v>1621</v>
      </c>
      <c r="CM1" s="4" t="s">
        <v>1622</v>
      </c>
      <c r="CN1" s="4" t="s">
        <v>1623</v>
      </c>
      <c r="CO1" s="4" t="s">
        <v>1624</v>
      </c>
      <c r="CP1" s="4" t="s">
        <v>1625</v>
      </c>
      <c r="CQ1" s="4" t="s">
        <v>1626</v>
      </c>
      <c r="CR1" s="4" t="s">
        <v>1627</v>
      </c>
      <c r="CS1" s="4" t="s">
        <v>1628</v>
      </c>
      <c r="CT1" s="4" t="s">
        <v>1629</v>
      </c>
      <c r="CU1" s="4" t="s">
        <v>1630</v>
      </c>
      <c r="CV1" s="4" t="s">
        <v>1631</v>
      </c>
      <c r="CW1" s="4" t="s">
        <v>1632</v>
      </c>
      <c r="CX1" s="4" t="s">
        <v>1633</v>
      </c>
      <c r="CY1" s="4" t="s">
        <v>1634</v>
      </c>
      <c r="CZ1" s="4" t="s">
        <v>1635</v>
      </c>
      <c r="DA1" s="4" t="s">
        <v>1636</v>
      </c>
      <c r="DB1" s="4" t="s">
        <v>1637</v>
      </c>
      <c r="DC1" s="4" t="s">
        <v>1638</v>
      </c>
      <c r="DD1" s="4" t="s">
        <v>1639</v>
      </c>
      <c r="DE1" s="4" t="s">
        <v>1640</v>
      </c>
      <c r="DF1" s="4" t="s">
        <v>1641</v>
      </c>
      <c r="DG1" s="4" t="s">
        <v>1642</v>
      </c>
      <c r="DH1" s="4" t="s">
        <v>1643</v>
      </c>
      <c r="DI1" s="4" t="s">
        <v>1644</v>
      </c>
      <c r="DJ1" s="4" t="s">
        <v>1645</v>
      </c>
      <c r="DK1" s="4" t="s">
        <v>1646</v>
      </c>
      <c r="DL1" s="4" t="s">
        <v>1647</v>
      </c>
      <c r="DM1" s="4" t="s">
        <v>1648</v>
      </c>
      <c r="DN1" s="4" t="s">
        <v>1649</v>
      </c>
      <c r="DO1" s="4" t="s">
        <v>1650</v>
      </c>
      <c r="DP1" s="4" t="s">
        <v>1651</v>
      </c>
      <c r="DQ1" s="4" t="s">
        <v>1652</v>
      </c>
      <c r="DR1" s="4" t="s">
        <v>1653</v>
      </c>
      <c r="DS1" s="4" t="s">
        <v>1654</v>
      </c>
      <c r="DT1" s="4" t="s">
        <v>1655</v>
      </c>
      <c r="DU1" s="4" t="s">
        <v>1656</v>
      </c>
      <c r="DV1" s="4" t="s">
        <v>587</v>
      </c>
      <c r="DW1" s="4" t="s">
        <v>588</v>
      </c>
      <c r="DX1" s="4" t="s">
        <v>589</v>
      </c>
      <c r="DY1" s="4" t="s">
        <v>590</v>
      </c>
      <c r="DZ1" s="4" t="s">
        <v>591</v>
      </c>
      <c r="EA1" s="4" t="s">
        <v>592</v>
      </c>
      <c r="EB1" s="4" t="s">
        <v>593</v>
      </c>
      <c r="EC1" s="4" t="s">
        <v>594</v>
      </c>
      <c r="ED1" s="4" t="s">
        <v>595</v>
      </c>
      <c r="EE1" s="4" t="s">
        <v>596</v>
      </c>
      <c r="EF1" s="4" t="s">
        <v>597</v>
      </c>
      <c r="EG1" s="4" t="s">
        <v>598</v>
      </c>
      <c r="EH1" s="4" t="s">
        <v>1657</v>
      </c>
      <c r="EI1" s="4" t="s">
        <v>1658</v>
      </c>
      <c r="EJ1" s="4" t="s">
        <v>1659</v>
      </c>
      <c r="EK1" s="4" t="s">
        <v>1660</v>
      </c>
      <c r="EL1" s="4" t="s">
        <v>1661</v>
      </c>
      <c r="EM1" s="4" t="s">
        <v>1662</v>
      </c>
      <c r="EN1" s="4" t="s">
        <v>1663</v>
      </c>
      <c r="EO1" s="4" t="s">
        <v>1664</v>
      </c>
      <c r="EP1" s="4" t="s">
        <v>1665</v>
      </c>
      <c r="EQ1" s="4" t="s">
        <v>1666</v>
      </c>
      <c r="ER1" s="4" t="s">
        <v>1667</v>
      </c>
      <c r="ES1" s="4" t="s">
        <v>1668</v>
      </c>
      <c r="ET1" s="4" t="s">
        <v>1669</v>
      </c>
      <c r="EU1" s="4" t="s">
        <v>1670</v>
      </c>
      <c r="EV1" s="4" t="s">
        <v>1671</v>
      </c>
      <c r="EW1" s="4" t="s">
        <v>1672</v>
      </c>
      <c r="EX1" s="4" t="s">
        <v>1673</v>
      </c>
      <c r="EY1" s="4" t="s">
        <v>1674</v>
      </c>
      <c r="EZ1" s="4" t="s">
        <v>1675</v>
      </c>
      <c r="FA1" s="4" t="s">
        <v>1181</v>
      </c>
      <c r="FB1" s="4" t="s">
        <v>1192</v>
      </c>
      <c r="FC1" s="4" t="s">
        <v>1133</v>
      </c>
      <c r="FD1" s="4" t="s">
        <v>622</v>
      </c>
      <c r="FE1" s="4" t="s">
        <v>623</v>
      </c>
      <c r="FF1" s="4" t="s">
        <v>624</v>
      </c>
      <c r="FG1" s="4" t="s">
        <v>625</v>
      </c>
      <c r="FH1" s="4" t="s">
        <v>626</v>
      </c>
      <c r="FI1" s="4" t="s">
        <v>627</v>
      </c>
      <c r="FJ1" s="4" t="s">
        <v>621</v>
      </c>
      <c r="FK1" s="4" t="s">
        <v>628</v>
      </c>
      <c r="FL1" s="4" t="s">
        <v>994</v>
      </c>
      <c r="FM1" s="4" t="s">
        <v>995</v>
      </c>
      <c r="FN1" s="4" t="s">
        <v>996</v>
      </c>
      <c r="FO1" s="4" t="s">
        <v>997</v>
      </c>
      <c r="FP1" s="4" t="s">
        <v>998</v>
      </c>
      <c r="FQ1" s="4" t="s">
        <v>999</v>
      </c>
      <c r="FR1" s="4" t="s">
        <v>1000</v>
      </c>
      <c r="FS1" s="4" t="s">
        <v>1001</v>
      </c>
      <c r="FT1" s="4" t="s">
        <v>1002</v>
      </c>
      <c r="FU1" s="4" t="s">
        <v>1003</v>
      </c>
      <c r="FV1" s="4" t="s">
        <v>1004</v>
      </c>
      <c r="FW1" s="4" t="s">
        <v>1005</v>
      </c>
      <c r="FX1" s="4" t="s">
        <v>1006</v>
      </c>
      <c r="FY1" s="4" t="s">
        <v>1007</v>
      </c>
      <c r="FZ1" s="4" t="s">
        <v>1008</v>
      </c>
      <c r="GA1" s="4" t="s">
        <v>1009</v>
      </c>
      <c r="GB1" s="4" t="s">
        <v>1010</v>
      </c>
      <c r="GC1" s="4" t="s">
        <v>1011</v>
      </c>
      <c r="GD1" s="4" t="s">
        <v>1206</v>
      </c>
      <c r="GE1" s="4" t="s">
        <v>1676</v>
      </c>
      <c r="GF1" s="4" t="s">
        <v>1677</v>
      </c>
      <c r="GG1" s="4" t="s">
        <v>1678</v>
      </c>
      <c r="GH1" s="4" t="s">
        <v>1679</v>
      </c>
      <c r="GI1" s="4" t="s">
        <v>1372</v>
      </c>
      <c r="GJ1" s="4" t="s">
        <v>1377</v>
      </c>
      <c r="GK1" s="4" t="s">
        <v>1373</v>
      </c>
      <c r="GL1" s="4" t="s">
        <v>1389</v>
      </c>
      <c r="GM1" s="4" t="s">
        <v>1374</v>
      </c>
      <c r="GN1" s="4" t="s">
        <v>1378</v>
      </c>
      <c r="GO1" s="4" t="s">
        <v>1375</v>
      </c>
      <c r="GP1" s="4" t="s">
        <v>1379</v>
      </c>
      <c r="GQ1" s="4" t="s">
        <v>1376</v>
      </c>
      <c r="GR1" s="4" t="s">
        <v>1393</v>
      </c>
      <c r="GS1" s="4" t="s">
        <v>961</v>
      </c>
      <c r="GT1" s="4" t="s">
        <v>962</v>
      </c>
      <c r="GU1" s="4" t="s">
        <v>963</v>
      </c>
      <c r="GV1" s="4" t="s">
        <v>964</v>
      </c>
      <c r="GW1" s="4" t="s">
        <v>965</v>
      </c>
      <c r="GX1" s="4" t="s">
        <v>966</v>
      </c>
      <c r="GY1" s="4" t="s">
        <v>967</v>
      </c>
      <c r="GZ1" s="4" t="s">
        <v>968</v>
      </c>
      <c r="HA1" s="4" t="s">
        <v>1120</v>
      </c>
      <c r="HB1" s="4" t="s">
        <v>1030</v>
      </c>
      <c r="HC1" s="4" t="s">
        <v>1031</v>
      </c>
      <c r="HD1" s="4" t="s">
        <v>1032</v>
      </c>
      <c r="HE1" s="4" t="s">
        <v>1033</v>
      </c>
      <c r="HF1" s="4" t="s">
        <v>1034</v>
      </c>
      <c r="HG1" s="4" t="s">
        <v>1035</v>
      </c>
      <c r="HH1" s="4" t="s">
        <v>1036</v>
      </c>
      <c r="HI1" s="4" t="s">
        <v>1037</v>
      </c>
      <c r="HJ1" s="4" t="s">
        <v>1038</v>
      </c>
      <c r="HK1" s="4" t="s">
        <v>1039</v>
      </c>
      <c r="HL1" s="4" t="s">
        <v>1040</v>
      </c>
      <c r="HM1" s="4" t="s">
        <v>1041</v>
      </c>
      <c r="HN1" s="4" t="s">
        <v>1042</v>
      </c>
      <c r="HO1" s="4" t="s">
        <v>1043</v>
      </c>
      <c r="HP1" s="4" t="s">
        <v>1044</v>
      </c>
      <c r="HQ1" s="4" t="s">
        <v>1045</v>
      </c>
      <c r="HR1" s="4" t="s">
        <v>1046</v>
      </c>
      <c r="HS1" s="4" t="s">
        <v>1251</v>
      </c>
      <c r="HT1" s="4" t="s">
        <v>1680</v>
      </c>
      <c r="HU1" s="4" t="s">
        <v>1681</v>
      </c>
      <c r="HV1" s="4" t="s">
        <v>1682</v>
      </c>
      <c r="HW1" s="4" t="s">
        <v>1683</v>
      </c>
      <c r="HX1" s="4" t="s">
        <v>1380</v>
      </c>
      <c r="HY1" s="4" t="s">
        <v>1385</v>
      </c>
      <c r="HZ1" s="4" t="s">
        <v>1381</v>
      </c>
      <c r="IA1" s="4" t="s">
        <v>1392</v>
      </c>
      <c r="IB1" s="4" t="s">
        <v>1382</v>
      </c>
      <c r="IC1" s="4" t="s">
        <v>1386</v>
      </c>
      <c r="ID1" s="4" t="s">
        <v>1383</v>
      </c>
      <c r="IE1" s="4" t="s">
        <v>1387</v>
      </c>
      <c r="IF1" s="4" t="s">
        <v>1384</v>
      </c>
      <c r="IG1" s="4" t="s">
        <v>1394</v>
      </c>
      <c r="IH1" s="4" t="s">
        <v>973</v>
      </c>
      <c r="II1" s="4" t="s">
        <v>971</v>
      </c>
      <c r="IJ1" s="4" t="s">
        <v>972</v>
      </c>
      <c r="IK1" s="4" t="s">
        <v>970</v>
      </c>
      <c r="IL1" s="4" t="s">
        <v>969</v>
      </c>
      <c r="IM1" s="4" t="s">
        <v>629</v>
      </c>
      <c r="IN1" s="4" t="s">
        <v>630</v>
      </c>
      <c r="IO1" s="4" t="s">
        <v>631</v>
      </c>
      <c r="IP1" s="4" t="s">
        <v>1684</v>
      </c>
      <c r="IQ1" s="4" t="s">
        <v>633</v>
      </c>
      <c r="IR1" s="4" t="s">
        <v>632</v>
      </c>
      <c r="IS1" s="4" t="s">
        <v>635</v>
      </c>
    </row>
    <row r="2" spans="1:253" x14ac:dyDescent="0.3">
      <c r="A2" s="4" t="s">
        <v>1548</v>
      </c>
      <c r="CC2">
        <v>5.4834795369623039</v>
      </c>
    </row>
    <row r="3" spans="1:253" x14ac:dyDescent="0.3">
      <c r="A3" s="4" t="s">
        <v>1549</v>
      </c>
      <c r="CD3">
        <v>653.83404807315287</v>
      </c>
    </row>
    <row r="4" spans="1:253" x14ac:dyDescent="0.3">
      <c r="A4" s="4" t="s">
        <v>1550</v>
      </c>
      <c r="CE4">
        <v>193.01873158037003</v>
      </c>
    </row>
    <row r="5" spans="1:253" x14ac:dyDescent="0.3">
      <c r="A5" s="4" t="s">
        <v>1551</v>
      </c>
      <c r="CF5">
        <v>11175.346718048084</v>
      </c>
    </row>
    <row r="6" spans="1:253" x14ac:dyDescent="0.3">
      <c r="A6" s="4" t="s">
        <v>1552</v>
      </c>
      <c r="CG6">
        <v>101.08824444691643</v>
      </c>
    </row>
    <row r="7" spans="1:253" x14ac:dyDescent="0.3">
      <c r="A7" s="4" t="s">
        <v>1553</v>
      </c>
      <c r="G7">
        <v>9.9999999999999995E-21</v>
      </c>
    </row>
    <row r="8" spans="1:253" x14ac:dyDescent="0.3">
      <c r="A8" s="4" t="s">
        <v>1554</v>
      </c>
      <c r="H8">
        <v>9.9999999999999995E-21</v>
      </c>
    </row>
    <row r="9" spans="1:253" x14ac:dyDescent="0.3">
      <c r="A9" s="4" t="s">
        <v>1555</v>
      </c>
      <c r="CJ9">
        <v>13.148827829884082</v>
      </c>
    </row>
    <row r="10" spans="1:253" x14ac:dyDescent="0.3">
      <c r="A10" s="4" t="s">
        <v>1556</v>
      </c>
      <c r="CK10">
        <v>3819.6000830465291</v>
      </c>
    </row>
    <row r="11" spans="1:253" x14ac:dyDescent="0.3">
      <c r="A11" s="4" t="s">
        <v>1557</v>
      </c>
      <c r="CL11">
        <v>1054.753231387866</v>
      </c>
    </row>
    <row r="12" spans="1:253" x14ac:dyDescent="0.3">
      <c r="A12" s="4" t="s">
        <v>1558</v>
      </c>
      <c r="CM12">
        <v>744.83319145635357</v>
      </c>
    </row>
    <row r="13" spans="1:253" x14ac:dyDescent="0.3">
      <c r="A13" s="4" t="s">
        <v>1559</v>
      </c>
      <c r="CN13">
        <v>116.02174172730317</v>
      </c>
    </row>
    <row r="14" spans="1:253" x14ac:dyDescent="0.3">
      <c r="A14" s="4" t="s">
        <v>1560</v>
      </c>
      <c r="CO14">
        <v>725.02019909751289</v>
      </c>
    </row>
    <row r="15" spans="1:253" x14ac:dyDescent="0.3">
      <c r="A15" s="4" t="s">
        <v>1561</v>
      </c>
      <c r="CP15">
        <v>19.937112282491334</v>
      </c>
    </row>
    <row r="16" spans="1:253" x14ac:dyDescent="0.3">
      <c r="A16" s="4" t="s">
        <v>1562</v>
      </c>
      <c r="CQ16">
        <v>11.185047506297218</v>
      </c>
    </row>
    <row r="17" spans="1:111" x14ac:dyDescent="0.3">
      <c r="A17" s="4" t="s">
        <v>1563</v>
      </c>
      <c r="CR17">
        <v>18462.773164055354</v>
      </c>
    </row>
    <row r="18" spans="1:111" x14ac:dyDescent="0.3">
      <c r="A18" s="4" t="s">
        <v>1564</v>
      </c>
      <c r="CS18">
        <v>39953.685374092536</v>
      </c>
    </row>
    <row r="19" spans="1:111" x14ac:dyDescent="0.3">
      <c r="A19" s="4" t="s">
        <v>1565</v>
      </c>
      <c r="CT19">
        <v>757.09295173978967</v>
      </c>
    </row>
    <row r="20" spans="1:111" x14ac:dyDescent="0.3">
      <c r="A20" s="4" t="s">
        <v>1566</v>
      </c>
      <c r="CU20">
        <v>628.24342926805912</v>
      </c>
    </row>
    <row r="21" spans="1:111" x14ac:dyDescent="0.3">
      <c r="A21" s="4" t="s">
        <v>1567</v>
      </c>
      <c r="CV21">
        <v>291.14404592624453</v>
      </c>
    </row>
    <row r="22" spans="1:111" x14ac:dyDescent="0.3">
      <c r="A22" s="4" t="s">
        <v>1568</v>
      </c>
      <c r="CW22">
        <v>222.70168305520008</v>
      </c>
    </row>
    <row r="23" spans="1:111" x14ac:dyDescent="0.3">
      <c r="A23" s="4" t="s">
        <v>1569</v>
      </c>
      <c r="CX23">
        <v>912.35912229292273</v>
      </c>
    </row>
    <row r="24" spans="1:111" x14ac:dyDescent="0.3">
      <c r="A24" s="4" t="s">
        <v>1570</v>
      </c>
      <c r="CY24">
        <v>3.8267573444111163</v>
      </c>
    </row>
    <row r="25" spans="1:111" x14ac:dyDescent="0.3">
      <c r="A25" s="4" t="s">
        <v>1571</v>
      </c>
      <c r="CZ25">
        <v>262.97839439945346</v>
      </c>
    </row>
    <row r="26" spans="1:111" x14ac:dyDescent="0.3">
      <c r="A26" s="4" t="s">
        <v>1572</v>
      </c>
      <c r="DA26">
        <v>3926.6595292091406</v>
      </c>
    </row>
    <row r="27" spans="1:111" x14ac:dyDescent="0.3">
      <c r="A27" s="4" t="s">
        <v>1573</v>
      </c>
      <c r="DB27">
        <v>2020.6569860439088</v>
      </c>
    </row>
    <row r="28" spans="1:111" x14ac:dyDescent="0.3">
      <c r="A28" s="4" t="s">
        <v>1574</v>
      </c>
      <c r="DC28">
        <v>54.766513434808232</v>
      </c>
    </row>
    <row r="29" spans="1:111" x14ac:dyDescent="0.3">
      <c r="A29" s="4" t="s">
        <v>1575</v>
      </c>
      <c r="DD29">
        <v>809.49468225556006</v>
      </c>
    </row>
    <row r="30" spans="1:111" x14ac:dyDescent="0.3">
      <c r="A30" s="4" t="s">
        <v>1576</v>
      </c>
      <c r="DE30">
        <v>1128.2517265538088</v>
      </c>
    </row>
    <row r="31" spans="1:111" x14ac:dyDescent="0.3">
      <c r="A31" s="4" t="s">
        <v>1577</v>
      </c>
      <c r="DF31">
        <v>892.19998810407117</v>
      </c>
    </row>
    <row r="32" spans="1:111" x14ac:dyDescent="0.3">
      <c r="A32" s="4" t="s">
        <v>1578</v>
      </c>
      <c r="DG32">
        <v>814.91556113325305</v>
      </c>
    </row>
    <row r="33" spans="1:126" x14ac:dyDescent="0.3">
      <c r="A33" s="4" t="s">
        <v>1579</v>
      </c>
      <c r="DH33">
        <v>18068.777781582878</v>
      </c>
    </row>
    <row r="34" spans="1:126" x14ac:dyDescent="0.3">
      <c r="A34" s="4" t="s">
        <v>1580</v>
      </c>
      <c r="DI34">
        <v>1599.1208640239549</v>
      </c>
    </row>
    <row r="35" spans="1:126" x14ac:dyDescent="0.3">
      <c r="A35" s="4" t="s">
        <v>1581</v>
      </c>
      <c r="DJ35">
        <v>161.61232692845087</v>
      </c>
    </row>
    <row r="36" spans="1:126" x14ac:dyDescent="0.3">
      <c r="A36" s="4" t="s">
        <v>1582</v>
      </c>
      <c r="DK36">
        <v>987.41524151993303</v>
      </c>
    </row>
    <row r="37" spans="1:126" x14ac:dyDescent="0.3">
      <c r="A37" s="4" t="s">
        <v>1583</v>
      </c>
      <c r="DL37">
        <v>8281.4174439841863</v>
      </c>
    </row>
    <row r="38" spans="1:126" x14ac:dyDescent="0.3">
      <c r="A38" s="4" t="s">
        <v>1584</v>
      </c>
      <c r="DM38">
        <v>738.31674441753012</v>
      </c>
    </row>
    <row r="39" spans="1:126" x14ac:dyDescent="0.3">
      <c r="A39" s="4" t="s">
        <v>1585</v>
      </c>
      <c r="DN39">
        <v>1786.1077971873221</v>
      </c>
    </row>
    <row r="40" spans="1:126" x14ac:dyDescent="0.3">
      <c r="A40" s="4" t="s">
        <v>1586</v>
      </c>
      <c r="DO40">
        <v>6984.6913497805526</v>
      </c>
    </row>
    <row r="41" spans="1:126" x14ac:dyDescent="0.3">
      <c r="A41" s="4" t="s">
        <v>1587</v>
      </c>
      <c r="DP41">
        <v>161.5380201898879</v>
      </c>
    </row>
    <row r="42" spans="1:126" x14ac:dyDescent="0.3">
      <c r="A42" s="4" t="s">
        <v>1588</v>
      </c>
      <c r="DQ42">
        <v>130.85515856611752</v>
      </c>
    </row>
    <row r="43" spans="1:126" x14ac:dyDescent="0.3">
      <c r="A43" s="4" t="s">
        <v>1589</v>
      </c>
      <c r="DR43">
        <v>223.14056475489213</v>
      </c>
    </row>
    <row r="44" spans="1:126" x14ac:dyDescent="0.3">
      <c r="A44" s="4" t="s">
        <v>1590</v>
      </c>
      <c r="DS44">
        <v>265.11358207968306</v>
      </c>
    </row>
    <row r="45" spans="1:126" x14ac:dyDescent="0.3">
      <c r="A45" s="4" t="s">
        <v>1591</v>
      </c>
      <c r="DT45">
        <v>85.486489848353855</v>
      </c>
    </row>
    <row r="46" spans="1:126" x14ac:dyDescent="0.3">
      <c r="A46" s="4" t="s">
        <v>1592</v>
      </c>
      <c r="DU46">
        <v>133.59657785054281</v>
      </c>
    </row>
    <row r="47" spans="1:126" x14ac:dyDescent="0.3">
      <c r="A47" s="4" t="s">
        <v>511</v>
      </c>
      <c r="DV47">
        <v>704.60864145340622</v>
      </c>
    </row>
    <row r="48" spans="1:126" x14ac:dyDescent="0.3">
      <c r="A48" s="4" t="s">
        <v>512</v>
      </c>
      <c r="AV48">
        <v>9.9999999999999995E-21</v>
      </c>
    </row>
    <row r="49" spans="1:143" x14ac:dyDescent="0.3">
      <c r="A49" s="4" t="s">
        <v>513</v>
      </c>
      <c r="AW49">
        <v>9.9999999999999995E-21</v>
      </c>
    </row>
    <row r="50" spans="1:143" x14ac:dyDescent="0.3">
      <c r="A50" s="4" t="s">
        <v>514</v>
      </c>
      <c r="DY50">
        <v>4635.302005550272</v>
      </c>
    </row>
    <row r="51" spans="1:143" x14ac:dyDescent="0.3">
      <c r="A51" s="4" t="s">
        <v>515</v>
      </c>
      <c r="AY51">
        <v>9.9999999999999995E-21</v>
      </c>
    </row>
    <row r="52" spans="1:143" x14ac:dyDescent="0.3">
      <c r="A52" s="4" t="s">
        <v>516</v>
      </c>
      <c r="AZ52">
        <v>9.9999999999999995E-21</v>
      </c>
    </row>
    <row r="53" spans="1:143" x14ac:dyDescent="0.3">
      <c r="A53" s="4" t="s">
        <v>517</v>
      </c>
      <c r="BA53">
        <v>9.9999999999999995E-21</v>
      </c>
    </row>
    <row r="54" spans="1:143" x14ac:dyDescent="0.3">
      <c r="A54" s="4" t="s">
        <v>518</v>
      </c>
      <c r="BB54">
        <v>9.9999999999999995E-21</v>
      </c>
    </row>
    <row r="55" spans="1:143" x14ac:dyDescent="0.3">
      <c r="A55" s="4" t="s">
        <v>519</v>
      </c>
      <c r="ED55">
        <v>1828.0384384313998</v>
      </c>
    </row>
    <row r="56" spans="1:143" x14ac:dyDescent="0.3">
      <c r="A56" s="4" t="s">
        <v>520</v>
      </c>
      <c r="BD56">
        <v>9.9999999999999995E-21</v>
      </c>
    </row>
    <row r="57" spans="1:143" x14ac:dyDescent="0.3">
      <c r="A57" s="4" t="s">
        <v>521</v>
      </c>
      <c r="EF57">
        <v>197.6998486953936</v>
      </c>
    </row>
    <row r="58" spans="1:143" x14ac:dyDescent="0.3">
      <c r="A58" s="4" t="s">
        <v>522</v>
      </c>
      <c r="EG58">
        <v>20.099261559257538</v>
      </c>
    </row>
    <row r="59" spans="1:143" x14ac:dyDescent="0.3">
      <c r="A59" s="4" t="s">
        <v>1593</v>
      </c>
      <c r="EH59">
        <v>7428.214839221715</v>
      </c>
    </row>
    <row r="60" spans="1:143" x14ac:dyDescent="0.3">
      <c r="A60" s="4" t="s">
        <v>1594</v>
      </c>
      <c r="EI60">
        <v>1630.6882050920406</v>
      </c>
    </row>
    <row r="61" spans="1:143" x14ac:dyDescent="0.3">
      <c r="A61" s="4" t="s">
        <v>1595</v>
      </c>
      <c r="EJ61">
        <v>40616.385570486113</v>
      </c>
    </row>
    <row r="62" spans="1:143" x14ac:dyDescent="0.3">
      <c r="A62" s="4" t="s">
        <v>1596</v>
      </c>
      <c r="EK62">
        <v>20596.370469442132</v>
      </c>
    </row>
    <row r="63" spans="1:143" x14ac:dyDescent="0.3">
      <c r="A63" s="4" t="s">
        <v>1597</v>
      </c>
      <c r="EL63">
        <v>2611.0862652967103</v>
      </c>
    </row>
    <row r="64" spans="1:143" x14ac:dyDescent="0.3">
      <c r="A64" s="4" t="s">
        <v>1598</v>
      </c>
      <c r="EM64">
        <v>7559.9988288952954</v>
      </c>
    </row>
    <row r="65" spans="1:159" x14ac:dyDescent="0.3">
      <c r="A65" s="4" t="s">
        <v>1599</v>
      </c>
      <c r="EN65">
        <v>769.04897497918557</v>
      </c>
    </row>
    <row r="66" spans="1:159" x14ac:dyDescent="0.3">
      <c r="A66" s="4" t="s">
        <v>1600</v>
      </c>
      <c r="EO66">
        <v>1215.2855600391897</v>
      </c>
    </row>
    <row r="67" spans="1:159" x14ac:dyDescent="0.3">
      <c r="A67" s="4" t="s">
        <v>1601</v>
      </c>
      <c r="EP67">
        <v>2190.5091215260168</v>
      </c>
    </row>
    <row r="68" spans="1:159" x14ac:dyDescent="0.3">
      <c r="A68" s="4" t="s">
        <v>1602</v>
      </c>
      <c r="EQ68">
        <v>10040.236723794145</v>
      </c>
    </row>
    <row r="69" spans="1:159" x14ac:dyDescent="0.3">
      <c r="A69" s="4" t="s">
        <v>1603</v>
      </c>
      <c r="ER69">
        <v>1185.9305388985235</v>
      </c>
    </row>
    <row r="70" spans="1:159" x14ac:dyDescent="0.3">
      <c r="A70" s="4" t="s">
        <v>1604</v>
      </c>
      <c r="ES70">
        <v>72.670320632915406</v>
      </c>
    </row>
    <row r="71" spans="1:159" x14ac:dyDescent="0.3">
      <c r="A71" s="4" t="s">
        <v>1605</v>
      </c>
      <c r="ET71">
        <v>288.11546420263022</v>
      </c>
    </row>
    <row r="72" spans="1:159" x14ac:dyDescent="0.3">
      <c r="A72" s="4" t="s">
        <v>1606</v>
      </c>
      <c r="EU72">
        <v>1612.5331826567494</v>
      </c>
    </row>
    <row r="73" spans="1:159" x14ac:dyDescent="0.3">
      <c r="A73" s="4" t="s">
        <v>1607</v>
      </c>
      <c r="EV73">
        <v>832.31672341592946</v>
      </c>
    </row>
    <row r="74" spans="1:159" x14ac:dyDescent="0.3">
      <c r="A74" s="4" t="s">
        <v>1608</v>
      </c>
      <c r="P74" s="7"/>
      <c r="R74" s="7"/>
      <c r="S74" s="7"/>
      <c r="AG74" s="7"/>
      <c r="AJ74" s="7"/>
      <c r="AL74" s="7"/>
      <c r="AM74" s="7"/>
      <c r="AN74" s="7"/>
      <c r="AO74" s="7"/>
      <c r="AR74" s="7"/>
      <c r="AS74" s="7"/>
      <c r="AV74" s="7"/>
      <c r="AW74" s="7"/>
      <c r="BB74" s="7"/>
      <c r="BC74" s="7"/>
      <c r="BD74" s="7"/>
      <c r="BJ74" s="7"/>
      <c r="BM74" s="7"/>
      <c r="BN74" s="7"/>
      <c r="EW74">
        <v>10931.741310584603</v>
      </c>
    </row>
    <row r="75" spans="1:159" x14ac:dyDescent="0.3">
      <c r="A75" s="4" t="s">
        <v>1609</v>
      </c>
      <c r="P75" s="7"/>
      <c r="R75" s="7"/>
      <c r="S75" s="7"/>
      <c r="AJ75" s="7"/>
      <c r="AL75" s="7"/>
      <c r="AM75" s="7"/>
      <c r="AN75" s="7"/>
      <c r="AO75" s="7"/>
      <c r="AP75" s="7"/>
      <c r="AQ75" s="7"/>
      <c r="AR75" s="7"/>
      <c r="AS75" s="7"/>
      <c r="AV75" s="7"/>
      <c r="AW75" s="7"/>
      <c r="AY75" s="7"/>
      <c r="AZ75" s="7"/>
      <c r="BA75" s="7"/>
      <c r="BB75" s="7"/>
      <c r="BC75" s="7"/>
      <c r="EX75">
        <v>4752.3957011498151</v>
      </c>
    </row>
    <row r="76" spans="1:159" x14ac:dyDescent="0.3">
      <c r="A76" s="4" t="s">
        <v>1610</v>
      </c>
      <c r="P76" s="7"/>
      <c r="R76" s="7"/>
      <c r="S76" s="7"/>
      <c r="AG76" s="7"/>
      <c r="AL76" s="7"/>
      <c r="AM76" s="7"/>
      <c r="AN76" s="7"/>
      <c r="AO76" s="7"/>
      <c r="AP76" s="7"/>
      <c r="AR76" s="7"/>
      <c r="AS76" s="7"/>
      <c r="AV76" s="7"/>
      <c r="AW76" s="7"/>
      <c r="AY76" s="7"/>
      <c r="AZ76" s="7"/>
      <c r="BA76" s="7"/>
      <c r="BB76" s="7"/>
      <c r="BC76" s="7"/>
      <c r="EY76">
        <v>10841.218679297857</v>
      </c>
    </row>
    <row r="77" spans="1:159" x14ac:dyDescent="0.3">
      <c r="A77" s="4" t="s">
        <v>1611</v>
      </c>
      <c r="P77" s="7"/>
      <c r="Q77" s="7"/>
      <c r="R77" s="7"/>
      <c r="S77" s="7"/>
      <c r="AL77" s="7"/>
      <c r="AM77" s="7"/>
      <c r="AO77" s="7"/>
      <c r="AP77" s="7"/>
      <c r="AR77" s="7"/>
      <c r="AS77" s="7"/>
      <c r="AV77" s="7"/>
      <c r="AW77" s="7"/>
      <c r="AY77" s="7"/>
      <c r="AZ77" s="7"/>
      <c r="BB77" s="7"/>
      <c r="BC77" s="7"/>
      <c r="BJ77" s="7"/>
      <c r="EZ77">
        <v>870.6081452708961</v>
      </c>
    </row>
    <row r="78" spans="1:159" x14ac:dyDescent="0.3">
      <c r="A78" s="4" t="s">
        <v>1180</v>
      </c>
      <c r="Q78" s="7"/>
      <c r="R78" s="7"/>
      <c r="S78" s="7"/>
      <c r="AF78" s="7"/>
      <c r="AG78" s="7"/>
      <c r="AJ78" s="7"/>
      <c r="AK78" s="7"/>
      <c r="AL78" s="7"/>
      <c r="AM78" s="7"/>
      <c r="AN78" s="7"/>
      <c r="AO78" s="7"/>
      <c r="AP78" s="7"/>
      <c r="AQ78" s="7"/>
      <c r="AW78" s="7"/>
      <c r="BB78" s="7"/>
      <c r="BC78" s="7"/>
      <c r="BD78" s="7"/>
      <c r="BH78" s="7"/>
      <c r="BI78" s="7"/>
      <c r="BJ78" s="7"/>
      <c r="BL78" s="7"/>
      <c r="BM78" s="7"/>
      <c r="BN78" s="7"/>
      <c r="BZ78">
        <v>9.9999999999999995E-21</v>
      </c>
    </row>
    <row r="79" spans="1:159" x14ac:dyDescent="0.3">
      <c r="A79" s="4" t="s">
        <v>1191</v>
      </c>
      <c r="B79" s="7"/>
      <c r="H79" s="7"/>
      <c r="Q79" s="7"/>
      <c r="R79" s="7"/>
      <c r="S79" s="7"/>
      <c r="AG79" s="7"/>
      <c r="AK79" s="7"/>
      <c r="AL79" s="7"/>
      <c r="AM79" s="7"/>
      <c r="AN79" s="7"/>
      <c r="AO79" s="7"/>
      <c r="AP79" s="7"/>
      <c r="AQ79" s="7"/>
      <c r="AW79" s="7"/>
      <c r="BB79" s="7"/>
      <c r="BC79" s="7"/>
      <c r="BI79" s="7"/>
      <c r="BJ79" s="7"/>
      <c r="BM79" s="7"/>
      <c r="BN79" s="7"/>
      <c r="CA79">
        <v>9.9999999999999995E-21</v>
      </c>
    </row>
    <row r="80" spans="1:159" x14ac:dyDescent="0.3">
      <c r="A80" s="4" t="s">
        <v>1132</v>
      </c>
      <c r="Q80" s="7"/>
      <c r="R80" s="7"/>
      <c r="S80" s="7"/>
      <c r="AF80" s="7"/>
      <c r="AG80" s="7"/>
      <c r="AJ80" s="7"/>
      <c r="AL80" s="7"/>
      <c r="AM80" s="7"/>
      <c r="AN80" s="7"/>
      <c r="AO80" s="7"/>
      <c r="AP80" s="7"/>
      <c r="AQ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H80" s="7"/>
      <c r="BI80" s="7"/>
      <c r="BJ80" s="7"/>
      <c r="BL80" s="7"/>
      <c r="BM80" s="7"/>
      <c r="BN80" s="7"/>
      <c r="BO80" s="7"/>
      <c r="FC80">
        <v>1.3154097853523356E-2</v>
      </c>
    </row>
    <row r="81" spans="1:253" x14ac:dyDescent="0.3">
      <c r="A81" s="4" t="s">
        <v>1612</v>
      </c>
      <c r="B81">
        <v>3.6636302247643471E-3</v>
      </c>
      <c r="D81">
        <v>1.7993859713897109E-2</v>
      </c>
      <c r="I81">
        <v>6.1500226911448408E-4</v>
      </c>
      <c r="J81">
        <v>0.30383656546473503</v>
      </c>
      <c r="N81">
        <v>4.6839246060699224E-2</v>
      </c>
      <c r="O81">
        <v>1.420094307832187E-3</v>
      </c>
      <c r="P81" s="7"/>
      <c r="Q81" s="7"/>
      <c r="R81" s="7"/>
      <c r="S81" s="7"/>
      <c r="W81">
        <v>8.6789906956255436E-2</v>
      </c>
      <c r="X81">
        <v>6.5868730191141367E-2</v>
      </c>
      <c r="Y81">
        <v>6.9622930139303207E-2</v>
      </c>
      <c r="AE81">
        <v>9.1008272720500827E-2</v>
      </c>
      <c r="AG81" s="7"/>
      <c r="AL81" s="7"/>
      <c r="AM81" s="7"/>
      <c r="AR81" s="7"/>
      <c r="AS81" s="7"/>
      <c r="AW81" s="7"/>
      <c r="BB81" s="7"/>
      <c r="BC81" s="7"/>
      <c r="BJ81" s="7">
        <v>0.5712162046152357</v>
      </c>
      <c r="BK81">
        <v>0.45249713584780693</v>
      </c>
      <c r="BP81">
        <v>1.5556345656514168</v>
      </c>
      <c r="BU81">
        <v>1.8784572996082716E-2</v>
      </c>
      <c r="BV81">
        <v>0.70970168663188815</v>
      </c>
      <c r="IS81">
        <v>5.8334819336038656E-6</v>
      </c>
    </row>
    <row r="82" spans="1:253" x14ac:dyDescent="0.3">
      <c r="A82" s="4" t="s">
        <v>1613</v>
      </c>
      <c r="C82">
        <v>18.83880090713501</v>
      </c>
      <c r="I82">
        <v>3.9135939005063847E-4</v>
      </c>
      <c r="J82">
        <v>12.162430286407471</v>
      </c>
      <c r="K82">
        <v>2.0976976156234741</v>
      </c>
      <c r="L82">
        <v>2.3441923260688782</v>
      </c>
      <c r="M82">
        <v>0.52905391156673431</v>
      </c>
      <c r="N82">
        <v>0.31692776083946228</v>
      </c>
      <c r="O82">
        <v>1.1149070225656033E-2</v>
      </c>
      <c r="P82" s="7"/>
      <c r="Q82">
        <v>0.89170551300048828</v>
      </c>
      <c r="R82" s="7">
        <v>1.7679558992385864</v>
      </c>
      <c r="S82" s="7">
        <v>0.2755780965089798</v>
      </c>
      <c r="U82">
        <v>6.8475290667265654E-2</v>
      </c>
      <c r="V82">
        <v>3.3815891249105334E-2</v>
      </c>
      <c r="W82">
        <v>0.3876439705491066</v>
      </c>
      <c r="X82">
        <v>2.9302021212060936E-3</v>
      </c>
      <c r="Y82">
        <v>5.617946520447731</v>
      </c>
      <c r="Z82">
        <v>181.15831565856934</v>
      </c>
      <c r="AA82">
        <v>313.05601930618286</v>
      </c>
      <c r="AE82">
        <v>0.50981996953487396</v>
      </c>
      <c r="AF82">
        <v>0.31120388209819794</v>
      </c>
      <c r="AG82" s="7"/>
      <c r="AH82">
        <v>0.18639839440584183</v>
      </c>
      <c r="AI82">
        <v>1.4050672762095928E-2</v>
      </c>
      <c r="AJ82">
        <v>9.4801135361194611E-2</v>
      </c>
      <c r="AL82" s="7"/>
      <c r="AM82" s="7"/>
      <c r="AT82">
        <v>1.5013930853456259E-2</v>
      </c>
      <c r="AW82" s="7"/>
      <c r="BB82" s="7"/>
      <c r="BC82" s="7"/>
      <c r="BJ82">
        <v>4.5997452735900879</v>
      </c>
      <c r="BK82">
        <v>2.9524977207183838</v>
      </c>
      <c r="BL82">
        <v>4.0288338661193848</v>
      </c>
      <c r="BM82">
        <v>0.47110596299171448</v>
      </c>
      <c r="BN82">
        <v>0.49114440381526947</v>
      </c>
      <c r="BO82">
        <v>1.113810658454895</v>
      </c>
      <c r="BP82">
        <v>7.6264357566833496</v>
      </c>
      <c r="BQ82">
        <v>7.7602606266736984E-2</v>
      </c>
      <c r="BR82">
        <v>6.6213826648890972E-3</v>
      </c>
      <c r="BS82">
        <v>1.4650375582277775E-2</v>
      </c>
      <c r="BT82">
        <v>0.29267142713069916</v>
      </c>
      <c r="BV82">
        <v>0.62009324133396149</v>
      </c>
      <c r="BX82">
        <v>0.24931015819311142</v>
      </c>
      <c r="IM82">
        <v>1859.7942812694448</v>
      </c>
      <c r="IN82">
        <v>25.249654293060303</v>
      </c>
      <c r="IP82">
        <v>116.47643852233887</v>
      </c>
      <c r="IS82">
        <v>1.5540151481535929E-2</v>
      </c>
    </row>
    <row r="83" spans="1:253" x14ac:dyDescent="0.3">
      <c r="A83" s="4" t="s">
        <v>1614</v>
      </c>
      <c r="B83">
        <v>4.7313760296674445E-4</v>
      </c>
      <c r="D83">
        <v>0.14561277814209461</v>
      </c>
      <c r="J83">
        <v>28.572934538125992</v>
      </c>
      <c r="K83">
        <v>4.8068023398518562</v>
      </c>
      <c r="L83">
        <v>5.4555036835372448</v>
      </c>
      <c r="M83">
        <v>1.2306342739611864</v>
      </c>
      <c r="N83">
        <v>1.5766745246946812</v>
      </c>
      <c r="O83">
        <v>5.608270107768476E-2</v>
      </c>
      <c r="P83" s="7">
        <v>1.0322482561548874E-3</v>
      </c>
      <c r="Q83">
        <v>4.1857887208461761</v>
      </c>
      <c r="R83">
        <v>10.902591437101364</v>
      </c>
      <c r="S83" s="7">
        <v>1.385784313082695</v>
      </c>
      <c r="T83">
        <v>0.53233401669422165</v>
      </c>
      <c r="U83">
        <v>0.64454441494308412</v>
      </c>
      <c r="V83">
        <v>0.2884641292039305</v>
      </c>
      <c r="W83">
        <v>3.3287472948431969</v>
      </c>
      <c r="X83">
        <v>2.6732625177828595E-2</v>
      </c>
      <c r="Y83">
        <v>53.12364402211567</v>
      </c>
      <c r="Z83">
        <v>16.615052819252014</v>
      </c>
      <c r="AA83">
        <v>7.9237020611763</v>
      </c>
      <c r="AE83">
        <v>2.4914095997810364</v>
      </c>
      <c r="AF83">
        <v>1.6306344158947468</v>
      </c>
      <c r="AH83">
        <v>0.93581826612353325</v>
      </c>
      <c r="AI83">
        <v>7.2231276659294963E-2</v>
      </c>
      <c r="AJ83">
        <v>0.47028371598571539</v>
      </c>
      <c r="AL83" s="7">
        <v>0.24535553529858589</v>
      </c>
      <c r="AM83" s="7">
        <v>0.65596576826646924</v>
      </c>
      <c r="AN83">
        <v>2.2235675901174545</v>
      </c>
      <c r="AT83">
        <v>7.2061441373080015E-2</v>
      </c>
      <c r="AW83" s="7"/>
      <c r="BB83" s="7"/>
      <c r="BC83" s="7"/>
      <c r="BI83">
        <v>4.4934272170066833</v>
      </c>
      <c r="BJ83">
        <v>23.107244670391083</v>
      </c>
      <c r="BK83">
        <v>14.364808768033981</v>
      </c>
      <c r="BL83">
        <v>20.604827642440796</v>
      </c>
      <c r="BM83">
        <v>2.4162945151329041</v>
      </c>
      <c r="BN83">
        <v>2.5187391340732574</v>
      </c>
      <c r="BO83">
        <v>5.6696926355361938</v>
      </c>
      <c r="BP83">
        <v>37.55145263671875</v>
      </c>
      <c r="BQ83">
        <v>0.72924657864496112</v>
      </c>
      <c r="BR83">
        <v>5.5232944141607732E-2</v>
      </c>
      <c r="BS83">
        <v>0.14877081336453557</v>
      </c>
      <c r="BT83">
        <v>1.3070381730794907</v>
      </c>
      <c r="BU83">
        <v>2.3158128373324871E-2</v>
      </c>
      <c r="BV83">
        <v>1.1390310376882553</v>
      </c>
      <c r="BX83">
        <v>1.6011225469410419</v>
      </c>
      <c r="BY83">
        <v>1.7281530190302874E-3</v>
      </c>
      <c r="IM83">
        <v>905.13132624206412</v>
      </c>
      <c r="IN83">
        <v>12.242264747619629</v>
      </c>
      <c r="IP83">
        <v>56.622136116027832</v>
      </c>
      <c r="IS83">
        <v>4.5375968669895128E-3</v>
      </c>
    </row>
    <row r="84" spans="1:253" x14ac:dyDescent="0.3">
      <c r="A84" s="4" t="s">
        <v>1615</v>
      </c>
      <c r="B84">
        <v>3.002832927450072E-4</v>
      </c>
      <c r="E84">
        <v>41.578363597393036</v>
      </c>
      <c r="I84">
        <v>4.9875731201609597E-4</v>
      </c>
      <c r="J84">
        <v>56.770811080932617</v>
      </c>
      <c r="K84">
        <v>13.814905881881714</v>
      </c>
      <c r="L84">
        <v>10.998509645462036</v>
      </c>
      <c r="M84">
        <v>2.4998272061347961</v>
      </c>
      <c r="N84">
        <v>9.5614743232727051</v>
      </c>
      <c r="O84">
        <v>0.3360079824924469</v>
      </c>
      <c r="P84" s="7">
        <v>7.0879116114341964E-3</v>
      </c>
      <c r="Q84" s="7">
        <v>31.167007446289063</v>
      </c>
      <c r="R84" s="7">
        <v>52.324813842773438</v>
      </c>
      <c r="S84" s="7">
        <v>8.3067114353179932</v>
      </c>
      <c r="T84">
        <v>1.2524735033512115</v>
      </c>
      <c r="U84">
        <v>1.516018383204937</v>
      </c>
      <c r="V84">
        <v>0.78875989466905594</v>
      </c>
      <c r="W84">
        <v>8.6041209995746613</v>
      </c>
      <c r="X84">
        <v>5.9031755663454533E-2</v>
      </c>
      <c r="Y84">
        <v>119.38321035463329</v>
      </c>
      <c r="Z84">
        <v>780.21862602233887</v>
      </c>
      <c r="AA84">
        <v>156.65978622436523</v>
      </c>
      <c r="AD84">
        <v>7.9635280882939696E-2</v>
      </c>
      <c r="AE84">
        <v>15.938908576965332</v>
      </c>
      <c r="AF84">
        <v>8.8705029487609863</v>
      </c>
      <c r="AG84" s="7"/>
      <c r="AH84">
        <v>4.4646526575088501</v>
      </c>
      <c r="AI84">
        <v>3.9904026985168457</v>
      </c>
      <c r="AJ84" s="7">
        <v>0.62577834725379944</v>
      </c>
      <c r="AK84">
        <v>0.85982152819633484</v>
      </c>
      <c r="AL84" s="7">
        <v>0.72426196932792664</v>
      </c>
      <c r="AM84" s="7">
        <v>1.9370414614677429</v>
      </c>
      <c r="AN84" s="7">
        <v>16.628330230712891</v>
      </c>
      <c r="AO84" s="7">
        <v>3.05559360422194E-2</v>
      </c>
      <c r="AP84" s="7">
        <v>2.5549771264195442E-2</v>
      </c>
      <c r="AQ84">
        <v>4.2687354609370232E-2</v>
      </c>
      <c r="AR84">
        <v>6.2225925736129284E-2</v>
      </c>
      <c r="AS84">
        <v>2.1373794646933675E-2</v>
      </c>
      <c r="AT84">
        <v>0.41569852083921432</v>
      </c>
      <c r="AW84" s="7"/>
      <c r="BB84" s="7"/>
      <c r="BC84" s="7"/>
      <c r="BI84">
        <v>27.152698516845703</v>
      </c>
      <c r="BJ84">
        <v>138.53361129760742</v>
      </c>
      <c r="BK84">
        <v>89.29913330078125</v>
      </c>
      <c r="BL84">
        <v>83.401050567626953</v>
      </c>
      <c r="BM84">
        <v>10.033344030380249</v>
      </c>
      <c r="BN84" s="7">
        <v>10.212237358093262</v>
      </c>
      <c r="BO84">
        <v>202.34239959716797</v>
      </c>
      <c r="BP84">
        <v>154.25235366821289</v>
      </c>
      <c r="BQ84">
        <v>4.6144111156463623</v>
      </c>
      <c r="BR84">
        <v>0.59147679805755615</v>
      </c>
      <c r="BS84">
        <v>0.46227662265300751</v>
      </c>
      <c r="BT84">
        <v>7.6314828395843506</v>
      </c>
      <c r="BU84">
        <v>0.28404614329338074</v>
      </c>
      <c r="BV84">
        <v>7.3371896743774414</v>
      </c>
      <c r="BW84">
        <v>0.10527342557907104</v>
      </c>
      <c r="BX84">
        <v>14.100771427154541</v>
      </c>
      <c r="BY84">
        <v>2.9522328404709697E-3</v>
      </c>
      <c r="IM84">
        <v>8948.0381661715946</v>
      </c>
      <c r="IN84">
        <v>122.44062773883343</v>
      </c>
      <c r="IP84">
        <v>560.41077753901482</v>
      </c>
      <c r="IS84">
        <v>95.001490652439443</v>
      </c>
    </row>
    <row r="85" spans="1:253" x14ac:dyDescent="0.3">
      <c r="A85" s="4" t="s">
        <v>1616</v>
      </c>
      <c r="E85">
        <v>1.021147683262825</v>
      </c>
      <c r="F85">
        <v>1.7191918417811394</v>
      </c>
      <c r="I85">
        <v>1.3125593541190028E-3</v>
      </c>
      <c r="J85">
        <v>0.16399926692247391</v>
      </c>
      <c r="K85">
        <v>6.8136461079120636E-2</v>
      </c>
      <c r="L85">
        <v>3.7185318768024445E-2</v>
      </c>
      <c r="M85">
        <v>1.0446271160617471E-2</v>
      </c>
      <c r="N85">
        <v>0.4810224175453186</v>
      </c>
      <c r="O85">
        <v>1.6660304274410009E-2</v>
      </c>
      <c r="Q85" s="7">
        <v>0.88582939654588699</v>
      </c>
      <c r="R85" s="7">
        <v>4.3319416046142578</v>
      </c>
      <c r="S85">
        <v>0.41114595532417297</v>
      </c>
      <c r="T85">
        <v>8.091186243109405E-2</v>
      </c>
      <c r="U85">
        <v>9.4973913859575987E-2</v>
      </c>
      <c r="V85">
        <v>133.39365603487136</v>
      </c>
      <c r="W85">
        <v>0.68440665677189827</v>
      </c>
      <c r="X85">
        <v>3.6539124703267589E-3</v>
      </c>
      <c r="Y85">
        <v>7.5376386344432831</v>
      </c>
      <c r="Z85">
        <v>14.376874804496765</v>
      </c>
      <c r="AA85">
        <v>0.66302148625254631</v>
      </c>
      <c r="AE85" s="7">
        <v>1.015647292137146</v>
      </c>
      <c r="AF85" s="7">
        <v>0.23992608487606049</v>
      </c>
      <c r="AG85" s="7"/>
      <c r="AH85">
        <v>0.43362843990325928</v>
      </c>
      <c r="AK85" s="7"/>
      <c r="AN85" s="7">
        <v>0.85120487213134766</v>
      </c>
      <c r="AO85" s="7"/>
      <c r="AP85" s="7"/>
      <c r="AQ85" s="7"/>
      <c r="AR85" s="7"/>
      <c r="AS85" s="7"/>
      <c r="AT85">
        <v>1.7220974899828434E-2</v>
      </c>
      <c r="AU85" s="7"/>
      <c r="AV85" s="7"/>
      <c r="AW85" s="7"/>
      <c r="AX85" s="7"/>
      <c r="AY85" s="7"/>
      <c r="AZ85" s="7"/>
      <c r="BA85" s="7"/>
      <c r="BB85" s="7"/>
      <c r="BC85" s="7"/>
      <c r="BH85" s="7"/>
      <c r="BI85" s="7"/>
      <c r="BJ85" s="7">
        <v>6.9235880374908447</v>
      </c>
      <c r="BK85" s="7">
        <v>4.6611599922180176</v>
      </c>
      <c r="BL85" s="7">
        <v>3.7857131958007813</v>
      </c>
      <c r="BM85" s="7">
        <v>0.45433744788169861</v>
      </c>
      <c r="BN85" s="7">
        <v>0.43314135074615479</v>
      </c>
      <c r="BO85" s="7">
        <v>1.0858705341815948</v>
      </c>
      <c r="BP85">
        <v>16.553835868835449</v>
      </c>
      <c r="BR85">
        <v>1.1724937503458932E-3</v>
      </c>
      <c r="BT85">
        <v>0.49178318679332733</v>
      </c>
      <c r="BU85" s="7"/>
      <c r="BV85">
        <v>1.1522597968578339</v>
      </c>
      <c r="BX85">
        <v>0.25615749135613441</v>
      </c>
      <c r="IS85">
        <v>6.0521078085710181E-2</v>
      </c>
    </row>
    <row r="86" spans="1:253" x14ac:dyDescent="0.3">
      <c r="A86" s="4" t="s">
        <v>1617</v>
      </c>
      <c r="Y86">
        <v>3.2241128246594782E-3</v>
      </c>
      <c r="AL86" s="7"/>
      <c r="AM86" s="7"/>
      <c r="AW86" s="7"/>
      <c r="BB86" s="7"/>
      <c r="BC86" s="7"/>
    </row>
    <row r="87" spans="1:253" x14ac:dyDescent="0.3">
      <c r="A87" s="4" t="s">
        <v>1618</v>
      </c>
      <c r="M87" s="7"/>
      <c r="N87">
        <v>2.3048192422675917E-2</v>
      </c>
      <c r="O87">
        <v>7.9798006524238181E-4</v>
      </c>
      <c r="P87" s="7"/>
      <c r="Q87" s="7"/>
      <c r="R87" s="7"/>
      <c r="S87" s="7"/>
      <c r="X87">
        <v>3.589374459497431E-4</v>
      </c>
      <c r="Y87">
        <v>0.7231405660238529</v>
      </c>
      <c r="AB87">
        <v>8.2716927554639733E-3</v>
      </c>
      <c r="AG87" s="7"/>
      <c r="AJ87" s="7"/>
      <c r="AL87" s="7"/>
      <c r="AM87" s="7"/>
      <c r="AR87" s="7"/>
      <c r="AS87" s="7"/>
      <c r="AV87" s="7"/>
      <c r="AW87" s="7"/>
      <c r="AY87" s="7"/>
      <c r="AZ87" s="7"/>
      <c r="BB87" s="7"/>
      <c r="BC87" s="7"/>
      <c r="BJ87" s="7"/>
      <c r="BK87">
        <v>0.20659446828603586</v>
      </c>
      <c r="BP87">
        <v>0.53360520783897614</v>
      </c>
      <c r="BU87" s="7"/>
      <c r="IM87">
        <v>8.0419971320370554</v>
      </c>
    </row>
    <row r="88" spans="1:253" x14ac:dyDescent="0.3">
      <c r="A88" s="4" t="s">
        <v>1619</v>
      </c>
      <c r="B88" s="7"/>
      <c r="C88" s="7"/>
      <c r="D88" s="7"/>
      <c r="E88">
        <v>0.24664949625730515</v>
      </c>
      <c r="F88" s="7"/>
      <c r="G88" s="7"/>
      <c r="H88" s="7"/>
      <c r="I88">
        <v>6.3853894826024771E-3</v>
      </c>
      <c r="J88" s="7">
        <v>0.67332862317562103</v>
      </c>
      <c r="K88">
        <v>0.18276873975992203</v>
      </c>
      <c r="L88" s="7">
        <v>0.25559806823730469</v>
      </c>
      <c r="M88" s="7">
        <v>1.9117344170808792E-2</v>
      </c>
      <c r="N88">
        <v>1.3461899384856224</v>
      </c>
      <c r="O88" s="7">
        <v>4.7845733584836125E-2</v>
      </c>
      <c r="P88">
        <v>1.0202031410561304E-3</v>
      </c>
      <c r="Q88" s="7">
        <v>4.0676218271255493</v>
      </c>
      <c r="R88" s="7">
        <v>7.8341709971427917</v>
      </c>
      <c r="S88">
        <v>1.1841824576258659</v>
      </c>
      <c r="T88">
        <v>0.43748058960773051</v>
      </c>
      <c r="U88">
        <v>0.52284152247011662</v>
      </c>
      <c r="V88">
        <v>0.2711205598898232</v>
      </c>
      <c r="W88">
        <v>2.7196033075451851</v>
      </c>
      <c r="X88" s="7">
        <v>2.1501600283954758E-2</v>
      </c>
      <c r="Y88">
        <v>44.198537365344052</v>
      </c>
      <c r="Z88">
        <v>35.046090483665466</v>
      </c>
      <c r="AA88">
        <v>38.95771598815918</v>
      </c>
      <c r="AD88" s="7"/>
      <c r="AE88">
        <v>0.56467512622475624</v>
      </c>
      <c r="AF88">
        <v>2.8045434802770615</v>
      </c>
      <c r="AI88">
        <v>3.2272865064442158E-2</v>
      </c>
      <c r="AJ88">
        <v>1.3272813409566879</v>
      </c>
      <c r="AM88">
        <v>2.8917619735002518</v>
      </c>
      <c r="AO88" s="7"/>
      <c r="AP88" s="7"/>
      <c r="AT88">
        <v>6.7504267208278179E-2</v>
      </c>
      <c r="BI88">
        <v>4.0385548770427704</v>
      </c>
      <c r="BJ88" s="7">
        <v>19.772582650184631</v>
      </c>
      <c r="BK88">
        <v>12.323233544826508</v>
      </c>
      <c r="BL88">
        <v>15.715665102005005</v>
      </c>
      <c r="BM88">
        <v>1.8481908738613129</v>
      </c>
      <c r="BN88" s="7">
        <v>1.9160245321691036</v>
      </c>
      <c r="BO88">
        <v>4.9869405627250671</v>
      </c>
      <c r="BP88">
        <v>35.850465774536133</v>
      </c>
      <c r="BQ88">
        <v>3.3726914785802364E-2</v>
      </c>
      <c r="BR88">
        <v>2.935680327937007E-3</v>
      </c>
      <c r="BS88">
        <v>8.0297539243474603E-3</v>
      </c>
      <c r="BT88">
        <v>1.3931062147021294</v>
      </c>
      <c r="BU88" s="7">
        <v>0.99223550036549568</v>
      </c>
      <c r="BV88">
        <v>0.69103258103132248</v>
      </c>
      <c r="BW88">
        <v>0.18388076778501272</v>
      </c>
      <c r="BX88">
        <v>0.67550898343324661</v>
      </c>
      <c r="BY88">
        <v>1.1744375151465647E-3</v>
      </c>
      <c r="IM88">
        <v>252.52447074651718</v>
      </c>
      <c r="IP88">
        <v>14.830328669399023</v>
      </c>
      <c r="IS88">
        <v>1.3580573771320348</v>
      </c>
    </row>
    <row r="89" spans="1:253" x14ac:dyDescent="0.3">
      <c r="A89" s="4" t="s">
        <v>1620</v>
      </c>
      <c r="B89" s="7">
        <v>1.3242715242085978E-2</v>
      </c>
      <c r="C89" s="7"/>
      <c r="D89" s="7">
        <v>3.8598491402808577E-2</v>
      </c>
      <c r="E89">
        <v>1.570768877863884</v>
      </c>
      <c r="F89" s="7">
        <v>4.8378708132077008E-2</v>
      </c>
      <c r="G89" s="7"/>
      <c r="H89" s="7"/>
      <c r="I89" s="7">
        <v>2.1372913528466597E-2</v>
      </c>
      <c r="J89" s="7">
        <v>161.86800813674927</v>
      </c>
      <c r="K89" s="7"/>
      <c r="L89" s="7"/>
      <c r="M89" s="7"/>
      <c r="N89" s="7">
        <v>4.0246822964400053</v>
      </c>
      <c r="O89" s="7">
        <v>0.14444599387934431</v>
      </c>
      <c r="P89" s="7">
        <v>2.912942359318469E-3</v>
      </c>
      <c r="Q89">
        <v>11.454910211265087</v>
      </c>
      <c r="R89">
        <v>24.91309255361557</v>
      </c>
      <c r="S89">
        <v>3.531792351976037</v>
      </c>
      <c r="T89" s="7">
        <v>469.17448425292969</v>
      </c>
      <c r="U89" s="7">
        <v>0.41720571741461754</v>
      </c>
      <c r="V89">
        <v>2.8566129039973021E-2</v>
      </c>
      <c r="W89" s="7">
        <v>1.2211934924125671</v>
      </c>
      <c r="X89" s="7">
        <v>2.678775112144649E-3</v>
      </c>
      <c r="Y89">
        <v>4.7132214307785034</v>
      </c>
      <c r="Z89">
        <v>1.7821017801761627</v>
      </c>
      <c r="AA89" s="7">
        <v>0.43241315335035324</v>
      </c>
      <c r="AB89" s="7"/>
      <c r="AC89" s="7"/>
      <c r="AD89" s="7">
        <v>0.93270444869995117</v>
      </c>
      <c r="AE89">
        <v>6.5623956099152565</v>
      </c>
      <c r="AF89">
        <v>3.9688157215714455</v>
      </c>
      <c r="AH89">
        <v>2.9015339724719524</v>
      </c>
      <c r="AI89">
        <v>0.83657725155353546</v>
      </c>
      <c r="AJ89">
        <v>0.15991808800026774</v>
      </c>
      <c r="AL89" s="7">
        <v>0.68934322148561478</v>
      </c>
      <c r="AM89" s="7">
        <v>1.8513177260756493</v>
      </c>
      <c r="AN89">
        <v>5.4224424213171005</v>
      </c>
      <c r="AO89">
        <v>1.1105654266430065E-2</v>
      </c>
      <c r="AP89">
        <v>9.4000686658546329E-3</v>
      </c>
      <c r="AQ89">
        <v>1.5714215231128037E-2</v>
      </c>
      <c r="AR89" s="7">
        <v>2.2625906043685973E-2</v>
      </c>
      <c r="AS89" s="7">
        <v>8.247684920206666E-3</v>
      </c>
      <c r="AT89" s="7">
        <v>0.18695290386676788</v>
      </c>
      <c r="BF89" s="7"/>
      <c r="BG89" s="7"/>
      <c r="BI89">
        <v>11.62178011983633</v>
      </c>
      <c r="BJ89">
        <v>59.043555498123169</v>
      </c>
      <c r="BK89">
        <v>37.959828019142151</v>
      </c>
      <c r="BL89" s="7">
        <v>52.823798179626465</v>
      </c>
      <c r="BM89" s="7">
        <v>6.2034440934658051</v>
      </c>
      <c r="BN89" s="7">
        <v>6.4739996865391731</v>
      </c>
      <c r="BO89" s="7">
        <v>14.599274471402168</v>
      </c>
      <c r="BP89">
        <v>95.612643003463745</v>
      </c>
      <c r="BQ89" s="7">
        <v>0.24291119212284684</v>
      </c>
      <c r="BR89" s="7">
        <v>1.6559720774239395E-2</v>
      </c>
      <c r="BS89" s="7">
        <v>5.3742950578453019E-2</v>
      </c>
      <c r="BT89" s="7">
        <v>4.1053519174456596</v>
      </c>
      <c r="BU89" s="7">
        <v>2.6390221668407321E-2</v>
      </c>
      <c r="BV89">
        <v>4.2672149743884802</v>
      </c>
      <c r="BW89">
        <v>2.1321662063710392</v>
      </c>
      <c r="BX89">
        <v>3.8005023598670959</v>
      </c>
      <c r="BY89">
        <v>3.9234918658621609E-3</v>
      </c>
      <c r="IM89">
        <v>2810.5374118126551</v>
      </c>
      <c r="IN89">
        <v>41.799961999058723</v>
      </c>
      <c r="IP89">
        <v>183.59431237250405</v>
      </c>
      <c r="IS89">
        <v>7.2149579981262507E-2</v>
      </c>
    </row>
    <row r="90" spans="1:253" x14ac:dyDescent="0.3">
      <c r="A90" s="4" t="s">
        <v>1621</v>
      </c>
      <c r="B90" s="7">
        <v>3.1636059304673836E-4</v>
      </c>
      <c r="C90" s="7"/>
      <c r="E90" s="7"/>
      <c r="F90" s="7">
        <v>2.7722217200789601E-3</v>
      </c>
      <c r="G90" s="7"/>
      <c r="H90" s="7"/>
      <c r="I90" s="7">
        <v>4.6344658221642021E-4</v>
      </c>
      <c r="J90" s="7"/>
      <c r="K90" s="7">
        <v>0.1266225092113018</v>
      </c>
      <c r="L90" s="7"/>
      <c r="M90" s="7"/>
      <c r="N90" s="7">
        <v>2.4738384708762169</v>
      </c>
      <c r="O90" s="7">
        <v>8.895508386194706E-2</v>
      </c>
      <c r="P90" s="7">
        <v>1.470056198547204E-3</v>
      </c>
      <c r="Q90">
        <v>7.8636353015899658</v>
      </c>
      <c r="R90">
        <v>16.514565795660019</v>
      </c>
      <c r="S90">
        <v>2.1687975525856018</v>
      </c>
      <c r="T90" s="7">
        <v>0.21255221217870712</v>
      </c>
      <c r="U90" s="7">
        <v>152.73508318700937</v>
      </c>
      <c r="V90">
        <v>2.5889329612255096E-2</v>
      </c>
      <c r="W90">
        <v>0.32875311374664307</v>
      </c>
      <c r="X90" s="7">
        <v>2.2113972809165716E-3</v>
      </c>
      <c r="Y90">
        <v>4.454296350479126</v>
      </c>
      <c r="Z90">
        <v>1.2235886454582214</v>
      </c>
      <c r="AA90">
        <v>0.36833791434764862</v>
      </c>
      <c r="AB90" s="7"/>
      <c r="AC90" s="7"/>
      <c r="AD90" s="7">
        <v>0.64032336324453354</v>
      </c>
      <c r="AE90">
        <v>4.3603551536798477</v>
      </c>
      <c r="AF90">
        <v>2.1360870040953159</v>
      </c>
      <c r="AH90">
        <v>2.0090248661581427</v>
      </c>
      <c r="AI90">
        <v>0.31542911380529404</v>
      </c>
      <c r="AL90">
        <v>0.14013392943888903</v>
      </c>
      <c r="AM90">
        <v>0.37483475171029568</v>
      </c>
      <c r="AN90">
        <v>4.5076801180839539</v>
      </c>
      <c r="AR90" s="7"/>
      <c r="AT90">
        <v>0.12115188641473651</v>
      </c>
      <c r="BI90">
        <v>7.2055122256278992</v>
      </c>
      <c r="BJ90">
        <v>36.203015506267548</v>
      </c>
      <c r="BK90">
        <v>22.917098581790924</v>
      </c>
      <c r="BL90">
        <v>25.742778480052948</v>
      </c>
      <c r="BM90">
        <v>3.0896468684077263</v>
      </c>
      <c r="BN90" s="7">
        <v>3.1554240211844444</v>
      </c>
      <c r="BO90">
        <v>33.189152747392654</v>
      </c>
      <c r="BP90">
        <v>49.973217844963074</v>
      </c>
      <c r="BQ90">
        <v>6.0635847214143723E-2</v>
      </c>
      <c r="BR90">
        <v>1.0339525477320421E-2</v>
      </c>
      <c r="BS90">
        <v>4.2076397221535444E-3</v>
      </c>
      <c r="BT90">
        <v>2.5503089800477028</v>
      </c>
      <c r="BU90" s="7">
        <v>6.0955108070629649E-2</v>
      </c>
      <c r="BV90">
        <v>2.1791261560283601</v>
      </c>
      <c r="BX90">
        <v>3.6266370639204979</v>
      </c>
      <c r="BY90">
        <v>9.1870550477324286E-4</v>
      </c>
      <c r="IM90">
        <v>659.15101242216122</v>
      </c>
      <c r="IN90">
        <v>9.5138537436723709</v>
      </c>
      <c r="IP90">
        <v>41.579656362533569</v>
      </c>
      <c r="IS90">
        <v>0.82625843126449139</v>
      </c>
    </row>
    <row r="91" spans="1:253" x14ac:dyDescent="0.3">
      <c r="A91" s="4" t="s">
        <v>1622</v>
      </c>
      <c r="B91">
        <v>2.7591255538936821E-3</v>
      </c>
      <c r="F91">
        <v>3.6136364415142452E-3</v>
      </c>
      <c r="I91">
        <v>4.1766142385313287E-4</v>
      </c>
      <c r="L91">
        <v>3.6008069850504398</v>
      </c>
      <c r="N91">
        <v>0.30094473258941434</v>
      </c>
      <c r="O91">
        <v>1.0647965860243858E-2</v>
      </c>
      <c r="P91" s="7"/>
      <c r="Q91">
        <v>0.95379690612026025</v>
      </c>
      <c r="R91">
        <v>1.8924699836352374</v>
      </c>
      <c r="S91">
        <v>0.2643172567259171</v>
      </c>
      <c r="W91">
        <v>493.25730037224196</v>
      </c>
      <c r="Y91">
        <v>0.29517411394044757</v>
      </c>
      <c r="AE91">
        <v>0.48053861105290707</v>
      </c>
      <c r="AF91">
        <v>0.30606545448245015</v>
      </c>
      <c r="AH91">
        <v>0.25976774221089727</v>
      </c>
      <c r="BJ91">
        <v>4.4100578842335381</v>
      </c>
      <c r="BK91">
        <v>2.8091402763384394</v>
      </c>
      <c r="BL91">
        <v>3.7907852645439561</v>
      </c>
      <c r="BM91">
        <v>0.44477249577175826</v>
      </c>
      <c r="BN91">
        <v>0.46453467589890352</v>
      </c>
      <c r="BO91">
        <v>1.0468929593334906</v>
      </c>
      <c r="BP91">
        <v>7.4792090182891116</v>
      </c>
      <c r="BQ91">
        <v>0.26125441717749709</v>
      </c>
      <c r="BR91">
        <v>3.8938155627278093E-2</v>
      </c>
      <c r="BS91">
        <v>2.8704342399123561E-2</v>
      </c>
      <c r="BT91">
        <v>0.1753472482014331</v>
      </c>
      <c r="BV91">
        <v>0.40299746861273888</v>
      </c>
      <c r="BW91">
        <v>7.8600987206300488E-2</v>
      </c>
      <c r="BX91">
        <v>0.26673664699774235</v>
      </c>
      <c r="IM91">
        <v>208.82502493384629</v>
      </c>
      <c r="IP91">
        <v>13.164725363836624</v>
      </c>
      <c r="IS91">
        <v>5.2811525076081932E-3</v>
      </c>
    </row>
    <row r="92" spans="1:253" x14ac:dyDescent="0.3">
      <c r="A92" s="4" t="s">
        <v>1623</v>
      </c>
      <c r="M92">
        <v>2.3261906690895557</v>
      </c>
      <c r="N92">
        <v>5.3718439584372391E-2</v>
      </c>
      <c r="O92">
        <v>1.9355912936589448E-3</v>
      </c>
      <c r="P92" s="7"/>
      <c r="R92" s="7"/>
      <c r="S92">
        <v>4.7161231825157302E-2</v>
      </c>
      <c r="Y92">
        <v>5.2954609214793891E-2</v>
      </c>
      <c r="AB92">
        <v>5.2749645083167707E-3</v>
      </c>
      <c r="AE92">
        <v>8.3553601199128025E-2</v>
      </c>
      <c r="AI92">
        <v>2.4251418751191522E-2</v>
      </c>
      <c r="AL92" s="7"/>
      <c r="AM92" s="7"/>
      <c r="AO92" s="7"/>
      <c r="AW92" s="7"/>
      <c r="BB92" s="7"/>
      <c r="BC92" s="7"/>
      <c r="BJ92">
        <v>0.78700652506086044</v>
      </c>
      <c r="BK92">
        <v>0.49772624438628554</v>
      </c>
      <c r="BL92">
        <v>0.70524788507464109</v>
      </c>
      <c r="BM92">
        <v>8.2883561982271203E-2</v>
      </c>
      <c r="BO92">
        <v>0.19434772814565804</v>
      </c>
      <c r="BP92">
        <v>1.26764014067885</v>
      </c>
      <c r="BT92">
        <v>5.6037405000097351E-2</v>
      </c>
      <c r="IM92">
        <v>101.61156049714656</v>
      </c>
      <c r="IS92">
        <v>0.33418100961641317</v>
      </c>
    </row>
    <row r="93" spans="1:253" x14ac:dyDescent="0.3">
      <c r="A93" s="4" t="s">
        <v>1624</v>
      </c>
      <c r="B93">
        <v>4.8835052875801921E-3</v>
      </c>
      <c r="C93">
        <v>1.173353523015976</v>
      </c>
      <c r="D93">
        <v>0.35486061638221145</v>
      </c>
      <c r="E93">
        <v>9.7213639616966248</v>
      </c>
      <c r="F93">
        <v>0.11206155561376363</v>
      </c>
      <c r="I93">
        <v>7.4068607282242738E-3</v>
      </c>
      <c r="J93">
        <v>2.878266965970397</v>
      </c>
      <c r="K93">
        <v>0.32885416434146464</v>
      </c>
      <c r="L93">
        <v>0.51625585136935115</v>
      </c>
      <c r="M93">
        <v>0.14117578696459532</v>
      </c>
      <c r="N93">
        <v>2.5387505730614066</v>
      </c>
      <c r="P93" s="7">
        <v>1.3363426139217864E-3</v>
      </c>
      <c r="R93" s="7"/>
      <c r="S93" s="7">
        <v>0.57802709750831127</v>
      </c>
      <c r="T93">
        <v>3.4154341798275709</v>
      </c>
      <c r="U93">
        <v>2.3820165675133467</v>
      </c>
      <c r="V93">
        <v>1.8619402013719082</v>
      </c>
      <c r="W93">
        <v>5.304943036288023</v>
      </c>
      <c r="X93">
        <v>5.6802023318596184E-2</v>
      </c>
      <c r="Y93">
        <v>0.3745410144329071</v>
      </c>
      <c r="Z93">
        <v>52.585797190666199</v>
      </c>
      <c r="AA93">
        <v>30.549449324607849</v>
      </c>
      <c r="AE93">
        <v>5.6283801198005676</v>
      </c>
      <c r="AF93">
        <v>0.28499660734087229</v>
      </c>
      <c r="AH93">
        <v>0.55837971623986959</v>
      </c>
      <c r="AI93">
        <v>7.343788119032979E-2</v>
      </c>
      <c r="AL93" s="7">
        <v>8.062805375084281E-2</v>
      </c>
      <c r="AM93" s="7"/>
      <c r="AN93">
        <v>1.1229699999094009</v>
      </c>
      <c r="AO93" s="7"/>
      <c r="AP93" s="7"/>
      <c r="AT93">
        <v>2.8844840009696782E-2</v>
      </c>
      <c r="AW93" s="7"/>
      <c r="BB93" s="7"/>
      <c r="BC93" s="7"/>
      <c r="BI93">
        <v>4.5756503641605377</v>
      </c>
      <c r="BJ93">
        <v>9.5055694133043289</v>
      </c>
      <c r="BK93">
        <v>5.9283489510416985</v>
      </c>
      <c r="BL93">
        <v>12.801070168614388</v>
      </c>
      <c r="BM93">
        <v>3.9761979505419731</v>
      </c>
      <c r="BN93">
        <v>0.73101241141557693</v>
      </c>
      <c r="BO93">
        <v>3.4693348854780197</v>
      </c>
      <c r="BP93">
        <v>5.4437050074338913</v>
      </c>
      <c r="BQ93">
        <v>0.12462596548721194</v>
      </c>
      <c r="BR93">
        <v>2.6321197394281626E-2</v>
      </c>
      <c r="BS93">
        <v>1.083111779007595E-2</v>
      </c>
      <c r="BT93">
        <v>0.6051607821136713</v>
      </c>
      <c r="BU93">
        <v>1.8501318147173151E-2</v>
      </c>
      <c r="BV93">
        <v>0.61792336869984865</v>
      </c>
      <c r="BX93">
        <v>0.87897260300815105</v>
      </c>
      <c r="IM93">
        <v>525.93433410509488</v>
      </c>
      <c r="IN93">
        <v>11.354815527796745</v>
      </c>
      <c r="IP93">
        <v>32.898146271705627</v>
      </c>
      <c r="IS93">
        <v>7.8229858134199456E-2</v>
      </c>
    </row>
    <row r="94" spans="1:253" x14ac:dyDescent="0.3">
      <c r="A94" s="4" t="s">
        <v>1625</v>
      </c>
      <c r="N94">
        <v>2.7210760163143277E-2</v>
      </c>
      <c r="O94">
        <v>0.14896991197019815</v>
      </c>
      <c r="P94" s="7"/>
      <c r="R94" s="7"/>
      <c r="S94" s="7"/>
      <c r="U94">
        <v>6.1768919229507446E-2</v>
      </c>
      <c r="W94">
        <v>0.76900172233581543</v>
      </c>
      <c r="X94">
        <v>1.7733240965753794E-3</v>
      </c>
      <c r="Z94">
        <v>4.2027369737625122</v>
      </c>
      <c r="AA94">
        <v>0.26834186166524887</v>
      </c>
      <c r="AL94" s="7"/>
      <c r="AM94" s="7"/>
      <c r="AO94" s="7"/>
      <c r="AP94" s="7"/>
      <c r="AQ94" s="7"/>
      <c r="AR94" s="7"/>
      <c r="AS94" s="7"/>
      <c r="AV94" s="7"/>
      <c r="AW94" s="7"/>
      <c r="BB94" s="7"/>
      <c r="BC94" s="7"/>
      <c r="BK94">
        <v>3.1361956596374512</v>
      </c>
      <c r="BX94">
        <v>0.69427130557596684</v>
      </c>
      <c r="BY94">
        <v>8.3136231205571676E-4</v>
      </c>
      <c r="IM94">
        <v>20.345875025916929</v>
      </c>
      <c r="IS94">
        <v>8.6398672985025566</v>
      </c>
    </row>
    <row r="95" spans="1:253" x14ac:dyDescent="0.3">
      <c r="A95" s="4" t="s">
        <v>1626</v>
      </c>
      <c r="C95" s="7"/>
      <c r="H95" s="7"/>
      <c r="M95" s="7"/>
      <c r="P95" s="7">
        <v>6.7813565135002136</v>
      </c>
      <c r="R95" s="7"/>
      <c r="AL95" s="7"/>
      <c r="AM95" s="7"/>
      <c r="AP95" s="7"/>
      <c r="AR95" s="7"/>
      <c r="AU95">
        <v>3.8368661840890925E-2</v>
      </c>
      <c r="AW95" s="7"/>
      <c r="BB95" s="7"/>
      <c r="BC95" s="7"/>
      <c r="BI95">
        <v>3.4396385246117172</v>
      </c>
      <c r="BM95">
        <v>5.6981393598420187E-2</v>
      </c>
      <c r="IS95">
        <v>7.2130112810190689E-2</v>
      </c>
    </row>
    <row r="96" spans="1:253" x14ac:dyDescent="0.3">
      <c r="A96" s="4" t="s">
        <v>1627</v>
      </c>
      <c r="B96" s="7"/>
      <c r="H96" s="7"/>
      <c r="M96" s="7"/>
      <c r="P96">
        <v>0.23371651920864461</v>
      </c>
      <c r="Q96">
        <v>11.248479008674622</v>
      </c>
      <c r="R96" s="7">
        <v>0.84680151520296931</v>
      </c>
      <c r="S96" s="7"/>
      <c r="AG96" s="7">
        <v>8332.4469386713736</v>
      </c>
      <c r="AJ96" s="7"/>
      <c r="AL96" s="7"/>
      <c r="AM96" s="7"/>
      <c r="AO96" s="7"/>
      <c r="AP96" s="7"/>
      <c r="AQ96" s="7"/>
      <c r="AR96" s="7"/>
      <c r="AS96" s="7"/>
      <c r="AV96" s="7"/>
      <c r="AW96" s="7"/>
      <c r="AY96" s="7"/>
      <c r="AZ96" s="7"/>
      <c r="BA96" s="7"/>
      <c r="BB96" s="7"/>
      <c r="BC96" s="7"/>
      <c r="BE96">
        <v>4.8185655643464997E-2</v>
      </c>
      <c r="BI96">
        <v>1.9537124228297229</v>
      </c>
      <c r="BL96">
        <v>0.81568226218223572</v>
      </c>
      <c r="BO96">
        <v>0.14798426534980536</v>
      </c>
      <c r="BP96">
        <v>0.33542357804253697</v>
      </c>
      <c r="BU96" s="7"/>
      <c r="IS96">
        <v>10237.537389074829</v>
      </c>
    </row>
    <row r="97" spans="1:253" x14ac:dyDescent="0.3">
      <c r="A97" s="4" t="s">
        <v>1628</v>
      </c>
      <c r="B97">
        <v>8.7401551825223578E-3</v>
      </c>
      <c r="C97">
        <v>1.8756877517007524</v>
      </c>
      <c r="D97">
        <v>0.59439648926490918</v>
      </c>
      <c r="E97">
        <v>13.060448203235865</v>
      </c>
      <c r="F97">
        <v>0.18673379544270574</v>
      </c>
      <c r="I97">
        <v>5.9444808366606594E-3</v>
      </c>
      <c r="J97">
        <v>0.17389993401593529</v>
      </c>
      <c r="K97">
        <v>5.7728763877094025E-2</v>
      </c>
      <c r="L97">
        <v>3.891544064572372E-2</v>
      </c>
      <c r="M97">
        <v>1.4449975344177801E-2</v>
      </c>
      <c r="N97">
        <v>1.130985811323626</v>
      </c>
      <c r="P97" s="7">
        <v>0.15100344166522009</v>
      </c>
      <c r="Q97">
        <v>0.54421957912563812</v>
      </c>
      <c r="R97" s="7">
        <v>41.300274613313377</v>
      </c>
      <c r="S97">
        <v>0.60413108427019324</v>
      </c>
      <c r="T97">
        <v>0.46800025808624923</v>
      </c>
      <c r="U97">
        <v>2.1951524067553692</v>
      </c>
      <c r="V97">
        <v>4.3940170146524906</v>
      </c>
      <c r="W97">
        <v>18.631920465733856</v>
      </c>
      <c r="X97">
        <v>0.1423961779291858</v>
      </c>
      <c r="Y97">
        <v>5.6981916750373784E-2</v>
      </c>
      <c r="Z97">
        <v>58.14395497739315</v>
      </c>
      <c r="AA97">
        <v>4.7436425145715475</v>
      </c>
      <c r="AB97">
        <v>4.0941900391771924E-2</v>
      </c>
      <c r="AF97">
        <v>0.23031032446306199</v>
      </c>
      <c r="AG97">
        <v>6508.0200576185853</v>
      </c>
      <c r="AH97">
        <v>356.93021632730961</v>
      </c>
      <c r="AI97">
        <v>25.139450436923653</v>
      </c>
      <c r="AJ97">
        <v>151.96229647099972</v>
      </c>
      <c r="AK97">
        <v>30.721140742301941</v>
      </c>
      <c r="AL97" s="7">
        <v>9.1339863492175937</v>
      </c>
      <c r="AM97" s="7"/>
      <c r="AO97" s="7"/>
      <c r="AP97" s="7"/>
      <c r="AQ97" s="7"/>
      <c r="AR97" s="7"/>
      <c r="AS97" s="7">
        <v>6.60256006739246E-3</v>
      </c>
      <c r="AT97">
        <v>0.27010849336511455</v>
      </c>
      <c r="AW97" s="7"/>
      <c r="AX97">
        <v>353.2779350951314</v>
      </c>
      <c r="BB97" s="7"/>
      <c r="BC97" s="7">
        <v>154.95526014640927</v>
      </c>
      <c r="BG97">
        <v>0.3714666489395313</v>
      </c>
      <c r="BH97">
        <v>0.33520525286803604</v>
      </c>
      <c r="BI97">
        <v>465.17639958113432</v>
      </c>
      <c r="BJ97">
        <v>49.096847049891949</v>
      </c>
      <c r="BK97">
        <v>0.12167062563457876</v>
      </c>
      <c r="BL97">
        <v>283.64071376249194</v>
      </c>
      <c r="BM97">
        <v>4.6137601856607944</v>
      </c>
      <c r="BN97">
        <v>4.982076256768778</v>
      </c>
      <c r="BO97">
        <v>34.59558130428195</v>
      </c>
      <c r="BP97">
        <v>107.34044792316854</v>
      </c>
      <c r="BQ97">
        <v>1.0302202960738214</v>
      </c>
      <c r="BR97">
        <v>2.8853036539658206E-2</v>
      </c>
      <c r="BS97">
        <v>0.28356673921371112</v>
      </c>
      <c r="BT97">
        <v>1.9282918146345764</v>
      </c>
      <c r="BV97">
        <v>0.97080064956026035</v>
      </c>
      <c r="BW97">
        <v>0.45557296960032545</v>
      </c>
      <c r="BX97">
        <v>1.4766076725936728</v>
      </c>
      <c r="IM97">
        <v>2081.9132881198902</v>
      </c>
      <c r="IS97">
        <v>28976.345091240633</v>
      </c>
    </row>
    <row r="98" spans="1:253" x14ac:dyDescent="0.3">
      <c r="A98" s="4" t="s">
        <v>1629</v>
      </c>
      <c r="B98">
        <v>6.8529056443367153E-4</v>
      </c>
      <c r="C98">
        <v>0.15338688902556896</v>
      </c>
      <c r="D98">
        <v>6.1689398717135191E-2</v>
      </c>
      <c r="E98">
        <v>1.3381858021020889</v>
      </c>
      <c r="F98">
        <v>1.7943212995305657E-2</v>
      </c>
      <c r="I98">
        <v>1.2995460274396464E-3</v>
      </c>
      <c r="J98">
        <v>0.3585967905819416</v>
      </c>
      <c r="L98">
        <v>6.3145755790174007E-2</v>
      </c>
      <c r="M98">
        <v>2.1583424881100655E-2</v>
      </c>
      <c r="N98">
        <v>8.9059608988463879E-2</v>
      </c>
      <c r="O98">
        <v>1.791776048776228E-3</v>
      </c>
      <c r="P98" s="7">
        <v>3.3319010088122447E-3</v>
      </c>
      <c r="Q98">
        <v>6.3647162914276123</v>
      </c>
      <c r="R98">
        <v>4.3580623120069504</v>
      </c>
      <c r="S98">
        <v>1.4930798262357712</v>
      </c>
      <c r="X98">
        <v>4.6110212133498862E-4</v>
      </c>
      <c r="Z98">
        <v>0.45841388404369354</v>
      </c>
      <c r="AA98">
        <v>0.26931965723633766</v>
      </c>
      <c r="AF98">
        <v>9.7645474597811699E-2</v>
      </c>
      <c r="AH98">
        <v>8.1020012497901917</v>
      </c>
      <c r="AJ98">
        <v>0.20313119329512119</v>
      </c>
      <c r="AK98">
        <v>80.409847259521484</v>
      </c>
      <c r="AL98">
        <v>14.061361193656921</v>
      </c>
      <c r="AM98">
        <v>91.262859344482422</v>
      </c>
      <c r="AN98">
        <v>3.9385378062725067</v>
      </c>
      <c r="AO98">
        <v>7.385559962131083E-3</v>
      </c>
      <c r="AP98">
        <v>5.2169386763125658E-3</v>
      </c>
      <c r="AQ98">
        <v>1.2683726381510496E-2</v>
      </c>
      <c r="AT98">
        <v>2.7289711870253086E-2</v>
      </c>
      <c r="AW98" s="7"/>
      <c r="BB98" s="7"/>
      <c r="BH98">
        <v>8.4002934396266937E-2</v>
      </c>
      <c r="BI98">
        <v>594.79040827165409</v>
      </c>
      <c r="BJ98">
        <v>0.45845996960997581</v>
      </c>
      <c r="BS98">
        <v>4.5441761758411303E-3</v>
      </c>
      <c r="BT98">
        <v>0.10621996130794287</v>
      </c>
      <c r="BY98">
        <v>1.482482225401327E-2</v>
      </c>
      <c r="IS98">
        <v>88.297550949670907</v>
      </c>
    </row>
    <row r="99" spans="1:253" x14ac:dyDescent="0.3">
      <c r="A99" s="4" t="s">
        <v>1630</v>
      </c>
      <c r="B99">
        <v>3.4074151534696284E-2</v>
      </c>
      <c r="C99">
        <v>9.5912907475139946</v>
      </c>
      <c r="D99">
        <v>1.2451172064174898</v>
      </c>
      <c r="E99">
        <v>59.035554174333811</v>
      </c>
      <c r="F99">
        <v>0.5850710821832763</v>
      </c>
      <c r="I99">
        <v>0.19491479215503205</v>
      </c>
      <c r="J99">
        <v>33.888907846994698</v>
      </c>
      <c r="K99">
        <v>7.1454091768246144</v>
      </c>
      <c r="L99">
        <v>6.6465605250559747</v>
      </c>
      <c r="M99" s="7">
        <v>1.311016716004815</v>
      </c>
      <c r="N99">
        <v>6.1635457277297974</v>
      </c>
      <c r="O99">
        <v>0.18600654788315296</v>
      </c>
      <c r="P99" s="7"/>
      <c r="T99">
        <v>2.1931568384170532</v>
      </c>
      <c r="U99">
        <v>0.11329188756644726</v>
      </c>
      <c r="W99">
        <v>7.8996093012392521E-2</v>
      </c>
      <c r="Z99">
        <v>4.6435788124799728</v>
      </c>
      <c r="AD99">
        <v>3.6898963749408722</v>
      </c>
      <c r="AH99">
        <v>5.9842233061790466</v>
      </c>
      <c r="AI99">
        <v>0.51783315092325211</v>
      </c>
      <c r="AL99" s="7">
        <v>0.17138728126883507</v>
      </c>
      <c r="AN99">
        <v>4.2803508639335632</v>
      </c>
      <c r="AW99" s="7"/>
      <c r="BB99" s="7"/>
      <c r="BI99">
        <v>8.5043363571166992</v>
      </c>
      <c r="BJ99">
        <v>43.956923007965088</v>
      </c>
      <c r="BK99">
        <v>25.703581809997559</v>
      </c>
      <c r="BL99">
        <v>1.2280177772045135</v>
      </c>
      <c r="BM99">
        <v>2.2129120230674744</v>
      </c>
      <c r="BN99">
        <v>0.1197852841578424</v>
      </c>
      <c r="BO99">
        <v>14.367874264717102</v>
      </c>
      <c r="BP99">
        <v>4.327688455581665</v>
      </c>
      <c r="BU99">
        <v>3.7504962645471096E-2</v>
      </c>
      <c r="BV99">
        <v>0.29182379692792892</v>
      </c>
      <c r="BW99">
        <v>0.20176391303539276</v>
      </c>
      <c r="BX99">
        <v>0.91497734189033508</v>
      </c>
      <c r="IM99">
        <v>670.64272325835509</v>
      </c>
      <c r="IN99">
        <v>10.558615244925022</v>
      </c>
      <c r="IS99">
        <v>0.17220171494984349</v>
      </c>
    </row>
    <row r="100" spans="1:253" x14ac:dyDescent="0.3">
      <c r="A100" s="4" t="s">
        <v>1631</v>
      </c>
      <c r="I100">
        <v>3.9794415351934731E-4</v>
      </c>
      <c r="N100">
        <v>0.9195729186758399</v>
      </c>
      <c r="O100">
        <v>2.7792958047939464E-2</v>
      </c>
      <c r="U100">
        <v>3.0296875050989911</v>
      </c>
      <c r="Z100">
        <v>1.7473913814174011</v>
      </c>
      <c r="AD100">
        <v>0.2906282152980566</v>
      </c>
      <c r="AH100">
        <v>0.91379372403025627</v>
      </c>
      <c r="AI100">
        <v>6.4158548251725733E-2</v>
      </c>
      <c r="AN100">
        <v>0.65133578749373555</v>
      </c>
      <c r="BJ100">
        <v>6.5716699361801147</v>
      </c>
      <c r="BK100">
        <v>4.4806540198624134</v>
      </c>
      <c r="BM100">
        <v>0.37308799312449992</v>
      </c>
      <c r="BO100">
        <v>2.8332496359944344</v>
      </c>
      <c r="BX100">
        <v>0.2712505767121911</v>
      </c>
      <c r="IM100">
        <v>292.05020860041031</v>
      </c>
      <c r="IN100">
        <v>4.6277166660875082</v>
      </c>
      <c r="IS100">
        <v>0.8732680739959372</v>
      </c>
    </row>
    <row r="101" spans="1:253" x14ac:dyDescent="0.3">
      <c r="A101" s="4" t="s">
        <v>1632</v>
      </c>
      <c r="B101">
        <v>6.820869402417884E-3</v>
      </c>
      <c r="C101">
        <v>1.9209311414742842</v>
      </c>
      <c r="D101">
        <v>0.24897478666389361</v>
      </c>
      <c r="E101">
        <v>11.857175804674625</v>
      </c>
      <c r="F101">
        <v>0.11881805433949921</v>
      </c>
      <c r="I101">
        <v>3.915764485282125E-2</v>
      </c>
      <c r="J101">
        <v>6.8895311411470175</v>
      </c>
      <c r="K101">
        <v>1.5125193744897842</v>
      </c>
      <c r="L101">
        <v>1.3845921261236072</v>
      </c>
      <c r="M101">
        <v>0.26652762701269239</v>
      </c>
      <c r="N101">
        <v>1.5259806513786316</v>
      </c>
      <c r="O101">
        <v>4.5594598166644573E-2</v>
      </c>
      <c r="P101" s="7"/>
      <c r="V101">
        <v>1.3913229703903198</v>
      </c>
      <c r="Z101">
        <v>6.3872807025909424</v>
      </c>
      <c r="AD101">
        <v>0.3399331122636795</v>
      </c>
      <c r="AH101">
        <v>1.5728113055229187</v>
      </c>
      <c r="AI101">
        <v>0.11331037618219852</v>
      </c>
      <c r="AN101">
        <v>0.98052456974983215</v>
      </c>
      <c r="BB101" s="7"/>
      <c r="BI101">
        <v>2.1160810589790344</v>
      </c>
      <c r="BJ101">
        <v>10.880650043487549</v>
      </c>
      <c r="BK101">
        <v>6.1714907884597778</v>
      </c>
      <c r="BO101">
        <v>5.0901693105697632</v>
      </c>
      <c r="BX101">
        <v>0.26391664892435074</v>
      </c>
      <c r="IM101">
        <v>1639.7441316475838</v>
      </c>
      <c r="IN101">
        <v>21.330689668655396</v>
      </c>
      <c r="IS101">
        <v>13.717182179803102</v>
      </c>
    </row>
    <row r="102" spans="1:253" x14ac:dyDescent="0.3">
      <c r="A102" s="4" t="s">
        <v>1633</v>
      </c>
      <c r="B102" s="7">
        <v>4.4803147957281908E-3</v>
      </c>
      <c r="C102" s="7">
        <v>1.2611210201866925</v>
      </c>
      <c r="D102">
        <v>0.16360427002655342</v>
      </c>
      <c r="E102">
        <v>7.754379503428936</v>
      </c>
      <c r="F102">
        <v>7.6901594118680805E-2</v>
      </c>
      <c r="I102">
        <v>2.5652983604231849E-2</v>
      </c>
      <c r="J102">
        <v>4.4589865412563086</v>
      </c>
      <c r="K102">
        <v>0.93997571151703596</v>
      </c>
      <c r="L102">
        <v>0.87530112499371171</v>
      </c>
      <c r="M102" s="7">
        <v>0.17239186330698431</v>
      </c>
      <c r="N102">
        <v>2.2544786930084229</v>
      </c>
      <c r="O102">
        <v>6.7851627245545387E-2</v>
      </c>
      <c r="P102" s="7"/>
      <c r="W102">
        <v>21.140323638916016</v>
      </c>
      <c r="Z102">
        <v>10.50661426782608</v>
      </c>
      <c r="AD102">
        <v>0.49242901802062988</v>
      </c>
      <c r="AH102">
        <v>0.57543589174747467</v>
      </c>
      <c r="AI102">
        <v>1.9220907688140869</v>
      </c>
      <c r="AL102" s="7"/>
      <c r="AM102" s="7"/>
      <c r="AN102">
        <v>1.6887370347976685</v>
      </c>
      <c r="BI102">
        <v>3.1061992645263672</v>
      </c>
      <c r="BJ102">
        <v>16.088418006896973</v>
      </c>
      <c r="BK102">
        <v>9.3393642902374268</v>
      </c>
      <c r="BM102">
        <v>0.44483550637960434</v>
      </c>
      <c r="BO102">
        <v>7.4648053646087646</v>
      </c>
      <c r="BP102">
        <v>0.39175604283809662</v>
      </c>
      <c r="BX102">
        <v>0.4109201654791832</v>
      </c>
      <c r="IM102">
        <v>2189.9023805533698</v>
      </c>
      <c r="IN102">
        <v>30.431771278381348</v>
      </c>
      <c r="IS102">
        <v>0.46323035681909086</v>
      </c>
    </row>
    <row r="103" spans="1:253" x14ac:dyDescent="0.3">
      <c r="A103" s="4" t="s">
        <v>1634</v>
      </c>
      <c r="B103">
        <v>6.9463844711208367E-3</v>
      </c>
      <c r="C103">
        <v>1.9482907119090669</v>
      </c>
      <c r="D103">
        <v>0.25328147412801627</v>
      </c>
      <c r="E103">
        <v>11.995099915191531</v>
      </c>
      <c r="F103">
        <v>0.11904133457574062</v>
      </c>
      <c r="I103">
        <v>3.9618511505977949E-2</v>
      </c>
      <c r="J103">
        <v>6.8933147764764726</v>
      </c>
      <c r="K103">
        <v>1.4640390165150166</v>
      </c>
      <c r="L103">
        <v>1.3519203150644898</v>
      </c>
      <c r="M103">
        <v>0.26636690214945702</v>
      </c>
      <c r="N103">
        <v>1.1210982594639063</v>
      </c>
      <c r="O103">
        <v>3.377909550908953E-2</v>
      </c>
      <c r="X103">
        <v>0.31504202634096146</v>
      </c>
      <c r="Z103">
        <v>0.94561302661895752</v>
      </c>
      <c r="AA103">
        <v>1.4581233896315098</v>
      </c>
      <c r="AD103">
        <v>0.24284663330763578</v>
      </c>
      <c r="AH103">
        <v>0.94122104160487652</v>
      </c>
      <c r="AI103">
        <v>0.11660963483154774</v>
      </c>
      <c r="AJ103">
        <v>0.13317297855974175</v>
      </c>
      <c r="AN103">
        <v>0.77306556142866611</v>
      </c>
      <c r="BC103" s="7"/>
      <c r="BJ103">
        <v>7.9891998916864395</v>
      </c>
      <c r="BK103">
        <v>4.8535019755363464</v>
      </c>
      <c r="BM103">
        <v>6.3294133869931102E-2</v>
      </c>
      <c r="BO103">
        <v>2.6751488782465458</v>
      </c>
      <c r="BP103">
        <v>0.83944330830127001</v>
      </c>
      <c r="BX103">
        <v>0.23452959209680557</v>
      </c>
      <c r="IM103">
        <v>34.130250213696833</v>
      </c>
      <c r="IS103">
        <v>3.0852398504023732E-2</v>
      </c>
    </row>
    <row r="104" spans="1:253" x14ac:dyDescent="0.3">
      <c r="A104" s="4" t="s">
        <v>1635</v>
      </c>
      <c r="B104">
        <v>0.12448242297318757</v>
      </c>
      <c r="C104">
        <v>35.017595062410692</v>
      </c>
      <c r="D104">
        <v>4.5616459122175002</v>
      </c>
      <c r="E104">
        <v>216.06401324179024</v>
      </c>
      <c r="F104">
        <v>2.1383621079148725</v>
      </c>
      <c r="I104">
        <v>0.70968402815196896</v>
      </c>
      <c r="J104">
        <v>123.97996240197556</v>
      </c>
      <c r="K104">
        <v>26.174684084951878</v>
      </c>
      <c r="L104">
        <v>24.328589134849608</v>
      </c>
      <c r="M104">
        <v>4.7884029423585162</v>
      </c>
      <c r="N104">
        <v>19.724544998258352</v>
      </c>
      <c r="O104">
        <v>0.59689600096317008</v>
      </c>
      <c r="W104">
        <v>0.18787433207035065</v>
      </c>
      <c r="Y104">
        <v>0.95264631509780884</v>
      </c>
      <c r="Z104">
        <v>159.84453743696213</v>
      </c>
      <c r="AA104">
        <v>0.45671319961547852</v>
      </c>
      <c r="AB104">
        <v>5.4776398837930174E-3</v>
      </c>
      <c r="AD104">
        <v>4.2908537371549755</v>
      </c>
      <c r="AF104">
        <v>0.1877255542203784</v>
      </c>
      <c r="AH104">
        <v>16.705400251783431</v>
      </c>
      <c r="AI104">
        <v>4.1674000050406903</v>
      </c>
      <c r="AJ104">
        <v>0.23088148473470937</v>
      </c>
      <c r="AL104">
        <v>1.4963570951949805</v>
      </c>
      <c r="AM104">
        <v>3.0840977274929173</v>
      </c>
      <c r="AN104">
        <v>9.5079899863339961</v>
      </c>
      <c r="AT104">
        <v>2.5322454086563084E-2</v>
      </c>
      <c r="BI104">
        <v>27.115763368085027</v>
      </c>
      <c r="BJ104">
        <v>140.92521993815899</v>
      </c>
      <c r="BK104">
        <v>80.600307360291481</v>
      </c>
      <c r="BL104">
        <v>13.405094824032858</v>
      </c>
      <c r="BM104">
        <v>1.7133328065974638</v>
      </c>
      <c r="BN104">
        <v>1.6478776086296421</v>
      </c>
      <c r="BO104">
        <v>16.174362635239959</v>
      </c>
      <c r="BP104">
        <v>26.140431888401508</v>
      </c>
      <c r="BU104">
        <v>0.10443044058047235</v>
      </c>
      <c r="BV104">
        <v>0.14948693290352821</v>
      </c>
      <c r="BW104">
        <v>1.1308919135481119</v>
      </c>
      <c r="BX104">
        <v>2.7766040340065956</v>
      </c>
      <c r="BY104">
        <v>1.0772689847726724E-3</v>
      </c>
      <c r="IM104">
        <v>128.8487270826767</v>
      </c>
      <c r="IS104">
        <v>260.34860945545893</v>
      </c>
    </row>
    <row r="105" spans="1:253" x14ac:dyDescent="0.3">
      <c r="A105" s="4" t="s">
        <v>1636</v>
      </c>
      <c r="B105">
        <v>4.5509602059610188E-2</v>
      </c>
      <c r="C105">
        <v>12.814338631927967</v>
      </c>
      <c r="D105">
        <v>1.6603455850854516</v>
      </c>
      <c r="E105">
        <v>78.6170354783535</v>
      </c>
      <c r="F105">
        <v>0.78146812506020069</v>
      </c>
      <c r="I105">
        <v>0.2615538293030113</v>
      </c>
      <c r="J105">
        <v>302.81336901746607</v>
      </c>
      <c r="K105">
        <v>312.06224327241807</v>
      </c>
      <c r="L105">
        <v>77.790947384031696</v>
      </c>
      <c r="M105">
        <v>5.3479838371276855</v>
      </c>
      <c r="N105">
        <v>24.635474681854248</v>
      </c>
      <c r="O105">
        <v>0.74706318974494934</v>
      </c>
      <c r="U105">
        <v>5.3448166698217392E-2</v>
      </c>
      <c r="V105">
        <v>1.0871003493666649</v>
      </c>
      <c r="W105">
        <v>2.1595953553915024</v>
      </c>
      <c r="X105">
        <v>2.5130488211289048E-4</v>
      </c>
      <c r="Y105">
        <v>6.4034823328256607E-2</v>
      </c>
      <c r="Z105">
        <v>49.582469940185547</v>
      </c>
      <c r="AA105">
        <v>7.6412917524576187</v>
      </c>
      <c r="AB105">
        <v>9.5448058564215899E-3</v>
      </c>
      <c r="AD105">
        <v>5.3565088510513306</v>
      </c>
      <c r="AE105">
        <v>0.18686714395880699</v>
      </c>
      <c r="AF105">
        <v>8.1295005977153778E-2</v>
      </c>
      <c r="AH105">
        <v>15.651655912399292</v>
      </c>
      <c r="AI105">
        <v>8.2289965152740479</v>
      </c>
      <c r="AJ105">
        <v>2.7436298727989197</v>
      </c>
      <c r="AK105">
        <v>0.68344134092330933</v>
      </c>
      <c r="AL105">
        <v>0.72440896928310394</v>
      </c>
      <c r="AM105">
        <v>2.4541675001382828</v>
      </c>
      <c r="AN105">
        <v>15.198101043701172</v>
      </c>
      <c r="AQ105">
        <v>9.3058234779164195E-3</v>
      </c>
      <c r="AT105">
        <v>1.8345528282225132E-2</v>
      </c>
      <c r="BI105">
        <v>33.875536918640137</v>
      </c>
      <c r="BJ105">
        <v>175.69355392456055</v>
      </c>
      <c r="BK105">
        <v>98.011911392211914</v>
      </c>
      <c r="BL105">
        <v>3.4868984818458557</v>
      </c>
      <c r="BM105">
        <v>0.93445521593093872</v>
      </c>
      <c r="BN105">
        <v>0.84788914769887924</v>
      </c>
      <c r="BO105">
        <v>32.09309196472168</v>
      </c>
      <c r="BP105">
        <v>47.318115234375</v>
      </c>
      <c r="BU105">
        <v>0.15816449746489525</v>
      </c>
      <c r="BV105">
        <v>0.68600396811962128</v>
      </c>
      <c r="BW105">
        <v>0.57139275968074799</v>
      </c>
      <c r="BX105">
        <v>2.8080037236213684</v>
      </c>
      <c r="IM105">
        <v>4288.5321039320197</v>
      </c>
      <c r="IN105">
        <v>65.56574535369873</v>
      </c>
      <c r="IS105">
        <v>41.485016693712062</v>
      </c>
    </row>
    <row r="106" spans="1:253" x14ac:dyDescent="0.3">
      <c r="A106" s="4" t="s">
        <v>1637</v>
      </c>
      <c r="B106">
        <v>1.689065400569234E-3</v>
      </c>
      <c r="C106">
        <v>0.47656726464629173</v>
      </c>
      <c r="D106">
        <v>6.1552212573587894E-2</v>
      </c>
      <c r="E106">
        <v>2.9305383861064911</v>
      </c>
      <c r="F106">
        <v>2.8972089290618896E-2</v>
      </c>
      <c r="I106">
        <v>9.689533559139818E-3</v>
      </c>
      <c r="J106">
        <v>1.6818280220031738</v>
      </c>
      <c r="K106">
        <v>0.35462361574172974</v>
      </c>
      <c r="L106">
        <v>0.32988732308149338</v>
      </c>
      <c r="M106">
        <v>6.4890427514910698E-2</v>
      </c>
      <c r="N106">
        <v>8.9287929534912109</v>
      </c>
      <c r="O106">
        <v>0.26897530304268003</v>
      </c>
      <c r="AA106">
        <v>9.9211375713348389</v>
      </c>
      <c r="AD106">
        <v>1.9398781806230545</v>
      </c>
      <c r="AH106">
        <v>7.0912851989269257</v>
      </c>
      <c r="AI106">
        <v>0.37555946037173271</v>
      </c>
      <c r="AJ106">
        <v>2.0350633710622787</v>
      </c>
      <c r="AL106">
        <v>0.24561630864627659</v>
      </c>
      <c r="AM106">
        <v>1.0834009755635634</v>
      </c>
      <c r="AN106">
        <v>5.355074942111969</v>
      </c>
      <c r="BI106">
        <v>12.299781173467636</v>
      </c>
      <c r="BJ106">
        <v>63.766567587852478</v>
      </c>
      <c r="BK106">
        <v>36.246142864227295</v>
      </c>
      <c r="BL106">
        <v>1.1245164051651955</v>
      </c>
      <c r="BM106">
        <v>0.16377582028508186</v>
      </c>
      <c r="BO106">
        <v>14.658120512962341</v>
      </c>
      <c r="BP106">
        <v>15.267414912581444</v>
      </c>
      <c r="BU106">
        <v>6.9261882221326232E-2</v>
      </c>
      <c r="BV106">
        <v>0.17435382655821741</v>
      </c>
      <c r="BW106">
        <v>0.15180269116535783</v>
      </c>
      <c r="BX106">
        <v>0.82623394206166267</v>
      </c>
      <c r="IM106">
        <v>2286.7733828475129</v>
      </c>
      <c r="IN106">
        <v>36.055023670196533</v>
      </c>
      <c r="IS106">
        <v>13.60249274696438</v>
      </c>
    </row>
    <row r="107" spans="1:253" x14ac:dyDescent="0.3">
      <c r="A107" s="4" t="s">
        <v>1638</v>
      </c>
      <c r="B107">
        <v>1.0155933632631786E-3</v>
      </c>
      <c r="C107">
        <v>0.13300906121730804</v>
      </c>
      <c r="D107">
        <v>6.0502444277517498E-2</v>
      </c>
      <c r="E107">
        <v>2.2321208491921425</v>
      </c>
      <c r="F107">
        <v>2.3680534039158374E-2</v>
      </c>
      <c r="I107">
        <v>1.8320555100217462E-3</v>
      </c>
      <c r="J107">
        <v>0.30842303857207298</v>
      </c>
      <c r="L107">
        <v>4.877214040607214E-2</v>
      </c>
      <c r="M107">
        <v>5.5817267682868987E-2</v>
      </c>
      <c r="N107">
        <v>3.1173756718635559</v>
      </c>
      <c r="O107">
        <v>0.10682690260000527</v>
      </c>
      <c r="P107">
        <v>8.960947759710243E-3</v>
      </c>
      <c r="Q107">
        <v>4.4046123208128716</v>
      </c>
      <c r="S107">
        <v>0.23574896133504808</v>
      </c>
      <c r="T107">
        <v>9.2104081762954593E-2</v>
      </c>
      <c r="U107">
        <v>5.7274145539849997E-2</v>
      </c>
      <c r="V107">
        <v>2.6913856389001012E-2</v>
      </c>
      <c r="W107">
        <v>1.8835297264158726</v>
      </c>
      <c r="X107">
        <v>4.8268542559526395E-4</v>
      </c>
      <c r="Y107">
        <v>5.9540997259318829E-2</v>
      </c>
      <c r="Z107">
        <v>1.5282677561044693</v>
      </c>
      <c r="AA107">
        <v>0.88677407801151276</v>
      </c>
      <c r="AB107">
        <v>41.149938963047646</v>
      </c>
      <c r="AC107">
        <v>542.46117887865478</v>
      </c>
      <c r="AD107">
        <v>55.156078152845545</v>
      </c>
      <c r="AE107">
        <v>12.603814082381033</v>
      </c>
      <c r="AF107">
        <v>30.781453662706134</v>
      </c>
      <c r="AH107">
        <v>3.7635488063097</v>
      </c>
      <c r="AI107">
        <v>5.0723538035526872E-2</v>
      </c>
      <c r="AJ107">
        <v>24.946038592445326</v>
      </c>
      <c r="AK107">
        <v>48.516687315927868</v>
      </c>
      <c r="AL107">
        <v>0.42780623398721218</v>
      </c>
      <c r="AM107">
        <v>10.905692447471388</v>
      </c>
      <c r="AN107">
        <v>24.842623343320493</v>
      </c>
      <c r="AO107">
        <v>0.26731326663866639</v>
      </c>
      <c r="AP107">
        <v>4.7700643539428711E-2</v>
      </c>
      <c r="AQ107">
        <v>0.33551299292594194</v>
      </c>
      <c r="AR107">
        <v>0.38545741140842438</v>
      </c>
      <c r="AS107">
        <v>0.12220646953210235</v>
      </c>
      <c r="AT107">
        <v>0.55259114876389503</v>
      </c>
      <c r="AU107">
        <v>4.4791071093641222E-2</v>
      </c>
      <c r="BC107" s="7"/>
      <c r="BF107">
        <v>1.1855728225782514E-3</v>
      </c>
      <c r="BG107">
        <v>0.59030634537339211</v>
      </c>
      <c r="BH107">
        <v>2.552547350525856</v>
      </c>
      <c r="BI107">
        <v>27.200553765821059</v>
      </c>
      <c r="BJ107">
        <v>16.475016882650916</v>
      </c>
      <c r="BK107">
        <v>6.4974991536698345</v>
      </c>
      <c r="BL107">
        <v>4.9582340109053868</v>
      </c>
      <c r="BM107">
        <v>6.5638168667360173</v>
      </c>
      <c r="BN107">
        <v>1.2655217498540878</v>
      </c>
      <c r="BO107">
        <v>5.8373189009050321</v>
      </c>
      <c r="BP107">
        <v>9.8748551654474515</v>
      </c>
      <c r="BQ107">
        <v>0.21584889758378267</v>
      </c>
      <c r="BR107">
        <v>1.4358906249981374E-2</v>
      </c>
      <c r="BS107">
        <v>6.0245627246331424E-3</v>
      </c>
      <c r="BT107">
        <v>5.3320715448210514</v>
      </c>
      <c r="BU107">
        <v>14.471781152986603</v>
      </c>
      <c r="BV107">
        <v>14.446304468631403</v>
      </c>
      <c r="BW107">
        <v>0.80834721215069294</v>
      </c>
      <c r="BX107">
        <v>34.758904842888242</v>
      </c>
      <c r="BY107">
        <v>1.4943084621336311E-2</v>
      </c>
      <c r="IM107">
        <v>206.99113999439132</v>
      </c>
      <c r="IN107">
        <v>40.554515059315051</v>
      </c>
      <c r="IP107">
        <v>41.287933064365163</v>
      </c>
      <c r="IS107">
        <v>4.6654764747210349</v>
      </c>
    </row>
    <row r="108" spans="1:253" x14ac:dyDescent="0.3">
      <c r="A108" s="4" t="s">
        <v>1639</v>
      </c>
      <c r="B108">
        <v>1.0687051806598902E-2</v>
      </c>
      <c r="C108">
        <v>1.8034358024597168</v>
      </c>
      <c r="D108">
        <v>0.58819545805454254</v>
      </c>
      <c r="E108">
        <v>17.233939613957027</v>
      </c>
      <c r="F108">
        <v>0.17669212073087692</v>
      </c>
      <c r="I108">
        <v>1.1941975448280573E-2</v>
      </c>
      <c r="J108">
        <v>3.726815938949585</v>
      </c>
      <c r="K108">
        <v>0.35403788089752197</v>
      </c>
      <c r="L108">
        <v>0.60294580459594727</v>
      </c>
      <c r="M108">
        <v>0.40922447293996811</v>
      </c>
      <c r="N108">
        <v>0.69466710090637207</v>
      </c>
      <c r="O108">
        <v>1.0365799244027585E-3</v>
      </c>
      <c r="S108">
        <v>3.5643072128295898</v>
      </c>
      <c r="X108">
        <v>2.7035782113671303E-4</v>
      </c>
      <c r="AA108">
        <v>0.17098667472600937</v>
      </c>
      <c r="AB108">
        <v>5.0819085910916328E-2</v>
      </c>
      <c r="AC108">
        <v>24.966983795166016</v>
      </c>
      <c r="AD108">
        <v>3.3175255060195923</v>
      </c>
      <c r="AE108">
        <v>7.0207683741245122</v>
      </c>
      <c r="AF108">
        <v>12.622358475903162</v>
      </c>
      <c r="AG108">
        <v>21.455086549056261</v>
      </c>
      <c r="AH108">
        <v>1.6139836311340332</v>
      </c>
      <c r="AI108">
        <v>0.28364907950162888</v>
      </c>
      <c r="AJ108">
        <v>8.8601491263821437</v>
      </c>
      <c r="AK108">
        <v>6.5344171959339805</v>
      </c>
      <c r="AL108">
        <v>3.0038515329360962</v>
      </c>
      <c r="AM108">
        <v>9.2997046595029573</v>
      </c>
      <c r="AN108">
        <v>60.451389587575484</v>
      </c>
      <c r="AO108">
        <v>4.3973217718303204E-2</v>
      </c>
      <c r="AP108">
        <v>3.1240251380950212E-2</v>
      </c>
      <c r="AQ108">
        <v>4.4277748093008995E-2</v>
      </c>
      <c r="AR108">
        <v>7.266317680478096E-2</v>
      </c>
      <c r="AS108">
        <v>2.0617653615772724E-2</v>
      </c>
      <c r="AT108">
        <v>8.8978227227926254E-2</v>
      </c>
      <c r="AU108">
        <v>2.4114320278167725</v>
      </c>
      <c r="AX108">
        <v>2.8108377456665039</v>
      </c>
      <c r="BC108">
        <v>0.42777352035045624</v>
      </c>
      <c r="BE108">
        <v>3.8710467517375946E-2</v>
      </c>
      <c r="BF108">
        <v>6.3828082755208015E-2</v>
      </c>
      <c r="BG108">
        <v>38.754854750821394</v>
      </c>
      <c r="BH108">
        <v>30.413334644696064</v>
      </c>
      <c r="BI108">
        <v>31.274992169405607</v>
      </c>
      <c r="BJ108">
        <v>113.86864182518005</v>
      </c>
      <c r="BK108">
        <v>2.2753763198852539</v>
      </c>
      <c r="BL108">
        <v>38.820695004333743</v>
      </c>
      <c r="BM108">
        <v>6.0672882051330435</v>
      </c>
      <c r="BN108">
        <v>4.5038084742577995</v>
      </c>
      <c r="BO108">
        <v>42.310082986620948</v>
      </c>
      <c r="BP108">
        <v>45.992045791675643</v>
      </c>
      <c r="BQ108">
        <v>4.9362126361521614</v>
      </c>
      <c r="BR108">
        <v>0.39599981904029846</v>
      </c>
      <c r="BS108">
        <v>0.18922454863786697</v>
      </c>
      <c r="BT108">
        <v>7.3230522396593187</v>
      </c>
      <c r="BU108">
        <v>3.6894584894180298</v>
      </c>
      <c r="BV108">
        <v>47.190620628108881</v>
      </c>
      <c r="BW108">
        <v>2.726062536239624</v>
      </c>
      <c r="BX108">
        <v>46.882364538608932</v>
      </c>
      <c r="BY108">
        <v>1.3459715992212296E-3</v>
      </c>
      <c r="IM108">
        <v>1562.7567843016434</v>
      </c>
      <c r="IN108">
        <v>7.8571873397075276</v>
      </c>
      <c r="IS108">
        <v>0.4188193183680054</v>
      </c>
    </row>
    <row r="109" spans="1:253" x14ac:dyDescent="0.3">
      <c r="A109" s="4" t="s">
        <v>1640</v>
      </c>
      <c r="B109">
        <v>4.2833038605749607E-4</v>
      </c>
      <c r="C109">
        <v>9.2912850901484489E-2</v>
      </c>
      <c r="D109">
        <v>2.8995390515774488E-2</v>
      </c>
      <c r="E109">
        <v>0.81568500399589539</v>
      </c>
      <c r="F109">
        <v>8.2605993375182152E-3</v>
      </c>
      <c r="I109">
        <v>5.6650346959941089E-4</v>
      </c>
      <c r="J109">
        <v>0.19414428994059563</v>
      </c>
      <c r="L109">
        <v>3.3429923001676798E-2</v>
      </c>
      <c r="M109">
        <v>1.4329871162772179E-2</v>
      </c>
      <c r="N109">
        <v>5.234112311154604E-2</v>
      </c>
      <c r="S109">
        <v>8.5118799209594727</v>
      </c>
      <c r="AB109">
        <v>2.2210953757166862E-2</v>
      </c>
      <c r="AC109">
        <v>3.8431058526039124</v>
      </c>
      <c r="AD109">
        <v>180.23115921020508</v>
      </c>
      <c r="AE109">
        <v>4.1568117141723633</v>
      </c>
      <c r="AF109">
        <v>3.3605476021766663</v>
      </c>
      <c r="AG109">
        <v>95.654251098632813</v>
      </c>
      <c r="AH109">
        <v>0.75938998162746429</v>
      </c>
      <c r="AI109">
        <v>8.9325202628970146E-2</v>
      </c>
      <c r="AJ109">
        <v>0.24391627311706543</v>
      </c>
      <c r="AK109">
        <v>17.455028057098389</v>
      </c>
      <c r="AL109">
        <v>1.1638950407505035</v>
      </c>
      <c r="AM109">
        <v>2.8150342702865601</v>
      </c>
      <c r="AN109">
        <v>48.215357780456543</v>
      </c>
      <c r="AO109">
        <v>0.66553021967411041</v>
      </c>
      <c r="AP109">
        <v>0.21346666663885117</v>
      </c>
      <c r="AQ109">
        <v>1.3863565325737</v>
      </c>
      <c r="AR109">
        <v>1.6249156594276428</v>
      </c>
      <c r="AS109">
        <v>0.28504052013158798</v>
      </c>
      <c r="AT109">
        <v>3.8405250310897827</v>
      </c>
      <c r="AU109">
        <v>11.955827951431274</v>
      </c>
      <c r="AX109">
        <v>13.936072826385498</v>
      </c>
      <c r="BC109">
        <v>2.1208918690681458</v>
      </c>
      <c r="BE109">
        <v>0.19192566722631454</v>
      </c>
      <c r="BF109">
        <v>0.31645825132727623</v>
      </c>
      <c r="BG109">
        <v>723.020954561959</v>
      </c>
      <c r="BH109">
        <v>43.113426685333252</v>
      </c>
      <c r="BQ109">
        <v>0.36499671265482903</v>
      </c>
      <c r="BR109">
        <v>4.2433598078787327E-2</v>
      </c>
      <c r="BS109">
        <v>1.9976482435595244E-2</v>
      </c>
      <c r="BT109">
        <v>0.6583525538444519</v>
      </c>
      <c r="BU109">
        <v>29.855710029602051</v>
      </c>
      <c r="BV109">
        <v>134.89820861816406</v>
      </c>
      <c r="BW109">
        <v>85.362749099731445</v>
      </c>
      <c r="BX109">
        <v>259.12172698974609</v>
      </c>
      <c r="BY109">
        <v>0.83541208505630493</v>
      </c>
      <c r="IM109">
        <v>155.68038762927966</v>
      </c>
      <c r="IS109">
        <v>20.640397013165394</v>
      </c>
    </row>
    <row r="110" spans="1:253" x14ac:dyDescent="0.3">
      <c r="A110" s="4" t="s">
        <v>1641</v>
      </c>
      <c r="B110">
        <v>3.9343208482023329E-4</v>
      </c>
      <c r="C110">
        <v>0.59107789397239685</v>
      </c>
      <c r="D110">
        <v>0.19042854756116867</v>
      </c>
      <c r="E110">
        <v>0.30397336184978485</v>
      </c>
      <c r="F110">
        <v>3.9764579385519028E-2</v>
      </c>
      <c r="I110">
        <v>5.9731033979915082E-4</v>
      </c>
      <c r="J110">
        <v>5.8837743997573853</v>
      </c>
      <c r="K110">
        <v>0.10731670819222927</v>
      </c>
      <c r="L110">
        <v>0.57187876850366592</v>
      </c>
      <c r="M110">
        <v>0.34529834985733032</v>
      </c>
      <c r="N110">
        <v>0.67000879347324371</v>
      </c>
      <c r="O110">
        <v>1.6666918527334929E-3</v>
      </c>
      <c r="P110">
        <v>7.003705483159306E-2</v>
      </c>
      <c r="Q110">
        <v>37.458939552307129</v>
      </c>
      <c r="R110">
        <v>53.082806587219238</v>
      </c>
      <c r="S110">
        <v>11.19037914276123</v>
      </c>
      <c r="AE110">
        <v>28.467921257019043</v>
      </c>
      <c r="AF110">
        <v>1.6860271990299225</v>
      </c>
      <c r="AG110">
        <v>2.3222810626029968</v>
      </c>
      <c r="AH110">
        <v>0.41889038681983948</v>
      </c>
      <c r="AJ110">
        <v>0.1489473283290863</v>
      </c>
      <c r="AK110">
        <v>13.076346874237061</v>
      </c>
      <c r="AL110">
        <v>0.35912417620420456</v>
      </c>
      <c r="AM110">
        <v>5.0320198535919189</v>
      </c>
      <c r="AN110">
        <v>19.998646259307861</v>
      </c>
      <c r="AO110">
        <v>2.6805648114532232E-2</v>
      </c>
      <c r="AP110">
        <v>8.2859921269118786E-2</v>
      </c>
      <c r="AQ110">
        <v>0.12431926093995571</v>
      </c>
      <c r="AR110">
        <v>0.15284534357488155</v>
      </c>
      <c r="AS110">
        <v>0.22095552459359169</v>
      </c>
      <c r="AT110">
        <v>1.8584601283073425</v>
      </c>
      <c r="AU110">
        <v>3.3097442388534546</v>
      </c>
      <c r="AX110">
        <v>3.8579373359680176</v>
      </c>
      <c r="BC110">
        <v>0.58712869882583618</v>
      </c>
      <c r="BE110">
        <v>5.3130980581045151E-2</v>
      </c>
      <c r="BF110">
        <v>8.7605461478233337E-2</v>
      </c>
      <c r="BG110">
        <v>0.58921727538108826</v>
      </c>
      <c r="BH110">
        <v>0.33104748278856277</v>
      </c>
      <c r="BI110">
        <v>813.14809663563653</v>
      </c>
      <c r="BJ110">
        <v>8.3953235149383545</v>
      </c>
      <c r="BK110">
        <v>1.0622116923332214</v>
      </c>
      <c r="BM110">
        <v>8.3277167752385139E-2</v>
      </c>
      <c r="BO110">
        <v>8.9471426010131836</v>
      </c>
      <c r="BP110">
        <v>0.39535962045192719</v>
      </c>
      <c r="BQ110">
        <v>0.51442031562328339</v>
      </c>
      <c r="BR110">
        <v>1.0408920934423804E-2</v>
      </c>
      <c r="BS110">
        <v>3.8658354431390762E-2</v>
      </c>
      <c r="BT110">
        <v>1.3453459739685059</v>
      </c>
      <c r="BU110">
        <v>5.246608704328537E-2</v>
      </c>
      <c r="BY110">
        <v>1.5341427410021424E-2</v>
      </c>
      <c r="CB110">
        <v>1.1822849140340714E-4</v>
      </c>
      <c r="IM110">
        <v>70.917526558777254</v>
      </c>
      <c r="IN110">
        <v>10.752086877822876</v>
      </c>
      <c r="IP110">
        <v>327.80704116821289</v>
      </c>
      <c r="IS110">
        <v>5.0591993797585744</v>
      </c>
    </row>
    <row r="111" spans="1:253" x14ac:dyDescent="0.3">
      <c r="A111" s="4" t="s">
        <v>1642</v>
      </c>
      <c r="B111">
        <v>3.0024240724742413E-2</v>
      </c>
      <c r="C111" s="7">
        <v>3.7956373691558838</v>
      </c>
      <c r="D111">
        <v>1.2176671028137207</v>
      </c>
      <c r="E111">
        <v>50.968412399291992</v>
      </c>
      <c r="F111">
        <v>0.36412355303764343</v>
      </c>
      <c r="I111">
        <v>3.3504423685371876E-2</v>
      </c>
      <c r="J111">
        <v>0.46940588764846325</v>
      </c>
      <c r="K111">
        <v>0.78624194860458374</v>
      </c>
      <c r="L111">
        <v>0.63594809174537659</v>
      </c>
      <c r="M111" s="7">
        <v>0.27527429535984993</v>
      </c>
      <c r="N111">
        <v>1.2317847013473511</v>
      </c>
      <c r="O111">
        <v>1.5062361489981413E-3</v>
      </c>
      <c r="P111" s="7">
        <v>2.3830776797967756E-2</v>
      </c>
      <c r="Q111">
        <v>69.049442291259766</v>
      </c>
      <c r="R111">
        <v>106.70163726806641</v>
      </c>
      <c r="S111">
        <v>7.5803043842315674</v>
      </c>
      <c r="T111">
        <v>0.17478842288255692</v>
      </c>
      <c r="U111">
        <v>0.13689634948968887</v>
      </c>
      <c r="V111">
        <v>0.11155673488974571</v>
      </c>
      <c r="W111">
        <v>1.5382993817329407</v>
      </c>
      <c r="X111">
        <v>2.7654991718009114E-3</v>
      </c>
      <c r="Y111">
        <v>3.9770231582224369E-2</v>
      </c>
      <c r="Z111">
        <v>3.6602132320404053</v>
      </c>
      <c r="AA111">
        <v>2.3443062305450439</v>
      </c>
      <c r="AB111">
        <v>1.9747977145016193E-2</v>
      </c>
      <c r="AC111">
        <v>0.76641845703125</v>
      </c>
      <c r="AD111">
        <v>1.106723964214325</v>
      </c>
      <c r="AE111">
        <v>1.8629238605499268</v>
      </c>
      <c r="AF111">
        <v>44.276750564575195</v>
      </c>
      <c r="AG111">
        <v>28.756606101989746</v>
      </c>
      <c r="AH111">
        <v>13.320260524749756</v>
      </c>
      <c r="AI111">
        <v>3.2600741386413574</v>
      </c>
      <c r="AJ111">
        <v>7.0173089504241943</v>
      </c>
      <c r="AK111">
        <v>71.71044921875</v>
      </c>
      <c r="AL111">
        <v>0.86490520834922791</v>
      </c>
      <c r="AM111">
        <v>7.0565750598907471</v>
      </c>
      <c r="AN111">
        <v>67.829498291015625</v>
      </c>
      <c r="AO111">
        <v>1.6812952160835266</v>
      </c>
      <c r="AP111">
        <v>1.4502786993980408</v>
      </c>
      <c r="AQ111">
        <v>1.0288768112659454</v>
      </c>
      <c r="AR111">
        <v>0.63630929589271545</v>
      </c>
      <c r="AS111">
        <v>0.27873766422271729</v>
      </c>
      <c r="AT111">
        <v>1.2048998177051544</v>
      </c>
      <c r="AU111">
        <v>4.7969176769256592</v>
      </c>
      <c r="AX111">
        <v>5.5914313793182373</v>
      </c>
      <c r="BC111">
        <v>0.85094428062438965</v>
      </c>
      <c r="BE111">
        <v>7.7004417777061462E-2</v>
      </c>
      <c r="BF111">
        <v>0.12696938961744308</v>
      </c>
      <c r="BG111">
        <v>96.045497894287109</v>
      </c>
      <c r="BH111">
        <v>16.235305786132813</v>
      </c>
      <c r="BI111">
        <v>134.13650703430176</v>
      </c>
      <c r="BJ111">
        <v>161.11336517333984</v>
      </c>
      <c r="BK111">
        <v>5.0560977458953857</v>
      </c>
      <c r="BL111">
        <v>7.7102417945861816</v>
      </c>
      <c r="BM111">
        <v>0.79302740097045898</v>
      </c>
      <c r="BN111">
        <v>0.95668542385101318</v>
      </c>
      <c r="BO111">
        <v>22.064628601074219</v>
      </c>
      <c r="BP111">
        <v>256.13500213623047</v>
      </c>
      <c r="BQ111">
        <v>60.161500930786133</v>
      </c>
      <c r="BR111">
        <v>4.4805543422698975</v>
      </c>
      <c r="BS111">
        <v>0.63110937178134918</v>
      </c>
      <c r="BT111">
        <v>50.700016021728516</v>
      </c>
      <c r="BU111">
        <v>0.97646117210388184</v>
      </c>
      <c r="BV111">
        <v>6.9967947006225586</v>
      </c>
      <c r="BW111">
        <v>5.4284257888793945</v>
      </c>
      <c r="BX111">
        <v>4.6712369918823242</v>
      </c>
      <c r="BY111">
        <v>1.2745038489811122E-2</v>
      </c>
      <c r="IM111">
        <v>386.25624084472656</v>
      </c>
      <c r="IP111">
        <v>122.62052154541016</v>
      </c>
      <c r="IS111">
        <v>25.756130751017633</v>
      </c>
    </row>
    <row r="112" spans="1:253" x14ac:dyDescent="0.3">
      <c r="A112" s="4" t="s">
        <v>1643</v>
      </c>
      <c r="B112">
        <v>8.4314262494444847E-3</v>
      </c>
      <c r="C112">
        <v>0.82763160020112991</v>
      </c>
      <c r="D112">
        <v>0.26878071203827858</v>
      </c>
      <c r="E112">
        <v>11.088971614837646</v>
      </c>
      <c r="F112">
        <v>8.4732701070606709E-2</v>
      </c>
      <c r="I112">
        <v>1.1606244370341301E-2</v>
      </c>
      <c r="J112">
        <v>1.1075375378131866</v>
      </c>
      <c r="K112">
        <v>0.25871893018484116</v>
      </c>
      <c r="L112">
        <v>0.25055362284183502</v>
      </c>
      <c r="M112">
        <v>0.10645059123635292</v>
      </c>
      <c r="N112">
        <v>0.76298455893993378</v>
      </c>
      <c r="O112">
        <v>3.148833941668272E-2</v>
      </c>
      <c r="P112">
        <v>3.949409179893104E-3</v>
      </c>
      <c r="S112">
        <v>22.612818509340286</v>
      </c>
      <c r="T112">
        <v>0.3847644180059433</v>
      </c>
      <c r="U112">
        <v>0.26209957525134087</v>
      </c>
      <c r="V112">
        <v>0.19375814497470856</v>
      </c>
      <c r="W112">
        <v>1.5668579936027527</v>
      </c>
      <c r="X112">
        <v>7.4654702912084758E-3</v>
      </c>
      <c r="Y112">
        <v>0.36213666200637817</v>
      </c>
      <c r="Z112">
        <v>6.2041263580322266</v>
      </c>
      <c r="AA112">
        <v>3.0452498197555542</v>
      </c>
      <c r="AB112">
        <v>3.486507385969162E-2</v>
      </c>
      <c r="AC112">
        <v>0.26218964904546738</v>
      </c>
      <c r="AD112">
        <v>2.365515410900116</v>
      </c>
      <c r="AE112">
        <v>2.1199750900268555</v>
      </c>
      <c r="AF112">
        <v>1.4491518884897232</v>
      </c>
      <c r="AG112">
        <v>313.46895182132721</v>
      </c>
      <c r="AH112">
        <v>63.261063575744629</v>
      </c>
      <c r="AI112">
        <v>0.20862951874732971</v>
      </c>
      <c r="AJ112">
        <v>1.9372924715280533</v>
      </c>
      <c r="AK112">
        <v>33.497995793819427</v>
      </c>
      <c r="AL112">
        <v>53.110381364822388</v>
      </c>
      <c r="AM112">
        <v>1.5491685047745705</v>
      </c>
      <c r="AN112">
        <v>15.317223578691483</v>
      </c>
      <c r="AO112">
        <v>4.2487930506467819E-2</v>
      </c>
      <c r="AP112">
        <v>5.2390545140951872E-2</v>
      </c>
      <c r="AQ112">
        <v>9.7608168609440327E-2</v>
      </c>
      <c r="AR112">
        <v>0.94028919190168381</v>
      </c>
      <c r="AS112">
        <v>0.8226487785577774</v>
      </c>
      <c r="AT112">
        <v>8.067070484161377</v>
      </c>
      <c r="AU112">
        <v>1.6368222311139107</v>
      </c>
      <c r="BE112">
        <v>187.56787939985503</v>
      </c>
      <c r="BH112">
        <v>5.1974552273750305</v>
      </c>
      <c r="BI112">
        <v>184.21492958068848</v>
      </c>
      <c r="BJ112">
        <v>11.285127639770508</v>
      </c>
      <c r="BK112">
        <v>3.3667420148849487</v>
      </c>
      <c r="BL112">
        <v>2938.0848764617094</v>
      </c>
      <c r="BM112">
        <v>284.31909155902588</v>
      </c>
      <c r="BN112">
        <v>488.94306673711202</v>
      </c>
      <c r="BO112">
        <v>1.3371460735797882</v>
      </c>
      <c r="BP112">
        <v>3.2455722689628601</v>
      </c>
      <c r="BQ112">
        <v>0.57448739558458328</v>
      </c>
      <c r="BR112">
        <v>6.9454491604119539E-2</v>
      </c>
      <c r="BS112">
        <v>0.55516306310892105</v>
      </c>
      <c r="BT112">
        <v>2.2240651547908783</v>
      </c>
      <c r="BU112">
        <v>9.6048036068677902</v>
      </c>
      <c r="BV112">
        <v>95.811476945877075</v>
      </c>
      <c r="BW112">
        <v>45.761090397834778</v>
      </c>
      <c r="BX112">
        <v>69.112759828567505</v>
      </c>
      <c r="IM112">
        <v>2150.2915952686408</v>
      </c>
      <c r="IS112">
        <v>8066.0719982068349</v>
      </c>
    </row>
    <row r="113" spans="1:253" x14ac:dyDescent="0.3">
      <c r="A113" s="4" t="s">
        <v>1644</v>
      </c>
      <c r="B113">
        <v>0.25628168135881424</v>
      </c>
      <c r="C113">
        <v>39.575647354125977</v>
      </c>
      <c r="D113">
        <v>13.148619174957275</v>
      </c>
      <c r="E113">
        <v>368.77725219726563</v>
      </c>
      <c r="F113">
        <v>3.7368663549423218</v>
      </c>
      <c r="I113">
        <v>0.23121845722198486</v>
      </c>
      <c r="J113">
        <v>22.923532485961914</v>
      </c>
      <c r="K113">
        <v>1.4403864145278931</v>
      </c>
      <c r="L113">
        <v>6.1816830635070801</v>
      </c>
      <c r="M113">
        <v>2.8728312253952026</v>
      </c>
      <c r="N113">
        <v>8.519984245300293</v>
      </c>
      <c r="O113">
        <v>0.15058349817991257</v>
      </c>
      <c r="P113">
        <v>1.6339235807325385E-3</v>
      </c>
      <c r="Q113">
        <v>8.1890026330947876</v>
      </c>
      <c r="R113">
        <v>6.8013327121734619</v>
      </c>
      <c r="S113">
        <v>53.521726608276367</v>
      </c>
      <c r="T113">
        <v>0.30927455797791481</v>
      </c>
      <c r="U113">
        <v>0.17028880957514048</v>
      </c>
      <c r="V113">
        <v>0.11521802097558975</v>
      </c>
      <c r="W113">
        <v>6.4226109981536865</v>
      </c>
      <c r="X113">
        <v>9.8715280546457507E-4</v>
      </c>
      <c r="Y113">
        <v>7.4347998946905136E-2</v>
      </c>
      <c r="Z113">
        <v>4.5181331932544708</v>
      </c>
      <c r="AA113">
        <v>3.0886154919862747</v>
      </c>
      <c r="AB113">
        <v>0.28742130100727081</v>
      </c>
      <c r="AC113">
        <v>1.1320569515228271</v>
      </c>
      <c r="AD113">
        <v>4.1152281761169434</v>
      </c>
      <c r="AE113">
        <v>4.8164947032928467</v>
      </c>
      <c r="AF113">
        <v>5.5152809619903564</v>
      </c>
      <c r="AG113">
        <v>231.21206665039063</v>
      </c>
      <c r="AH113">
        <v>155.55998992919922</v>
      </c>
      <c r="AI113">
        <v>4.1780991554260254</v>
      </c>
      <c r="AJ113">
        <v>47.13066291809082</v>
      </c>
      <c r="AK113">
        <v>35.601819038391113</v>
      </c>
      <c r="AL113">
        <v>3.7876906394958496</v>
      </c>
      <c r="AM113">
        <v>21.550619602203369</v>
      </c>
      <c r="AN113">
        <v>97.918785095214844</v>
      </c>
      <c r="AO113">
        <v>6.250123143196106</v>
      </c>
      <c r="AP113">
        <v>3.0558192133903503</v>
      </c>
      <c r="AQ113">
        <v>1.4795170426368713</v>
      </c>
      <c r="AR113">
        <v>2.7259905934333801</v>
      </c>
      <c r="AS113">
        <v>1.0468891263008118</v>
      </c>
      <c r="AT113">
        <v>1.378278911113739</v>
      </c>
      <c r="AU113">
        <v>13.637460708618164</v>
      </c>
      <c r="AX113">
        <v>15.896234035491943</v>
      </c>
      <c r="BC113">
        <v>2.4192033708095551</v>
      </c>
      <c r="BE113">
        <v>0.2189207449555397</v>
      </c>
      <c r="BF113">
        <v>0.36096932739019394</v>
      </c>
      <c r="BG113">
        <v>33.76829719543457</v>
      </c>
      <c r="BH113">
        <v>19.818970680236816</v>
      </c>
      <c r="BI113">
        <v>912.09017664833129</v>
      </c>
      <c r="BJ113">
        <v>14.231930255889893</v>
      </c>
      <c r="BK113">
        <v>0.97331765294075012</v>
      </c>
      <c r="BL113">
        <v>62.100053787231445</v>
      </c>
      <c r="BM113">
        <v>5.8903840184211731</v>
      </c>
      <c r="BN113">
        <v>5.4193138480186462</v>
      </c>
      <c r="BO113">
        <v>34.9569091796875</v>
      </c>
      <c r="BP113">
        <v>195.36911773681641</v>
      </c>
      <c r="BQ113">
        <v>0.10988594219088554</v>
      </c>
      <c r="BR113">
        <v>7.4357755947858095E-3</v>
      </c>
      <c r="BS113">
        <v>1.9856542348861694E-2</v>
      </c>
      <c r="BT113">
        <v>10.844137191772461</v>
      </c>
      <c r="BU113">
        <v>0.38798245787620544</v>
      </c>
      <c r="BV113">
        <v>0.92074853181838989</v>
      </c>
      <c r="BW113">
        <v>2.0265371799468994</v>
      </c>
      <c r="BX113">
        <v>11.292608499526978</v>
      </c>
      <c r="BY113">
        <v>4.2592449113726616E-2</v>
      </c>
      <c r="IM113">
        <v>1827.8921975923874</v>
      </c>
      <c r="IN113">
        <v>42.753825187683105</v>
      </c>
      <c r="IP113">
        <v>421.89686584472656</v>
      </c>
      <c r="IS113">
        <v>890.67046028490006</v>
      </c>
    </row>
    <row r="114" spans="1:253" x14ac:dyDescent="0.3">
      <c r="A114" s="4" t="s">
        <v>1645</v>
      </c>
      <c r="B114">
        <v>2.9891069789300673E-4</v>
      </c>
      <c r="C114">
        <v>0.32210753858089447</v>
      </c>
      <c r="D114">
        <v>9.1391474008560181E-2</v>
      </c>
      <c r="E114">
        <v>0.45621384680271149</v>
      </c>
      <c r="F114">
        <v>1.8929421901702881E-2</v>
      </c>
      <c r="J114">
        <v>95.471820518412017</v>
      </c>
      <c r="K114">
        <v>11.062553405761719</v>
      </c>
      <c r="L114">
        <v>11.060944080352783</v>
      </c>
      <c r="M114">
        <v>15.974758267402649</v>
      </c>
      <c r="N114">
        <v>5.8317294344305992E-2</v>
      </c>
      <c r="O114">
        <v>0.3931223638355732</v>
      </c>
      <c r="S114">
        <v>0.36243455391377211</v>
      </c>
      <c r="W114">
        <v>9.1380670201033354E-2</v>
      </c>
      <c r="AH114">
        <v>0.41488221287727356</v>
      </c>
      <c r="AI114">
        <v>9.6232045292854309</v>
      </c>
      <c r="AO114">
        <v>7.0819444954395294E-3</v>
      </c>
      <c r="AP114">
        <v>5.2088926313444972E-3</v>
      </c>
      <c r="AQ114">
        <v>5.7316206162795424E-2</v>
      </c>
      <c r="AR114">
        <v>1.5450487844645977E-2</v>
      </c>
      <c r="AS114">
        <v>4.4609813776332885E-3</v>
      </c>
      <c r="AU114">
        <v>4.21679662540555E-2</v>
      </c>
      <c r="BF114">
        <v>1.1161419242853299E-3</v>
      </c>
      <c r="BG114">
        <v>0.48673292063176632</v>
      </c>
      <c r="BH114">
        <v>6.7103478908538818</v>
      </c>
      <c r="BI114">
        <v>11.038551867008209</v>
      </c>
      <c r="BJ114">
        <v>1.5555400401353836</v>
      </c>
      <c r="BL114">
        <v>3.8556095957756042</v>
      </c>
      <c r="BM114">
        <v>0.63532695919275284</v>
      </c>
      <c r="BN114">
        <v>59.161640703678131</v>
      </c>
      <c r="BO114">
        <v>3.1957426071166992</v>
      </c>
      <c r="BP114">
        <v>24.445144414901733</v>
      </c>
      <c r="BQ114">
        <v>0.12183981016278267</v>
      </c>
      <c r="BR114">
        <v>1.2319537810981274E-2</v>
      </c>
      <c r="BS114">
        <v>2.8213489276822656E-3</v>
      </c>
      <c r="BT114">
        <v>2.6575250625610352</v>
      </c>
      <c r="BU114">
        <v>0.1450212374329567</v>
      </c>
      <c r="BV114">
        <v>3.5120735168457031</v>
      </c>
      <c r="BW114">
        <v>0.32715275883674622</v>
      </c>
      <c r="BX114">
        <v>149.33543968200684</v>
      </c>
      <c r="IM114">
        <v>1464.0477865329938</v>
      </c>
      <c r="IN114">
        <v>17.372683048248291</v>
      </c>
      <c r="IP114">
        <v>182.77999496459961</v>
      </c>
      <c r="IS114">
        <v>5.1443100756664313</v>
      </c>
    </row>
    <row r="115" spans="1:253" x14ac:dyDescent="0.3">
      <c r="A115" s="4" t="s">
        <v>1646</v>
      </c>
      <c r="B115">
        <v>2.5877694133669138E-3</v>
      </c>
      <c r="C115">
        <v>0.59774591773748398</v>
      </c>
      <c r="D115">
        <v>0.16838536784052849</v>
      </c>
      <c r="E115">
        <v>28.456432342529297</v>
      </c>
      <c r="F115">
        <v>0.24882859736680984</v>
      </c>
      <c r="I115">
        <v>5.3508639335632324E-2</v>
      </c>
      <c r="J115">
        <v>17.162821769714355</v>
      </c>
      <c r="K115">
        <v>0.70767258107662201</v>
      </c>
      <c r="L115">
        <v>1.7150624990463257</v>
      </c>
      <c r="M115">
        <v>0.95921444892883301</v>
      </c>
      <c r="N115">
        <v>13.409619808197021</v>
      </c>
      <c r="O115">
        <v>0.38458099961280823</v>
      </c>
      <c r="P115">
        <v>1.7493318554734308E-3</v>
      </c>
      <c r="Q115">
        <v>7.2671821117401123</v>
      </c>
      <c r="R115">
        <v>8.1112740039825439</v>
      </c>
      <c r="S115">
        <v>7.9968507289886475</v>
      </c>
      <c r="T115">
        <v>8.2070659846067429E-2</v>
      </c>
      <c r="U115">
        <v>7.2059685364365578E-2</v>
      </c>
      <c r="V115">
        <v>3.5021331161260605E-2</v>
      </c>
      <c r="W115">
        <v>1.4919809103012085</v>
      </c>
      <c r="X115">
        <v>9.1410259483382106E-4</v>
      </c>
      <c r="Z115">
        <v>1.42839515209198</v>
      </c>
      <c r="AA115">
        <v>1.2516973614692688</v>
      </c>
      <c r="AB115">
        <v>5.2671714220196009E-3</v>
      </c>
      <c r="AC115">
        <v>0.3258620947599411</v>
      </c>
      <c r="AD115">
        <v>2.9364210367202759</v>
      </c>
      <c r="AE115">
        <v>0.83129358291625977</v>
      </c>
      <c r="AF115">
        <v>2.2839306592941284</v>
      </c>
      <c r="AG115">
        <v>9.3503292798995972</v>
      </c>
      <c r="AH115">
        <v>3.3846821784973145</v>
      </c>
      <c r="AI115">
        <v>0.82917362451553345</v>
      </c>
      <c r="AJ115">
        <v>26.482580184936523</v>
      </c>
      <c r="AK115">
        <v>12.825881481170654</v>
      </c>
      <c r="AL115">
        <v>0.47092419862747192</v>
      </c>
      <c r="AM115">
        <v>6.8078396320343018</v>
      </c>
      <c r="AN115">
        <v>33.634806632995605</v>
      </c>
      <c r="AO115">
        <v>4.0360149145126343</v>
      </c>
      <c r="AP115">
        <v>3.0571681261062622</v>
      </c>
      <c r="AQ115">
        <v>3.0726331472396851</v>
      </c>
      <c r="AR115">
        <v>8.0699305534362793</v>
      </c>
      <c r="AS115">
        <v>1.30110764503479</v>
      </c>
      <c r="AT115">
        <v>1.440619170665741</v>
      </c>
      <c r="AU115">
        <v>1.245720386505127</v>
      </c>
      <c r="AX115">
        <v>1.452049121260643</v>
      </c>
      <c r="BC115">
        <v>0.22098329104483128</v>
      </c>
      <c r="BE115">
        <v>1.9997421652078629E-2</v>
      </c>
      <c r="BF115">
        <v>3.2972916727885604E-2</v>
      </c>
      <c r="BG115">
        <v>0.23116584122180939</v>
      </c>
      <c r="BH115">
        <v>22.719840049743652</v>
      </c>
      <c r="BI115">
        <v>1457.5499725804041</v>
      </c>
      <c r="BJ115">
        <v>178.86783599853516</v>
      </c>
      <c r="BK115">
        <v>0.6442943811416626</v>
      </c>
      <c r="BL115">
        <v>172.31095123291016</v>
      </c>
      <c r="BM115">
        <v>6.4477944374084473</v>
      </c>
      <c r="BN115">
        <v>6.0349643230438232</v>
      </c>
      <c r="BO115">
        <v>60.300701141357422</v>
      </c>
      <c r="BP115">
        <v>172.14590454101563</v>
      </c>
      <c r="BQ115">
        <v>0.79273372888565063</v>
      </c>
      <c r="BR115">
        <v>0.15778040140867233</v>
      </c>
      <c r="BS115">
        <v>0.14082085713744164</v>
      </c>
      <c r="BT115">
        <v>7.6215057373046875</v>
      </c>
      <c r="BU115">
        <v>0.14738815277814865</v>
      </c>
      <c r="BV115">
        <v>0.39960841834545135</v>
      </c>
      <c r="BW115">
        <v>0.82437661290168762</v>
      </c>
      <c r="BX115">
        <v>6.6663286685943604</v>
      </c>
      <c r="BY115">
        <v>0.1408572718501091</v>
      </c>
      <c r="IM115">
        <v>389.21986389160156</v>
      </c>
      <c r="IN115">
        <v>49.761423110961914</v>
      </c>
      <c r="IP115">
        <v>99.288906097412109</v>
      </c>
      <c r="IS115">
        <v>4.2872966732653905</v>
      </c>
    </row>
    <row r="116" spans="1:253" x14ac:dyDescent="0.3">
      <c r="A116" s="4" t="s">
        <v>1647</v>
      </c>
      <c r="B116">
        <v>4.3548374087549746E-3</v>
      </c>
      <c r="C116">
        <v>0.98416829109191895</v>
      </c>
      <c r="D116">
        <v>0.3042902797460556</v>
      </c>
      <c r="E116">
        <v>8.6507879495620728</v>
      </c>
      <c r="F116">
        <v>9.3931517563760281E-2</v>
      </c>
      <c r="I116">
        <v>5.9591569588519633E-3</v>
      </c>
      <c r="J116">
        <v>2.4352551996707916</v>
      </c>
      <c r="K116">
        <v>0.29707417637109756</v>
      </c>
      <c r="L116">
        <v>0.43252475000917912</v>
      </c>
      <c r="M116">
        <v>0.14280043169856071</v>
      </c>
      <c r="N116">
        <v>0.51509926095604897</v>
      </c>
      <c r="P116">
        <v>5.5656365068552656E-2</v>
      </c>
      <c r="Q116">
        <v>409.37313461303711</v>
      </c>
      <c r="R116">
        <v>621.69180030899417</v>
      </c>
      <c r="S116">
        <v>0.82327905297279358</v>
      </c>
      <c r="U116">
        <v>3.4873335622251034E-2</v>
      </c>
      <c r="W116">
        <v>0.62730635702610016</v>
      </c>
      <c r="X116">
        <v>4.2530435166554525E-4</v>
      </c>
      <c r="Z116">
        <v>0.66181664168834686</v>
      </c>
      <c r="AA116">
        <v>0.66377800703048706</v>
      </c>
      <c r="AE116">
        <v>0.37660549581050873</v>
      </c>
      <c r="AF116">
        <v>0.17240958381444216</v>
      </c>
      <c r="AG116">
        <v>5.1776841878890991</v>
      </c>
      <c r="AH116">
        <v>1.0476904362440109</v>
      </c>
      <c r="AI116">
        <v>0.23895545676350594</v>
      </c>
      <c r="AJ116">
        <v>0.46733330190181732</v>
      </c>
      <c r="AK116">
        <v>67.135105133056641</v>
      </c>
      <c r="AL116">
        <v>2.2344782799482346</v>
      </c>
      <c r="AM116">
        <v>6.2086127400398254</v>
      </c>
      <c r="AN116">
        <v>11.59546172618866</v>
      </c>
      <c r="AO116">
        <v>8.1579160876572132E-2</v>
      </c>
      <c r="AP116">
        <v>2.3679290432482958E-2</v>
      </c>
      <c r="AQ116">
        <v>2.1788830403238535E-2</v>
      </c>
      <c r="AR116">
        <v>3.3727671951055527E-2</v>
      </c>
      <c r="AS116">
        <v>8.8326469995081425E-3</v>
      </c>
      <c r="AT116">
        <v>1.4231953304260969E-2</v>
      </c>
      <c r="AU116">
        <v>0.28627948835492134</v>
      </c>
      <c r="BF116">
        <v>7.5775183504447341E-3</v>
      </c>
      <c r="BG116">
        <v>1.6906205266714096</v>
      </c>
      <c r="BH116">
        <v>2.8665007352828979</v>
      </c>
      <c r="BI116">
        <v>8224.1688453124607</v>
      </c>
      <c r="BJ116">
        <v>1.8754233121871948</v>
      </c>
      <c r="BK116">
        <v>0.85711595416069031</v>
      </c>
      <c r="BL116">
        <v>1.3146424740552902</v>
      </c>
      <c r="BM116">
        <v>0.50358168035745621</v>
      </c>
      <c r="BN116">
        <v>0.45854271948337555</v>
      </c>
      <c r="BO116">
        <v>4.4755216240882874</v>
      </c>
      <c r="BP116">
        <v>2.8989888280630112</v>
      </c>
      <c r="BQ116">
        <v>0.13297548657283187</v>
      </c>
      <c r="BR116">
        <v>1.0640105669153854E-2</v>
      </c>
      <c r="BS116">
        <v>3.1802541576325893E-2</v>
      </c>
      <c r="BT116">
        <v>4.9829667806625366</v>
      </c>
      <c r="BU116">
        <v>6.3271984457969666E-2</v>
      </c>
      <c r="BV116">
        <v>0.23169451206922531</v>
      </c>
      <c r="BW116">
        <v>0.12340056151151657</v>
      </c>
      <c r="BX116">
        <v>0.87903264164924622</v>
      </c>
      <c r="BY116">
        <v>0.21257119253277779</v>
      </c>
      <c r="IM116">
        <v>29.232532024383545</v>
      </c>
      <c r="IN116">
        <v>7.0556583404541016</v>
      </c>
      <c r="IS116">
        <v>36.961235264243982</v>
      </c>
    </row>
    <row r="117" spans="1:253" x14ac:dyDescent="0.3">
      <c r="A117" s="4" t="s">
        <v>1648</v>
      </c>
      <c r="B117">
        <v>9.2427561467047781E-3</v>
      </c>
      <c r="C117">
        <v>1.8980683088302612</v>
      </c>
      <c r="D117">
        <v>0.65341511368751526</v>
      </c>
      <c r="E117">
        <v>32.495946884155273</v>
      </c>
      <c r="F117">
        <v>0.26975517347455025</v>
      </c>
      <c r="I117">
        <v>1.1538268066942692E-2</v>
      </c>
      <c r="J117">
        <v>13.78706169128418</v>
      </c>
      <c r="K117">
        <v>0.19465258345007896</v>
      </c>
      <c r="L117">
        <v>1.8925610184669495</v>
      </c>
      <c r="M117" s="7">
        <v>0.85465081036090851</v>
      </c>
      <c r="N117">
        <v>2.3770621120929718</v>
      </c>
      <c r="P117" s="7">
        <v>1.1736998568406713E-2</v>
      </c>
      <c r="Q117">
        <v>32.881943702697754</v>
      </c>
      <c r="R117">
        <v>35.262434005737305</v>
      </c>
      <c r="S117">
        <v>4.3840252161026001</v>
      </c>
      <c r="W117">
        <v>0.10348714515566826</v>
      </c>
      <c r="X117">
        <v>1.8272583256475627E-3</v>
      </c>
      <c r="AE117">
        <v>0.38105615973472595</v>
      </c>
      <c r="AG117">
        <v>21.384684562683105</v>
      </c>
      <c r="AJ117">
        <v>0.980255126953125</v>
      </c>
      <c r="AK117">
        <v>26.598800659179688</v>
      </c>
      <c r="AL117" s="7">
        <v>45.067310333251953</v>
      </c>
      <c r="AM117">
        <v>8.2722799777984619</v>
      </c>
      <c r="AN117">
        <v>189.60584259033203</v>
      </c>
      <c r="AO117">
        <v>8.3274651318788528E-2</v>
      </c>
      <c r="AP117">
        <v>0.1248122937977314</v>
      </c>
      <c r="AQ117">
        <v>0.56488069891929626</v>
      </c>
      <c r="AR117">
        <v>0.48065423965454102</v>
      </c>
      <c r="AS117">
        <v>0.54834304749965668</v>
      </c>
      <c r="AT117">
        <v>0.32037371397018433</v>
      </c>
      <c r="AU117">
        <v>2.0729886293411255</v>
      </c>
      <c r="AX117">
        <v>2.4163377285003662</v>
      </c>
      <c r="BC117">
        <v>0.36773566901683807</v>
      </c>
      <c r="BE117">
        <v>3.3277470618486404E-2</v>
      </c>
      <c r="BF117">
        <v>5.4869841784238815E-2</v>
      </c>
      <c r="BG117">
        <v>74.234006881713867</v>
      </c>
      <c r="BH117">
        <v>3.7062919139862061</v>
      </c>
      <c r="BI117">
        <v>1997.035123934668</v>
      </c>
      <c r="BJ117">
        <v>6.273813009262085</v>
      </c>
      <c r="BK117">
        <v>0.7045770138502121</v>
      </c>
      <c r="BL117">
        <v>19.395877838134766</v>
      </c>
      <c r="BM117">
        <v>7.1225204467773438</v>
      </c>
      <c r="BN117">
        <v>5.8278485536575317</v>
      </c>
      <c r="BO117">
        <v>51.586929321289063</v>
      </c>
      <c r="BP117">
        <v>15.590814590454102</v>
      </c>
      <c r="BQ117">
        <v>1.9538265885785222E-2</v>
      </c>
      <c r="BR117">
        <v>1.3151554012438282E-3</v>
      </c>
      <c r="BS117">
        <v>1.8430951982736588E-2</v>
      </c>
      <c r="BT117">
        <v>3.0010855197906494</v>
      </c>
      <c r="BU117">
        <v>0.27247093617916107</v>
      </c>
      <c r="BV117">
        <v>0.29304298758506775</v>
      </c>
      <c r="BX117">
        <v>0.39732484519481659</v>
      </c>
      <c r="BY117">
        <v>3.0807461589574814E-2</v>
      </c>
      <c r="IM117">
        <v>48.583198070526123</v>
      </c>
      <c r="IN117">
        <v>24.795324325561523</v>
      </c>
      <c r="IP117">
        <v>1379.0740923117198</v>
      </c>
      <c r="IS117">
        <v>8.0555569677678687</v>
      </c>
    </row>
    <row r="118" spans="1:253" x14ac:dyDescent="0.3">
      <c r="A118" s="4" t="s">
        <v>1649</v>
      </c>
      <c r="B118">
        <v>5.5243563110707328E-4</v>
      </c>
      <c r="C118">
        <v>8.6306661367416382E-2</v>
      </c>
      <c r="D118">
        <v>3.0475234612822533E-2</v>
      </c>
      <c r="E118">
        <v>0.94645774364471436</v>
      </c>
      <c r="F118">
        <v>0.3078981526196003</v>
      </c>
      <c r="I118">
        <v>4.5249081449583173E-4</v>
      </c>
      <c r="M118">
        <v>2.4269028101116419E-2</v>
      </c>
      <c r="N118">
        <v>0.21918046474456787</v>
      </c>
      <c r="Q118">
        <v>4.8542582988739014</v>
      </c>
      <c r="R118">
        <v>2.1065865159034729</v>
      </c>
      <c r="S118">
        <v>1.0174460709095001</v>
      </c>
      <c r="X118">
        <v>3.6793904291698709E-4</v>
      </c>
      <c r="Z118">
        <v>0.47308933734893799</v>
      </c>
      <c r="AE118">
        <v>7.7288093045353889E-2</v>
      </c>
      <c r="AF118">
        <v>8.4038082510232925E-2</v>
      </c>
      <c r="AG118">
        <v>3.273108959197998</v>
      </c>
      <c r="AH118">
        <v>0.52579595148563385</v>
      </c>
      <c r="AJ118">
        <v>0.11165271885693073</v>
      </c>
      <c r="AK118">
        <v>2.1201709508895874</v>
      </c>
      <c r="AL118">
        <v>0.2460395023226738</v>
      </c>
      <c r="AM118">
        <v>29.82868766784668</v>
      </c>
      <c r="AN118">
        <v>24.271439790725708</v>
      </c>
      <c r="AO118">
        <v>6.4152857288718224E-2</v>
      </c>
      <c r="AP118">
        <v>0.43403657153248787</v>
      </c>
      <c r="AQ118">
        <v>0.33876573108136654</v>
      </c>
      <c r="AR118">
        <v>0.2645818842574954</v>
      </c>
      <c r="AS118">
        <v>5.3460438502952456E-2</v>
      </c>
      <c r="AT118">
        <v>4.4859144138172269E-2</v>
      </c>
      <c r="AU118">
        <v>0.60831326246261597</v>
      </c>
      <c r="AX118">
        <v>0.70906820893287659</v>
      </c>
      <c r="BF118">
        <v>1.6101415269076824E-2</v>
      </c>
      <c r="BG118">
        <v>15.409433037042618</v>
      </c>
      <c r="BH118">
        <v>10.958420634269714</v>
      </c>
      <c r="BI118">
        <v>143.02115249633789</v>
      </c>
      <c r="BM118">
        <v>0.39696400612592697</v>
      </c>
      <c r="BN118">
        <v>1.7484834343194962</v>
      </c>
      <c r="BO118">
        <v>1.6286135762929916</v>
      </c>
      <c r="BP118">
        <v>4.5538060665130615</v>
      </c>
      <c r="BQ118">
        <v>1.2398924981243908</v>
      </c>
      <c r="BS118">
        <v>8.7065505504142493E-3</v>
      </c>
      <c r="BT118">
        <v>0.63534581661224365</v>
      </c>
      <c r="BU118">
        <v>0.14038477651774883</v>
      </c>
      <c r="BV118">
        <v>0.14204882830381393</v>
      </c>
      <c r="BX118">
        <v>1.9714457988739014</v>
      </c>
      <c r="BY118">
        <v>1.7823457892518491E-2</v>
      </c>
      <c r="IM118">
        <v>183.43085098266602</v>
      </c>
      <c r="IP118">
        <v>2185.0157050337743</v>
      </c>
      <c r="IS118">
        <v>11.316179578062966</v>
      </c>
    </row>
    <row r="119" spans="1:253" x14ac:dyDescent="0.3">
      <c r="A119" s="4" t="s">
        <v>1650</v>
      </c>
      <c r="B119">
        <v>3.3816131763160229E-2</v>
      </c>
      <c r="C119">
        <v>6.2364674806594849</v>
      </c>
      <c r="D119">
        <v>1.9672996997833252</v>
      </c>
      <c r="E119">
        <v>50.939945220947266</v>
      </c>
      <c r="F119">
        <v>0.28897051513195038</v>
      </c>
      <c r="I119">
        <v>4.0472421795129776E-2</v>
      </c>
      <c r="J119">
        <v>5.8258590698242188</v>
      </c>
      <c r="K119">
        <v>1.5490389764308929</v>
      </c>
      <c r="L119">
        <v>1.3258487284183502</v>
      </c>
      <c r="M119">
        <v>0.95434245467185974</v>
      </c>
      <c r="N119">
        <v>3.1261625289916992</v>
      </c>
      <c r="O119">
        <v>1.2312692415434867E-3</v>
      </c>
      <c r="P119">
        <v>8.3350771547587316E-3</v>
      </c>
      <c r="Q119">
        <v>17.778604507446289</v>
      </c>
      <c r="R119">
        <v>32.098206520080566</v>
      </c>
      <c r="S119">
        <v>8.4079551696777344</v>
      </c>
      <c r="T119">
        <v>0.14715072698891163</v>
      </c>
      <c r="U119">
        <v>0.11307775974273682</v>
      </c>
      <c r="V119">
        <v>9.2823445796966553E-2</v>
      </c>
      <c r="W119">
        <v>0.31492659449577332</v>
      </c>
      <c r="X119">
        <v>1.7828313575591892E-3</v>
      </c>
      <c r="Z119">
        <v>1.9963493645191193</v>
      </c>
      <c r="AA119">
        <v>1.6388772130012512</v>
      </c>
      <c r="AD119">
        <v>0.21565500646829605</v>
      </c>
      <c r="AE119">
        <v>0.79645726084709167</v>
      </c>
      <c r="AF119">
        <v>0.11011065542697906</v>
      </c>
      <c r="AG119">
        <v>57.584016799926758</v>
      </c>
      <c r="AH119">
        <v>0.60463370382785797</v>
      </c>
      <c r="AI119">
        <v>8.7302882224321365E-2</v>
      </c>
      <c r="AJ119">
        <v>0.44893081486225128</v>
      </c>
      <c r="AK119">
        <v>5.9182937145233154</v>
      </c>
      <c r="AL119">
        <v>0.13137367926537991</v>
      </c>
      <c r="AM119">
        <v>0.36334381997585297</v>
      </c>
      <c r="AN119">
        <v>36.518489360809326</v>
      </c>
      <c r="AO119">
        <v>3.829543013125658E-2</v>
      </c>
      <c r="AP119">
        <v>6.8956690840423107E-2</v>
      </c>
      <c r="AQ119">
        <v>0.26540194265544415</v>
      </c>
      <c r="AR119">
        <v>0.21213667653501034</v>
      </c>
      <c r="AS119">
        <v>0.1138504333794117</v>
      </c>
      <c r="AT119">
        <v>4.3764091096818447E-2</v>
      </c>
      <c r="AU119">
        <v>2.3320684432983398</v>
      </c>
      <c r="AX119">
        <v>2.7183290719985962</v>
      </c>
      <c r="BC119">
        <v>0.41369488835334778</v>
      </c>
      <c r="BE119">
        <v>3.7436451762914658E-2</v>
      </c>
      <c r="BF119">
        <v>6.1727413907647133E-2</v>
      </c>
      <c r="BG119">
        <v>10.068700313568115</v>
      </c>
      <c r="BH119">
        <v>1.3318484425544739</v>
      </c>
      <c r="BI119">
        <v>985.2686767578125</v>
      </c>
      <c r="BJ119">
        <v>45.284534454345703</v>
      </c>
      <c r="BK119">
        <v>0.65443019568920135</v>
      </c>
      <c r="BL119">
        <v>36.531510829925537</v>
      </c>
      <c r="BM119">
        <v>7.1656638383865356</v>
      </c>
      <c r="BN119">
        <v>7.815997838973999</v>
      </c>
      <c r="BO119">
        <v>52.42471981048584</v>
      </c>
      <c r="BP119">
        <v>36.150038719177246</v>
      </c>
      <c r="BQ119">
        <v>0.54393691569566727</v>
      </c>
      <c r="BR119">
        <v>2.0138283260166645E-2</v>
      </c>
      <c r="BS119">
        <v>6.1249559745192528E-2</v>
      </c>
      <c r="BT119">
        <v>2.5778607726097107</v>
      </c>
      <c r="BU119">
        <v>0.28439678251743317</v>
      </c>
      <c r="BV119">
        <v>5.400967538356781</v>
      </c>
      <c r="BW119">
        <v>0.21887494623661041</v>
      </c>
      <c r="BX119">
        <v>0.89336717128753662</v>
      </c>
      <c r="BY119">
        <v>2.9377089813351631E-2</v>
      </c>
      <c r="IM119">
        <v>568.45284403382084</v>
      </c>
      <c r="IN119">
        <v>21.288559198379517</v>
      </c>
      <c r="IP119">
        <v>8596.4100118086226</v>
      </c>
      <c r="IS119">
        <v>10.661926765499565</v>
      </c>
    </row>
    <row r="120" spans="1:253" x14ac:dyDescent="0.3">
      <c r="A120" s="4" t="s">
        <v>1651</v>
      </c>
      <c r="B120" s="7">
        <v>2.1447973122121766E-3</v>
      </c>
      <c r="C120" s="7">
        <v>0.16780689731240273</v>
      </c>
      <c r="D120" s="7">
        <v>5.6946869008243084E-2</v>
      </c>
      <c r="E120" s="7">
        <v>5.0916078388690948</v>
      </c>
      <c r="F120" s="7">
        <v>1.5739245223812759E-2</v>
      </c>
      <c r="G120" s="7"/>
      <c r="H120" s="7"/>
      <c r="I120" s="7">
        <v>6.2811547541059554E-3</v>
      </c>
      <c r="J120" s="7">
        <v>5.1088636070489883</v>
      </c>
      <c r="K120" s="7"/>
      <c r="L120" s="7">
        <v>0.15295740542933345</v>
      </c>
      <c r="M120" s="7">
        <v>2.3014172911643982E-2</v>
      </c>
      <c r="N120" s="7">
        <v>0.33382945135235786</v>
      </c>
      <c r="O120" s="7">
        <v>1.9893739663530141E-3</v>
      </c>
      <c r="P120" s="7"/>
      <c r="Q120" s="7">
        <v>4.5868351310491562</v>
      </c>
      <c r="R120" s="7">
        <v>32.236703038215637</v>
      </c>
      <c r="S120">
        <v>0.25761640351265669</v>
      </c>
      <c r="W120">
        <v>0.41585767269134521</v>
      </c>
      <c r="X120">
        <v>6.1828206162317656E-4</v>
      </c>
      <c r="Y120">
        <v>0.14669281244277954</v>
      </c>
      <c r="Z120">
        <v>0.31967703066766262</v>
      </c>
      <c r="AA120">
        <v>0.20040097553282976</v>
      </c>
      <c r="AB120">
        <v>5.8763378765434027E-3</v>
      </c>
      <c r="AC120">
        <v>0.10694903088733554</v>
      </c>
      <c r="AD120">
        <v>0.30969448387622833</v>
      </c>
      <c r="AE120">
        <v>0.26012221351265907</v>
      </c>
      <c r="AF120">
        <v>1.0894054509699345</v>
      </c>
      <c r="AG120" s="7">
        <v>4.3061612844467163</v>
      </c>
      <c r="AH120">
        <v>0.16359565034508705</v>
      </c>
      <c r="AI120">
        <v>2.0324437587987632E-2</v>
      </c>
      <c r="AJ120">
        <v>0.14491800591349602</v>
      </c>
      <c r="AK120">
        <v>1.0895384401082993</v>
      </c>
      <c r="AL120">
        <v>0.10328663513064384</v>
      </c>
      <c r="AM120">
        <v>0.38564941845834255</v>
      </c>
      <c r="AN120">
        <v>15.242044866085052</v>
      </c>
      <c r="AO120">
        <v>12.608052492141724</v>
      </c>
      <c r="AP120">
        <v>1.412125252187252</v>
      </c>
      <c r="AQ120">
        <v>1.7652043253183365</v>
      </c>
      <c r="AR120">
        <v>1.0932828187942505</v>
      </c>
      <c r="AS120">
        <v>0.20306057762354612</v>
      </c>
      <c r="AT120">
        <v>0.37571040540933609</v>
      </c>
      <c r="AU120">
        <v>0.95408643782138824</v>
      </c>
      <c r="AW120" s="7"/>
      <c r="AX120">
        <v>1.1121118813753128</v>
      </c>
      <c r="AZ120" s="7"/>
      <c r="BB120" s="7"/>
      <c r="BC120" s="7"/>
      <c r="BF120">
        <v>2.5253669824451208E-2</v>
      </c>
      <c r="BG120">
        <v>3.6008908003568649</v>
      </c>
      <c r="BH120">
        <v>0.86064992845058441</v>
      </c>
      <c r="BI120">
        <v>18.864039421081543</v>
      </c>
      <c r="BJ120">
        <v>327.76981735229492</v>
      </c>
      <c r="BK120">
        <v>0.7455366775393486</v>
      </c>
      <c r="BL120">
        <v>1.7915108203887939</v>
      </c>
      <c r="BM120">
        <v>0.51617331430315971</v>
      </c>
      <c r="BN120">
        <v>0.75156983733177185</v>
      </c>
      <c r="BO120">
        <v>2.3338937759399414</v>
      </c>
      <c r="BP120">
        <v>184.55537128448486</v>
      </c>
      <c r="BQ120">
        <v>3.1362667083740234</v>
      </c>
      <c r="BR120">
        <v>0.16750192642211914</v>
      </c>
      <c r="BS120">
        <v>0.29979889467358589</v>
      </c>
      <c r="BT120">
        <v>73.616028308868408</v>
      </c>
      <c r="BU120" s="7">
        <v>0.75974906235933304</v>
      </c>
      <c r="BV120">
        <v>14.134411096572876</v>
      </c>
      <c r="BW120">
        <v>10.215488433837891</v>
      </c>
      <c r="BX120">
        <v>5.145342618227005</v>
      </c>
      <c r="BY120">
        <v>1.3740733324084431E-2</v>
      </c>
      <c r="IM120">
        <v>1234.8419280331193</v>
      </c>
      <c r="IN120">
        <v>3.7919619679450989</v>
      </c>
      <c r="IP120">
        <v>1244.0088239709396</v>
      </c>
      <c r="IS120">
        <v>14.690818002966326</v>
      </c>
    </row>
    <row r="121" spans="1:253" x14ac:dyDescent="0.3">
      <c r="A121" s="4" t="s">
        <v>1652</v>
      </c>
      <c r="B121" s="7">
        <v>2.8367789855110459E-4</v>
      </c>
      <c r="C121" s="7">
        <v>0.22679220139980316</v>
      </c>
      <c r="D121" s="7">
        <v>7.1016754955053329E-2</v>
      </c>
      <c r="E121" s="7">
        <v>8.327210009098053</v>
      </c>
      <c r="F121" s="7">
        <v>2.022389299236238E-2</v>
      </c>
      <c r="G121" s="7"/>
      <c r="H121" s="7"/>
      <c r="I121" s="7">
        <v>7.3804613202810287E-3</v>
      </c>
      <c r="J121" s="7">
        <v>2.0825334489345551</v>
      </c>
      <c r="K121" s="7">
        <v>0.32278644293546677</v>
      </c>
      <c r="L121" s="7">
        <v>0.40921157225966454</v>
      </c>
      <c r="M121" s="7">
        <v>0.18008114397525787</v>
      </c>
      <c r="N121" s="7">
        <v>0.93079115450382233</v>
      </c>
      <c r="O121" s="7">
        <v>9.0364100178703666E-3</v>
      </c>
      <c r="P121" s="7">
        <v>3.4736363566989547E-3</v>
      </c>
      <c r="Q121" s="7">
        <v>13.13091816008091</v>
      </c>
      <c r="R121" s="7">
        <v>25.453230053186417</v>
      </c>
      <c r="S121">
        <v>0.97060203552246094</v>
      </c>
      <c r="T121">
        <v>5.8905865414999425E-2</v>
      </c>
      <c r="U121">
        <v>4.0330732415895909E-2</v>
      </c>
      <c r="W121">
        <v>1.2413328569382429</v>
      </c>
      <c r="Z121">
        <v>0.87167747318744659</v>
      </c>
      <c r="AA121">
        <v>0.54035753197968006</v>
      </c>
      <c r="AE121">
        <v>0.5223003551363945</v>
      </c>
      <c r="AF121">
        <v>0.1848466144874692</v>
      </c>
      <c r="AG121" s="7">
        <v>11.887546062469482</v>
      </c>
      <c r="AH121">
        <v>0.27101694513112307</v>
      </c>
      <c r="AJ121">
        <v>0.22645599208772182</v>
      </c>
      <c r="AK121">
        <v>2.6419708132743835</v>
      </c>
      <c r="AL121">
        <v>1.1086922399699688</v>
      </c>
      <c r="AM121">
        <v>0.48048609122633934</v>
      </c>
      <c r="AN121">
        <v>15.64594566822052</v>
      </c>
      <c r="AO121">
        <v>1.2982656583189964</v>
      </c>
      <c r="AP121">
        <v>3.961840957403183</v>
      </c>
      <c r="AQ121">
        <v>1.127752348780632</v>
      </c>
      <c r="AR121">
        <v>1.6501688957214355</v>
      </c>
      <c r="AS121">
        <v>0.67478298768401146</v>
      </c>
      <c r="AT121">
        <v>0.10205872170627117</v>
      </c>
      <c r="AU121">
        <v>10.329866915941238</v>
      </c>
      <c r="AW121" s="7"/>
      <c r="AX121">
        <v>12.040802538394928</v>
      </c>
      <c r="BB121" s="7"/>
      <c r="BC121" s="7">
        <v>1.8324560821056366</v>
      </c>
      <c r="BE121">
        <v>0.16582427127286792</v>
      </c>
      <c r="BF121">
        <v>0.27342074643820524</v>
      </c>
      <c r="BG121">
        <v>0.50283588096499443</v>
      </c>
      <c r="BH121">
        <v>0.61325152218341827</v>
      </c>
      <c r="BI121">
        <v>72.319286823272705</v>
      </c>
      <c r="BJ121">
        <v>126.80431461334229</v>
      </c>
      <c r="BK121">
        <v>1.0092143937945366</v>
      </c>
      <c r="BL121">
        <v>7.9413884878158569</v>
      </c>
      <c r="BM121">
        <v>0.73825546354055405</v>
      </c>
      <c r="BN121">
        <v>1.3821071162819862</v>
      </c>
      <c r="BO121">
        <v>3.2993293404579163</v>
      </c>
      <c r="BP121">
        <v>16.607768535614014</v>
      </c>
      <c r="BQ121">
        <v>0.61729654669761658</v>
      </c>
      <c r="BR121">
        <v>3.333713486790657E-2</v>
      </c>
      <c r="BS121">
        <v>0.16000954061746597</v>
      </c>
      <c r="BT121">
        <v>36.225265502929688</v>
      </c>
      <c r="BU121" s="7">
        <v>1.1542211472988129</v>
      </c>
      <c r="BV121">
        <v>2.1598554253578186</v>
      </c>
      <c r="BW121">
        <v>1.9290592074394226</v>
      </c>
      <c r="BX121">
        <v>6.7158743739128113</v>
      </c>
      <c r="BY121">
        <v>5.1744307274930179E-3</v>
      </c>
      <c r="CB121">
        <v>5.9116259226575272E-4</v>
      </c>
      <c r="IM121">
        <v>310.79747581481934</v>
      </c>
      <c r="IP121">
        <v>1829.6453669502439</v>
      </c>
      <c r="IS121">
        <v>43.158935219685468</v>
      </c>
    </row>
    <row r="122" spans="1:253" x14ac:dyDescent="0.3">
      <c r="A122" s="4" t="s">
        <v>1653</v>
      </c>
      <c r="B122" s="7">
        <v>6.5390598028898239E-2</v>
      </c>
      <c r="C122" s="7">
        <v>8.78839510679245</v>
      </c>
      <c r="D122">
        <v>3.1064837425947189</v>
      </c>
      <c r="E122">
        <v>87.322922229766846</v>
      </c>
      <c r="F122">
        <v>0.96915895491838455</v>
      </c>
      <c r="I122">
        <v>2.7461208868771791E-2</v>
      </c>
      <c r="J122">
        <v>10.630420923233032</v>
      </c>
      <c r="K122">
        <v>1.7837996035814285</v>
      </c>
      <c r="L122">
        <v>1.9463521242141724</v>
      </c>
      <c r="M122" s="7">
        <v>3.1113168746232986</v>
      </c>
      <c r="N122" s="7">
        <v>3.2453126609325409</v>
      </c>
      <c r="O122">
        <v>9.337540774140507E-3</v>
      </c>
      <c r="P122" s="7">
        <v>3.3467041893239763E-2</v>
      </c>
      <c r="Q122">
        <v>81.205266714096069</v>
      </c>
      <c r="R122">
        <v>390.9554386138916</v>
      </c>
      <c r="S122">
        <v>15.291743218898773</v>
      </c>
      <c r="T122">
        <v>0.12909430754370987</v>
      </c>
      <c r="U122">
        <v>0.13034650799818337</v>
      </c>
      <c r="V122">
        <v>5.5278156418353319E-2</v>
      </c>
      <c r="W122">
        <v>1.6211631391197443</v>
      </c>
      <c r="X122">
        <v>3.1797520023246761E-4</v>
      </c>
      <c r="Y122">
        <v>0.12304878444410861</v>
      </c>
      <c r="Z122">
        <v>2.0832053273916245</v>
      </c>
      <c r="AA122">
        <v>0.99360742419958115</v>
      </c>
      <c r="AB122">
        <v>4.4235567023861222E-2</v>
      </c>
      <c r="AD122">
        <v>3.9438285492360592</v>
      </c>
      <c r="AE122">
        <v>2.10805943608284</v>
      </c>
      <c r="AF122">
        <v>1.8985827043652534</v>
      </c>
      <c r="AG122">
        <v>62.071556091308594</v>
      </c>
      <c r="AH122">
        <v>1.3942736610770226</v>
      </c>
      <c r="AI122">
        <v>3.6472301580943167E-2</v>
      </c>
      <c r="AJ122">
        <v>3.1162558495998383</v>
      </c>
      <c r="AK122">
        <v>30.103107810020447</v>
      </c>
      <c r="AL122">
        <v>1.9830211773514748</v>
      </c>
      <c r="AM122">
        <v>3.3002155423164368</v>
      </c>
      <c r="AN122">
        <v>76.389792919158936</v>
      </c>
      <c r="AO122">
        <v>0.72298849001526833</v>
      </c>
      <c r="AP122">
        <v>0.46688230335712433</v>
      </c>
      <c r="AQ122">
        <v>7.8874289989471436</v>
      </c>
      <c r="AR122">
        <v>1.1723982244729996</v>
      </c>
      <c r="AS122">
        <v>1.697423480451107</v>
      </c>
      <c r="AT122">
        <v>0.31950991600751877</v>
      </c>
      <c r="AU122">
        <v>15.620062202215195</v>
      </c>
      <c r="AX122">
        <v>18.207213968038559</v>
      </c>
      <c r="BC122">
        <v>2.770904902368784</v>
      </c>
      <c r="BE122">
        <v>0.25074722664430737</v>
      </c>
      <c r="BF122">
        <v>0.41344670671969652</v>
      </c>
      <c r="BG122">
        <v>81.921409070491791</v>
      </c>
      <c r="BH122">
        <v>8.6706979274749756</v>
      </c>
      <c r="BI122">
        <v>54.801550388336182</v>
      </c>
      <c r="BJ122">
        <v>100.65586280822754</v>
      </c>
      <c r="BK122">
        <v>0.55082136020064354</v>
      </c>
      <c r="BL122">
        <v>17.941488206386566</v>
      </c>
      <c r="BM122">
        <v>0.9018285796046257</v>
      </c>
      <c r="BN122">
        <v>4.4832067266106606</v>
      </c>
      <c r="BO122">
        <v>5.7329250574111938</v>
      </c>
      <c r="BP122">
        <v>10.144741177558899</v>
      </c>
      <c r="BQ122">
        <v>0.96896505355834961</v>
      </c>
      <c r="BR122">
        <v>0.11199577897787094</v>
      </c>
      <c r="BS122">
        <v>0.46700169146060944</v>
      </c>
      <c r="BT122">
        <v>106.08780670166016</v>
      </c>
      <c r="BU122">
        <v>0.53414957970380783</v>
      </c>
      <c r="BV122">
        <v>24.659610748291016</v>
      </c>
      <c r="BW122">
        <v>6.2464142143726349</v>
      </c>
      <c r="BX122">
        <v>34.112141609191895</v>
      </c>
      <c r="BY122">
        <v>3.2880895625567064E-2</v>
      </c>
      <c r="CB122">
        <v>2.4832211058393927E-3</v>
      </c>
      <c r="IM122">
        <v>455.64481353759766</v>
      </c>
      <c r="IP122">
        <v>4511.8902334029563</v>
      </c>
      <c r="IS122">
        <v>14.208220861301211</v>
      </c>
    </row>
    <row r="123" spans="1:253" x14ac:dyDescent="0.3">
      <c r="A123" s="4" t="s">
        <v>1654</v>
      </c>
      <c r="B123" s="7">
        <v>2.654852217528969E-2</v>
      </c>
      <c r="C123" s="7">
        <v>4.2484707832336426</v>
      </c>
      <c r="D123" s="7">
        <v>1.803352102637291</v>
      </c>
      <c r="E123">
        <v>35.325226187705994</v>
      </c>
      <c r="F123" s="7">
        <v>0.44921339675784111</v>
      </c>
      <c r="G123" s="7"/>
      <c r="H123" s="7"/>
      <c r="I123" s="7">
        <v>3.8825393334263936E-2</v>
      </c>
      <c r="J123">
        <v>7.5807690620422363</v>
      </c>
      <c r="K123">
        <v>0.2493007555603981</v>
      </c>
      <c r="L123">
        <v>0.95823566615581512</v>
      </c>
      <c r="M123" s="7">
        <v>1.3901463570073247</v>
      </c>
      <c r="N123" s="7">
        <v>3.7862755060195923</v>
      </c>
      <c r="O123">
        <v>1.2458291457733139E-2</v>
      </c>
      <c r="P123" s="7">
        <v>1.5812457878667239E-3</v>
      </c>
      <c r="Q123">
        <v>2.4940790310502052</v>
      </c>
      <c r="R123" s="7">
        <v>5.4277974665164948</v>
      </c>
      <c r="S123">
        <v>2.5671437978744507</v>
      </c>
      <c r="V123">
        <v>4.5743573922663927E-2</v>
      </c>
      <c r="W123">
        <v>0.40772700682282448</v>
      </c>
      <c r="X123">
        <v>1.5236462716075039E-3</v>
      </c>
      <c r="Y123">
        <v>6.1510415747761726E-2</v>
      </c>
      <c r="Z123">
        <v>1.3044990338385105</v>
      </c>
      <c r="AA123">
        <v>0.58403335325419903</v>
      </c>
      <c r="AD123">
        <v>0.23322801757603884</v>
      </c>
      <c r="AE123">
        <v>1.3431520350277424</v>
      </c>
      <c r="AF123">
        <v>0.29796132817864418</v>
      </c>
      <c r="AG123" s="7">
        <v>2.6782124638557434</v>
      </c>
      <c r="AH123">
        <v>0.20449631474912167</v>
      </c>
      <c r="AI123">
        <v>2.069938718341291E-2</v>
      </c>
      <c r="AJ123">
        <v>0.43659468553960323</v>
      </c>
      <c r="AK123">
        <v>4.5017303824424744</v>
      </c>
      <c r="AL123">
        <v>0.23088489007204771</v>
      </c>
      <c r="AM123">
        <v>0.87302407994866371</v>
      </c>
      <c r="AN123">
        <v>11.206957459449768</v>
      </c>
      <c r="AO123">
        <v>1.272149954456836E-2</v>
      </c>
      <c r="AP123">
        <v>3.4730023238807917E-2</v>
      </c>
      <c r="AQ123">
        <v>0.23115621134638786</v>
      </c>
      <c r="AR123">
        <v>25.731061935424805</v>
      </c>
      <c r="AS123">
        <v>1.111662432551384</v>
      </c>
      <c r="AT123">
        <v>5.9289836790412664E-2</v>
      </c>
      <c r="AU123">
        <v>0.24377075210213661</v>
      </c>
      <c r="BC123" s="7"/>
      <c r="BF123">
        <v>6.452356930822134E-3</v>
      </c>
      <c r="BG123">
        <v>4.7290801294147968</v>
      </c>
      <c r="BH123">
        <v>1.457373321056366</v>
      </c>
      <c r="BI123">
        <v>10.513946831226349</v>
      </c>
      <c r="BJ123">
        <v>637.56427513901838</v>
      </c>
      <c r="BK123">
        <v>6.9018611684441566E-2</v>
      </c>
      <c r="BL123">
        <v>18.160521507263184</v>
      </c>
      <c r="BM123">
        <v>0.34807829326018691</v>
      </c>
      <c r="BN123">
        <v>0.5468343305401504</v>
      </c>
      <c r="BO123">
        <v>5.0868746042251587</v>
      </c>
      <c r="BP123">
        <v>8.7210452556610107</v>
      </c>
      <c r="BQ123">
        <v>1.4015315622091293</v>
      </c>
      <c r="BR123">
        <v>9.5629028044641018E-2</v>
      </c>
      <c r="BS123">
        <v>0.14335186034440994</v>
      </c>
      <c r="BT123">
        <v>63.788610458374023</v>
      </c>
      <c r="BU123" s="7">
        <v>0.517600417137146</v>
      </c>
      <c r="BV123">
        <v>3.8662519156932831</v>
      </c>
      <c r="BW123">
        <v>0.22821702808141708</v>
      </c>
      <c r="BX123">
        <v>27.790924489498138</v>
      </c>
      <c r="BY123">
        <v>8.5830079769948497E-3</v>
      </c>
      <c r="IM123">
        <v>1378.3725207083839</v>
      </c>
      <c r="IN123">
        <v>48.147868394851685</v>
      </c>
      <c r="IP123">
        <v>2048.3703875609717</v>
      </c>
      <c r="IS123">
        <v>4.0611904454210572</v>
      </c>
    </row>
    <row r="124" spans="1:253" x14ac:dyDescent="0.3">
      <c r="A124" s="4" t="s">
        <v>1655</v>
      </c>
      <c r="B124">
        <v>4.2918900726363063E-3</v>
      </c>
      <c r="C124">
        <v>0.36920931935310364</v>
      </c>
      <c r="D124">
        <v>6.9630907848477364E-2</v>
      </c>
      <c r="E124">
        <v>5.7620654106140137</v>
      </c>
      <c r="F124">
        <v>1.6810557106509805E-2</v>
      </c>
      <c r="I124">
        <v>1.0118899284861982E-2</v>
      </c>
      <c r="J124">
        <v>0.61495855450630188</v>
      </c>
      <c r="K124">
        <v>9.6112154424190521E-2</v>
      </c>
      <c r="L124">
        <v>2.6263678912073374E-2</v>
      </c>
      <c r="N124">
        <v>0.16950521618127823</v>
      </c>
      <c r="O124">
        <v>2.1050572860985994E-2</v>
      </c>
      <c r="P124">
        <v>1.8253165950689065E-3</v>
      </c>
      <c r="Q124">
        <v>0.25076858606189489</v>
      </c>
      <c r="R124">
        <v>0.56683268398046494</v>
      </c>
      <c r="S124">
        <v>0.58389398455619812</v>
      </c>
      <c r="Y124">
        <v>3.8910195085918531E-2</v>
      </c>
      <c r="AL124">
        <v>9.4927660073153675E-2</v>
      </c>
      <c r="AN124">
        <v>0.67935534194111824</v>
      </c>
      <c r="AQ124">
        <v>6.7074213642627001E-2</v>
      </c>
      <c r="AR124">
        <v>6.981362821534276E-2</v>
      </c>
      <c r="AS124">
        <v>2.281527191400528</v>
      </c>
      <c r="AU124">
        <v>5.4522519931197166E-2</v>
      </c>
      <c r="BF124">
        <v>1.4431540330406278E-3</v>
      </c>
      <c r="BG124">
        <v>1.2066404968500137</v>
      </c>
      <c r="BH124">
        <v>9.9778799340128899E-2</v>
      </c>
      <c r="BI124">
        <v>1.8902061060070992</v>
      </c>
      <c r="BJ124">
        <v>7.4363553524017334</v>
      </c>
      <c r="BK124">
        <v>0.14863702747970819</v>
      </c>
      <c r="BL124">
        <v>38.987207412719727</v>
      </c>
      <c r="BM124">
        <v>10.406368017196655</v>
      </c>
      <c r="BN124">
        <v>88.127644538879395</v>
      </c>
      <c r="BO124">
        <v>1.2137635350227356</v>
      </c>
      <c r="BP124">
        <v>0.52660159021615982</v>
      </c>
      <c r="BQ124">
        <v>3.8999615702778101E-2</v>
      </c>
      <c r="BR124">
        <v>1.6084791743196547E-2</v>
      </c>
      <c r="BS124">
        <v>1.0239514522254467E-2</v>
      </c>
      <c r="BT124">
        <v>8.5698739290237427</v>
      </c>
      <c r="BU124">
        <v>0.11644872138276696</v>
      </c>
      <c r="BV124">
        <v>18.314019918441772</v>
      </c>
      <c r="BW124">
        <v>0.10049840994179249</v>
      </c>
      <c r="BY124">
        <v>9.1957660879415926E-4</v>
      </c>
      <c r="IM124">
        <v>89.83981990814209</v>
      </c>
      <c r="IN124">
        <v>7.7013996688184134</v>
      </c>
      <c r="IP124">
        <v>979.98285762893136</v>
      </c>
      <c r="IS124">
        <v>22.941086095589409</v>
      </c>
    </row>
    <row r="125" spans="1:253" x14ac:dyDescent="0.3">
      <c r="A125" s="4" t="s">
        <v>1656</v>
      </c>
      <c r="B125" s="7">
        <v>4.9784512375481427E-3</v>
      </c>
      <c r="C125" s="7">
        <v>0.40088696777820587</v>
      </c>
      <c r="D125">
        <v>0.13142886199057102</v>
      </c>
      <c r="E125">
        <v>7.5143692493438721</v>
      </c>
      <c r="F125">
        <v>1.9309205235913396E-2</v>
      </c>
      <c r="I125">
        <v>7.4415467097423971E-3</v>
      </c>
      <c r="J125">
        <v>0.38014182448387146</v>
      </c>
      <c r="K125">
        <v>8.347003161907196E-2</v>
      </c>
      <c r="L125">
        <v>0.32582143694162369</v>
      </c>
      <c r="M125" s="7">
        <v>7.5545659288764E-2</v>
      </c>
      <c r="N125" s="7">
        <v>0.99199631810188293</v>
      </c>
      <c r="O125">
        <v>6.2654261710122228E-3</v>
      </c>
      <c r="Q125">
        <v>7.8185669183731079</v>
      </c>
      <c r="R125">
        <v>0.9310201108455658</v>
      </c>
      <c r="S125">
        <v>3.0188985466957092</v>
      </c>
      <c r="U125">
        <v>5.1080901175737381E-2</v>
      </c>
      <c r="V125">
        <v>4.5325025916099548E-2</v>
      </c>
      <c r="W125">
        <v>0.20240196585655212</v>
      </c>
      <c r="X125">
        <v>1.4719511964358389E-3</v>
      </c>
      <c r="Z125">
        <v>1.353716641664505</v>
      </c>
      <c r="AA125">
        <v>0.8860204666852951</v>
      </c>
      <c r="AB125">
        <v>7.3421024717390537E-3</v>
      </c>
      <c r="AC125">
        <v>1.6015684902667999</v>
      </c>
      <c r="AD125">
        <v>4.9713730812072754</v>
      </c>
      <c r="AE125">
        <v>1.3268747627735138</v>
      </c>
      <c r="AF125">
        <v>0.5652967095375061</v>
      </c>
      <c r="AH125">
        <v>0.53172975778579712</v>
      </c>
      <c r="AI125">
        <v>4.8802537843585014E-2</v>
      </c>
      <c r="AJ125">
        <v>0.47794406116008759</v>
      </c>
      <c r="AK125">
        <v>5.0725764036178589</v>
      </c>
      <c r="AL125">
        <v>0.54540561139583588</v>
      </c>
      <c r="AM125">
        <v>1.8790872395038605</v>
      </c>
      <c r="AN125">
        <v>11.143381595611572</v>
      </c>
      <c r="AO125">
        <v>0.40907751023769379</v>
      </c>
      <c r="AP125">
        <v>0.15024986863136292</v>
      </c>
      <c r="AQ125">
        <v>0.19078624248504639</v>
      </c>
      <c r="AR125">
        <v>0.10210970044136047</v>
      </c>
      <c r="AS125">
        <v>0.10644435882568359</v>
      </c>
      <c r="AT125">
        <v>0.40113016217947006</v>
      </c>
      <c r="AU125">
        <v>0.56438630819320679</v>
      </c>
      <c r="AX125">
        <v>0.65786567330360413</v>
      </c>
      <c r="BF125">
        <v>1.4938715845346451E-2</v>
      </c>
      <c r="BG125">
        <v>2.7415105104446411</v>
      </c>
      <c r="BH125">
        <v>3.2683097720146179</v>
      </c>
      <c r="BI125">
        <v>14.180749654769897</v>
      </c>
      <c r="BJ125">
        <v>346.54585242011268</v>
      </c>
      <c r="BK125">
        <v>2.055131733417511</v>
      </c>
      <c r="BL125">
        <v>3.9430975317955017</v>
      </c>
      <c r="BM125">
        <v>1.516755074262619</v>
      </c>
      <c r="BN125">
        <v>4.1997247338294983</v>
      </c>
      <c r="BO125">
        <v>3.5919842720031738</v>
      </c>
      <c r="BP125">
        <v>27.354052543640137</v>
      </c>
      <c r="BQ125">
        <v>3.861145555973053</v>
      </c>
      <c r="BR125">
        <v>0.35501670837402344</v>
      </c>
      <c r="BS125">
        <v>0.30614374577999115</v>
      </c>
      <c r="BT125">
        <v>14.625430345535278</v>
      </c>
      <c r="BU125">
        <v>1.716915100812912</v>
      </c>
      <c r="BV125">
        <v>15.585039615631104</v>
      </c>
      <c r="BW125">
        <v>5.6711629629135132</v>
      </c>
      <c r="BX125">
        <v>33.227540969848633</v>
      </c>
      <c r="BY125">
        <v>2.2214560303837061E-2</v>
      </c>
      <c r="IM125">
        <v>284.00289303545543</v>
      </c>
      <c r="IN125">
        <v>8.3661168813705444</v>
      </c>
      <c r="IP125">
        <v>248.34543895721436</v>
      </c>
      <c r="IS125">
        <v>1.8994313039641966</v>
      </c>
    </row>
    <row r="126" spans="1:253" x14ac:dyDescent="0.3">
      <c r="A126" s="4" t="s">
        <v>587</v>
      </c>
      <c r="B126" s="7">
        <v>6.1576991283800453E-3</v>
      </c>
      <c r="C126" s="7">
        <v>1.0483083454892039</v>
      </c>
      <c r="D126">
        <v>0.31780079705640674</v>
      </c>
      <c r="E126">
        <v>4.4860554337501526</v>
      </c>
      <c r="F126">
        <v>0.10260024853050709</v>
      </c>
      <c r="I126">
        <v>1.0918506537564099E-2</v>
      </c>
      <c r="J126">
        <v>4.1777805909514427</v>
      </c>
      <c r="K126">
        <v>0.62187896855175495</v>
      </c>
      <c r="L126">
        <v>0.77924352139234543</v>
      </c>
      <c r="M126" s="7">
        <v>0.14875838998705149</v>
      </c>
      <c r="N126" s="7">
        <v>0.59908183105289936</v>
      </c>
      <c r="O126">
        <v>2.6602176367305219E-3</v>
      </c>
      <c r="P126" s="7">
        <v>2.4518954151487768E-3</v>
      </c>
      <c r="S126">
        <v>3.9646013220772147</v>
      </c>
      <c r="T126">
        <v>0.78856363147497177</v>
      </c>
      <c r="U126">
        <v>0.49260668829083443</v>
      </c>
      <c r="V126">
        <v>0.24471137952059507</v>
      </c>
      <c r="W126">
        <v>2.5984718799591064</v>
      </c>
      <c r="X126">
        <v>1.6693351411959156E-2</v>
      </c>
      <c r="Y126">
        <v>0.11796272918581963</v>
      </c>
      <c r="Z126">
        <v>11.455132097005844</v>
      </c>
      <c r="AA126">
        <v>4.8471815288066864</v>
      </c>
      <c r="AB126">
        <v>0.16480707377195358</v>
      </c>
      <c r="AC126">
        <v>0.75010072439908981</v>
      </c>
      <c r="AD126">
        <v>4.6458942443132401</v>
      </c>
      <c r="AE126">
        <v>1.1701623275876045</v>
      </c>
      <c r="AF126">
        <v>4.4673650562763214</v>
      </c>
      <c r="AG126">
        <v>4.0627403461840004</v>
      </c>
      <c r="AH126">
        <v>17.558374047279358</v>
      </c>
      <c r="AI126">
        <v>0.34378652460873127</v>
      </c>
      <c r="AJ126">
        <v>6.1147646717727184</v>
      </c>
      <c r="AK126">
        <v>32.213951162993908</v>
      </c>
      <c r="AL126">
        <v>14.310757502913475</v>
      </c>
      <c r="AM126">
        <v>10.877585649490356</v>
      </c>
      <c r="AN126">
        <v>15.5688407253474</v>
      </c>
      <c r="AO126">
        <v>0.1272267549065873</v>
      </c>
      <c r="AP126">
        <v>6.4079607225721702E-2</v>
      </c>
      <c r="AQ126">
        <v>0.10763739465619437</v>
      </c>
      <c r="AR126">
        <v>1.8354260940104723</v>
      </c>
      <c r="AS126">
        <v>0.71813115570694208</v>
      </c>
      <c r="AT126">
        <v>4.5855011940002441</v>
      </c>
      <c r="AU126">
        <v>14.290545869618654</v>
      </c>
      <c r="AX126">
        <v>31.77187030762434</v>
      </c>
      <c r="BC126">
        <v>5.172963997349143</v>
      </c>
      <c r="BE126">
        <v>0.15806496446020901</v>
      </c>
      <c r="BF126">
        <v>0.28128766769077629</v>
      </c>
      <c r="BH126">
        <v>3.748566422611475</v>
      </c>
      <c r="BI126">
        <v>17.808652400970459</v>
      </c>
      <c r="BJ126">
        <v>6.8193595260381699</v>
      </c>
      <c r="BK126">
        <v>1.9629289116710424</v>
      </c>
      <c r="BL126">
        <v>9.3926066160202026</v>
      </c>
      <c r="BM126">
        <v>0.16270929016172886</v>
      </c>
      <c r="BN126">
        <v>0.35250780545175076</v>
      </c>
      <c r="BO126">
        <v>0.74220399186015129</v>
      </c>
      <c r="BP126">
        <v>2.0354670733213425</v>
      </c>
      <c r="BQ126">
        <v>0.43015934526920319</v>
      </c>
      <c r="BR126">
        <v>5.379641117178835E-2</v>
      </c>
      <c r="BS126">
        <v>0.53465184755623341</v>
      </c>
      <c r="BT126">
        <v>0.98221248481422663</v>
      </c>
      <c r="BU126" s="7">
        <v>4.5488685183227062</v>
      </c>
      <c r="BV126">
        <v>23.484970331192017</v>
      </c>
      <c r="BW126">
        <v>26.148492187261581</v>
      </c>
      <c r="BX126">
        <v>42.156456589698792</v>
      </c>
      <c r="IM126">
        <v>172.32185546640378</v>
      </c>
      <c r="IS126">
        <v>6.2057064605595631</v>
      </c>
    </row>
    <row r="127" spans="1:253" x14ac:dyDescent="0.3">
      <c r="A127" s="4" t="s">
        <v>588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W127">
        <v>0.11726435273885727</v>
      </c>
      <c r="X127" s="7"/>
      <c r="AG127" s="7"/>
      <c r="AW127" s="7"/>
      <c r="AZ127" s="7"/>
      <c r="BB127" s="7"/>
      <c r="BC127" s="7"/>
      <c r="BU127" s="7"/>
    </row>
    <row r="128" spans="1:253" x14ac:dyDescent="0.3">
      <c r="A128" s="4" t="s">
        <v>589</v>
      </c>
      <c r="B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U128" s="7"/>
      <c r="V128" s="7"/>
      <c r="W128" s="7">
        <v>0.2305145263671875</v>
      </c>
      <c r="X128" s="7"/>
      <c r="AG128" s="7"/>
      <c r="AT128">
        <v>1.5828575938940048E-2</v>
      </c>
      <c r="AV128" s="7"/>
      <c r="AW128" s="7"/>
      <c r="AY128" s="7"/>
      <c r="AZ128" s="7"/>
      <c r="BA128" s="7"/>
      <c r="BB128" s="7"/>
      <c r="BC128" s="7"/>
      <c r="BN128" s="7"/>
      <c r="BS128">
        <v>2.7246312238276005E-3</v>
      </c>
      <c r="BU128" s="7">
        <v>2.6571635156869888E-2</v>
      </c>
      <c r="BV128">
        <v>0.19521528482437134</v>
      </c>
      <c r="BX128">
        <v>0.25585266947746277</v>
      </c>
      <c r="CB128">
        <v>2.3645899578736949E-4</v>
      </c>
    </row>
    <row r="129" spans="1:253" x14ac:dyDescent="0.3">
      <c r="A129" s="4" t="s">
        <v>590</v>
      </c>
      <c r="B129">
        <v>3.9961519571079407E-2</v>
      </c>
      <c r="C129" s="7">
        <v>6.8436207333579659</v>
      </c>
      <c r="D129">
        <v>2.0655438883695751</v>
      </c>
      <c r="E129">
        <v>28.471235156059265</v>
      </c>
      <c r="F129">
        <v>0.66788358299527317</v>
      </c>
      <c r="I129">
        <v>7.0242929359665141E-2</v>
      </c>
      <c r="J129">
        <v>27.304297352209687</v>
      </c>
      <c r="K129">
        <v>4.0545271229930222</v>
      </c>
      <c r="L129">
        <v>5.0955275588203222</v>
      </c>
      <c r="M129">
        <v>0.94663095218129456</v>
      </c>
      <c r="N129">
        <v>3.9167508587706834</v>
      </c>
      <c r="O129">
        <v>1.385016820859164E-2</v>
      </c>
      <c r="P129">
        <v>1.3718757107569802E-2</v>
      </c>
      <c r="S129">
        <v>26.0443298923783</v>
      </c>
      <c r="T129">
        <v>5.0545204784721136</v>
      </c>
      <c r="U129">
        <v>3.1581796077080071</v>
      </c>
      <c r="V129">
        <v>1.5719949812628329</v>
      </c>
      <c r="W129">
        <v>14.246256709098816</v>
      </c>
      <c r="X129">
        <v>0.10911667622713139</v>
      </c>
      <c r="Y129">
        <v>0.63432697951793671</v>
      </c>
      <c r="Z129">
        <v>73.323785811662674</v>
      </c>
      <c r="AA129">
        <v>30.566902339458466</v>
      </c>
      <c r="AB129">
        <v>1.0716819474473596</v>
      </c>
      <c r="AC129">
        <v>4.7408356945902694</v>
      </c>
      <c r="AD129">
        <v>30.020657375454903</v>
      </c>
      <c r="AE129">
        <v>7.6386542385444045</v>
      </c>
      <c r="AF129">
        <v>29.184495713561773</v>
      </c>
      <c r="AG129">
        <v>26.714369333581999</v>
      </c>
      <c r="AH129">
        <v>114.76887533068657</v>
      </c>
      <c r="AI129">
        <v>2.2412038694601506</v>
      </c>
      <c r="AJ129">
        <v>40.070165632292628</v>
      </c>
      <c r="AK129">
        <v>211.79109666962177</v>
      </c>
      <c r="AL129">
        <v>94.125868870411068</v>
      </c>
      <c r="AM129">
        <v>71.544378655962646</v>
      </c>
      <c r="AN129">
        <v>102.29577551688999</v>
      </c>
      <c r="AO129">
        <v>0.83221277798293158</v>
      </c>
      <c r="AP129">
        <v>0.41918996734602842</v>
      </c>
      <c r="AQ129">
        <v>0.70534990628948435</v>
      </c>
      <c r="AR129">
        <v>12.017081757076085</v>
      </c>
      <c r="AS129">
        <v>4.6999515262432396</v>
      </c>
      <c r="AT129">
        <v>29.974947161972523</v>
      </c>
      <c r="AU129">
        <v>93.815514709800482</v>
      </c>
      <c r="AX129">
        <v>208.57804577052593</v>
      </c>
      <c r="BC129">
        <v>33.959810705855489</v>
      </c>
      <c r="BE129">
        <v>1.0376752171869157</v>
      </c>
      <c r="BF129">
        <v>1.8466156913491432</v>
      </c>
      <c r="BH129">
        <v>24.450009414926171</v>
      </c>
      <c r="BI129">
        <v>99.714838027954102</v>
      </c>
      <c r="BJ129">
        <v>43.597454041242599</v>
      </c>
      <c r="BK129">
        <v>12.860730794258416</v>
      </c>
      <c r="BL129">
        <v>58.411747843027115</v>
      </c>
      <c r="BM129">
        <v>1.0400073190685362</v>
      </c>
      <c r="BN129">
        <v>2.1925234021618962</v>
      </c>
      <c r="BO129">
        <v>4.7004207521677017</v>
      </c>
      <c r="BP129">
        <v>11.966467693448067</v>
      </c>
      <c r="BQ129">
        <v>2.7979172496125102</v>
      </c>
      <c r="BR129">
        <v>0.35189264598011505</v>
      </c>
      <c r="BS129">
        <v>3.4840932004153728</v>
      </c>
      <c r="BT129">
        <v>6.3932555867359042</v>
      </c>
      <c r="BU129">
        <v>29.601069808006287</v>
      </c>
      <c r="BV129">
        <v>152.10724827647209</v>
      </c>
      <c r="BW129">
        <v>171.27235500514507</v>
      </c>
      <c r="BX129">
        <v>274.20800715684891</v>
      </c>
      <c r="BY129">
        <v>1.0022077240137151E-3</v>
      </c>
      <c r="IM129">
        <v>1119.3826603138955</v>
      </c>
      <c r="IS129">
        <v>40.830964795027114</v>
      </c>
    </row>
    <row r="130" spans="1:253" x14ac:dyDescent="0.3">
      <c r="A130" s="4" t="s">
        <v>591</v>
      </c>
      <c r="B130" s="7"/>
      <c r="C130" s="7"/>
      <c r="D130" s="7"/>
      <c r="E130" s="7"/>
      <c r="F130" s="7"/>
      <c r="G130" s="7"/>
      <c r="H130" s="7"/>
      <c r="I130" s="7"/>
      <c r="L130" s="7"/>
      <c r="M130" s="7"/>
      <c r="N130" s="7"/>
      <c r="O130" s="7"/>
      <c r="P130" s="7"/>
      <c r="R130" s="7"/>
      <c r="AG130" s="7"/>
      <c r="BB130" s="7"/>
      <c r="BC130" s="7"/>
      <c r="BU130" s="7"/>
      <c r="DZ130">
        <v>9.9999999999999995E-21</v>
      </c>
    </row>
    <row r="131" spans="1:253" x14ac:dyDescent="0.3">
      <c r="A131" s="4" t="s">
        <v>592</v>
      </c>
      <c r="H131" s="7"/>
      <c r="M131" s="7"/>
      <c r="N131" s="7"/>
      <c r="P131" s="7"/>
      <c r="W131">
        <v>0.16986280441995233</v>
      </c>
      <c r="AT131">
        <v>2.2441577558763533E-2</v>
      </c>
      <c r="AU131">
        <v>4.6842196842662186E-2</v>
      </c>
      <c r="BF131">
        <v>9.2351511335814717E-4</v>
      </c>
      <c r="BJ131" s="7"/>
      <c r="BS131">
        <v>3.2458967086750937E-3</v>
      </c>
      <c r="BU131">
        <v>3.0008082694371236E-2</v>
      </c>
      <c r="BV131">
        <v>0.19515818640818197</v>
      </c>
      <c r="BW131">
        <v>0.10789407218698933</v>
      </c>
      <c r="BX131">
        <v>0.28237918484582969</v>
      </c>
    </row>
    <row r="132" spans="1:253" x14ac:dyDescent="0.3">
      <c r="A132" s="4" t="s">
        <v>593</v>
      </c>
      <c r="EB132">
        <v>9.9999999999999995E-21</v>
      </c>
    </row>
    <row r="133" spans="1:253" x14ac:dyDescent="0.3">
      <c r="A133" s="4" t="s">
        <v>594</v>
      </c>
      <c r="P133" s="7"/>
      <c r="W133">
        <v>9.7514495253562927E-2</v>
      </c>
    </row>
    <row r="134" spans="1:253" x14ac:dyDescent="0.3">
      <c r="A134" s="4" t="s">
        <v>595</v>
      </c>
      <c r="B134">
        <v>1.5760415477416245E-2</v>
      </c>
      <c r="C134">
        <v>2.698739028070122</v>
      </c>
      <c r="D134">
        <v>0.8146051773801446</v>
      </c>
      <c r="E134">
        <v>11.233768623322248</v>
      </c>
      <c r="F134">
        <v>0.26339059512247331</v>
      </c>
      <c r="I134">
        <v>2.7707884823030327E-2</v>
      </c>
      <c r="J134">
        <v>10.767041634768248</v>
      </c>
      <c r="K134">
        <v>1.5989180961623788</v>
      </c>
      <c r="L134">
        <v>2.0093241131398827</v>
      </c>
      <c r="M134">
        <v>0.37348790850955993</v>
      </c>
      <c r="N134">
        <v>1.5445011826232076</v>
      </c>
      <c r="O134">
        <v>5.4889788589207456E-3</v>
      </c>
      <c r="P134">
        <v>5.4276303203028087E-3</v>
      </c>
      <c r="S134">
        <v>10.269160289317369</v>
      </c>
      <c r="T134">
        <v>1.9939425243064761</v>
      </c>
      <c r="U134">
        <v>1.2458555093035102</v>
      </c>
      <c r="V134">
        <v>0.62010434689000249</v>
      </c>
      <c r="W134">
        <v>5.6389807760715485</v>
      </c>
      <c r="X134">
        <v>4.3028410382248694E-2</v>
      </c>
      <c r="Y134">
        <v>0.25119502330198884</v>
      </c>
      <c r="Z134">
        <v>28.926079630851746</v>
      </c>
      <c r="AA134">
        <v>12.062211133539677</v>
      </c>
      <c r="AB134">
        <v>0.42264379357220605</v>
      </c>
      <c r="AC134">
        <v>1.8707244070246816</v>
      </c>
      <c r="AD134">
        <v>11.840852685272694</v>
      </c>
      <c r="AE134">
        <v>3.0122592402622104</v>
      </c>
      <c r="AF134">
        <v>11.508565109223127</v>
      </c>
      <c r="AG134">
        <v>10.533159996906761</v>
      </c>
      <c r="AH134">
        <v>45.257278226315975</v>
      </c>
      <c r="AI134">
        <v>0.88382899481803179</v>
      </c>
      <c r="AJ134">
        <v>15.8002455746755</v>
      </c>
      <c r="AK134">
        <v>83.506956270895898</v>
      </c>
      <c r="AL134">
        <v>37.112510356702842</v>
      </c>
      <c r="AM134">
        <v>28.208951555425301</v>
      </c>
      <c r="AN134">
        <v>40.334597533103079</v>
      </c>
      <c r="AO134">
        <v>0.32816519182233606</v>
      </c>
      <c r="AP134">
        <v>0.16529825793986674</v>
      </c>
      <c r="AQ134">
        <v>0.27812968105718028</v>
      </c>
      <c r="AR134">
        <v>4.7385902018286288</v>
      </c>
      <c r="AS134">
        <v>1.8533048877725378</v>
      </c>
      <c r="AT134">
        <v>11.820126425474882</v>
      </c>
      <c r="AU134">
        <v>36.991505702026188</v>
      </c>
      <c r="AX134">
        <v>82.242443552240729</v>
      </c>
      <c r="BC134">
        <v>13.390371064189821</v>
      </c>
      <c r="BE134">
        <v>0.4091558762229397</v>
      </c>
      <c r="BF134">
        <v>0.72812150880054105</v>
      </c>
      <c r="BH134">
        <v>9.6418761815875769</v>
      </c>
      <c r="BI134">
        <v>39.450143933296204</v>
      </c>
      <c r="BJ134">
        <v>17.199521511793137</v>
      </c>
      <c r="BK134">
        <v>5.0711910226382315</v>
      </c>
      <c r="BL134">
        <v>23.056826993823051</v>
      </c>
      <c r="BM134">
        <v>0.41029245825484395</v>
      </c>
      <c r="BN134">
        <v>0.86545061878859997</v>
      </c>
      <c r="BO134">
        <v>1.8547044703736901</v>
      </c>
      <c r="BP134">
        <v>4.7291442900896072</v>
      </c>
      <c r="BQ134">
        <v>1.103420746512711</v>
      </c>
      <c r="BR134">
        <v>0.13876127876574174</v>
      </c>
      <c r="BS134">
        <v>1.3739788348320872</v>
      </c>
      <c r="BT134">
        <v>2.5212869087699801</v>
      </c>
      <c r="BU134">
        <v>11.673733809962869</v>
      </c>
      <c r="BV134">
        <v>59.991905353963375</v>
      </c>
      <c r="BW134">
        <v>67.535779297351837</v>
      </c>
      <c r="BX134">
        <v>108.13996705412865</v>
      </c>
      <c r="CB134">
        <v>5.9116259190973781E-4</v>
      </c>
      <c r="IM134">
        <v>441.60133194923401</v>
      </c>
      <c r="IS134">
        <v>16.098967203428593</v>
      </c>
    </row>
    <row r="135" spans="1:253" x14ac:dyDescent="0.3">
      <c r="A135" s="4" t="s">
        <v>596</v>
      </c>
      <c r="P135" s="7"/>
      <c r="EE135">
        <v>9.9999999999999995E-21</v>
      </c>
    </row>
    <row r="136" spans="1:253" x14ac:dyDescent="0.3">
      <c r="A136" s="4" t="s">
        <v>597</v>
      </c>
      <c r="B136">
        <v>1.7104901562561281E-3</v>
      </c>
      <c r="C136">
        <v>0.29245020227972418</v>
      </c>
      <c r="D136">
        <v>8.8375331368297338E-2</v>
      </c>
      <c r="E136">
        <v>1.2262902650982141</v>
      </c>
      <c r="F136">
        <v>2.8563470710651018E-2</v>
      </c>
      <c r="I136">
        <v>3.0139398149913177E-3</v>
      </c>
      <c r="J136">
        <v>1.1664392179809511</v>
      </c>
      <c r="K136">
        <v>0.1733252014964819</v>
      </c>
      <c r="L136">
        <v>0.21764894167426974</v>
      </c>
      <c r="M136">
        <v>4.0741929318755865E-2</v>
      </c>
      <c r="N136">
        <v>0.16730710727279074</v>
      </c>
      <c r="O136">
        <v>6.3338353356812149E-4</v>
      </c>
      <c r="S136">
        <v>1.1110412637353875</v>
      </c>
      <c r="T136">
        <v>0.21709919348359108</v>
      </c>
      <c r="U136">
        <v>0.13564038451295346</v>
      </c>
      <c r="V136">
        <v>6.7478065437171608E-2</v>
      </c>
      <c r="W136">
        <v>0.64087313413619995</v>
      </c>
      <c r="X136">
        <v>4.6612782098236494E-3</v>
      </c>
      <c r="Y136">
        <v>2.8709916397929192E-2</v>
      </c>
      <c r="Z136">
        <v>3.1505821049213409</v>
      </c>
      <c r="AA136">
        <v>1.318936862051487</v>
      </c>
      <c r="AB136">
        <v>4.5846285996958613E-2</v>
      </c>
      <c r="AC136">
        <v>0.20443318272009492</v>
      </c>
      <c r="AD136">
        <v>1.2865280378609896</v>
      </c>
      <c r="AE136">
        <v>0.32642999454401433</v>
      </c>
      <c r="AF136">
        <v>1.2469075126573443</v>
      </c>
      <c r="AH136">
        <v>4.902754869312048</v>
      </c>
      <c r="AI136">
        <v>9.5810792146949098E-2</v>
      </c>
      <c r="AJ136">
        <v>1.7105404045432806</v>
      </c>
      <c r="AK136">
        <v>9.0329269077628851</v>
      </c>
      <c r="AL136">
        <v>4.0140200253808871</v>
      </c>
      <c r="AM136">
        <v>3.0510338587337174</v>
      </c>
      <c r="AN136">
        <v>4.3636567662470043</v>
      </c>
      <c r="AO136">
        <v>3.5543745325412601E-2</v>
      </c>
      <c r="AP136">
        <v>1.7903171905345516E-2</v>
      </c>
      <c r="AQ136">
        <v>3.0110422594589181E-2</v>
      </c>
      <c r="AR136">
        <v>0.51311623165383935</v>
      </c>
      <c r="AS136">
        <v>0.20070475971442647</v>
      </c>
      <c r="AT136">
        <v>1.2804590896703303</v>
      </c>
      <c r="AU136">
        <v>4.0028637838549912</v>
      </c>
      <c r="AX136">
        <v>8.8994838455691934</v>
      </c>
      <c r="BC136">
        <v>1.4489769702777267</v>
      </c>
      <c r="BE136">
        <v>4.4274900312302634E-2</v>
      </c>
      <c r="BF136">
        <v>7.8790291168843396E-2</v>
      </c>
      <c r="BH136">
        <v>1.0450832308270037</v>
      </c>
      <c r="BI136">
        <v>4.4564933776855469</v>
      </c>
      <c r="BJ136">
        <v>1.8739366233348846</v>
      </c>
      <c r="BK136">
        <v>0.54903499403735623</v>
      </c>
      <c r="BL136">
        <v>2.5304321795701981</v>
      </c>
      <c r="BN136">
        <v>9.4977587927132845E-2</v>
      </c>
      <c r="BO136">
        <v>0.20257491199299693</v>
      </c>
      <c r="BP136">
        <v>0.52697096019983292</v>
      </c>
      <c r="BQ136">
        <v>0.1196853878791444</v>
      </c>
      <c r="BR136">
        <v>1.5029298741865205E-2</v>
      </c>
      <c r="BS136">
        <v>0.14896043785847723</v>
      </c>
      <c r="BT136">
        <v>0.27342752576805651</v>
      </c>
      <c r="BU136">
        <v>1.2660728418268263</v>
      </c>
      <c r="BV136">
        <v>6.5143070295453072</v>
      </c>
      <c r="BW136">
        <v>7.3123137094080448</v>
      </c>
      <c r="BX136">
        <v>11.729608051478863</v>
      </c>
      <c r="CB136">
        <v>3.5469151323550382E-4</v>
      </c>
      <c r="IM136">
        <v>47.913050189614296</v>
      </c>
      <c r="IS136">
        <v>1.7410786863403194</v>
      </c>
    </row>
    <row r="137" spans="1:253" x14ac:dyDescent="0.3">
      <c r="A137" s="4" t="s">
        <v>598</v>
      </c>
      <c r="B137">
        <v>1.7633358538660104E-4</v>
      </c>
      <c r="C137">
        <v>2.9970702948048711E-2</v>
      </c>
      <c r="D137">
        <v>9.096858004340902E-3</v>
      </c>
      <c r="F137">
        <v>2.9356184750213288E-3</v>
      </c>
      <c r="I137">
        <v>3.1340967962023569E-4</v>
      </c>
      <c r="S137">
        <v>0.11314964217308443</v>
      </c>
      <c r="X137">
        <v>4.7708856754979934E-4</v>
      </c>
      <c r="Z137">
        <v>0.32926291786134243</v>
      </c>
      <c r="AD137">
        <v>0.13319817511364818</v>
      </c>
      <c r="AF137">
        <v>0.12769540015142411</v>
      </c>
      <c r="AH137">
        <v>0.50181300286203623</v>
      </c>
      <c r="AJ137">
        <v>0.17463519785087556</v>
      </c>
      <c r="AK137">
        <v>0.91917901416309178</v>
      </c>
      <c r="AL137">
        <v>0.40828911362041254</v>
      </c>
      <c r="AM137">
        <v>0.31034058234945405</v>
      </c>
      <c r="AR137">
        <v>5.2431737392907962E-2</v>
      </c>
      <c r="AS137">
        <v>2.0516771008260548E-2</v>
      </c>
      <c r="AT137">
        <v>0.13104956492315978</v>
      </c>
      <c r="AU137">
        <v>0.40792723721824586</v>
      </c>
      <c r="AX137">
        <v>0.90693612047471106</v>
      </c>
      <c r="BF137">
        <v>8.0294272465835093E-3</v>
      </c>
      <c r="BH137">
        <v>0.10719607211649418</v>
      </c>
      <c r="BR137">
        <v>1.5371739573311061E-3</v>
      </c>
      <c r="BS137">
        <v>1.5293040371034294E-2</v>
      </c>
      <c r="BU137">
        <v>0.13016539264936</v>
      </c>
      <c r="BV137">
        <v>0.67288871575146914</v>
      </c>
      <c r="BW137">
        <v>0.74688623659312725</v>
      </c>
      <c r="BX137">
        <v>1.206446235999465</v>
      </c>
      <c r="IS137">
        <v>0.17703286332098206</v>
      </c>
    </row>
    <row r="138" spans="1:253" x14ac:dyDescent="0.3">
      <c r="A138" s="4" t="s">
        <v>1657</v>
      </c>
      <c r="C138">
        <v>3.1660208420362324E-2</v>
      </c>
      <c r="D138">
        <v>1.048494316637516E-2</v>
      </c>
      <c r="F138">
        <v>3.3427110320189968E-3</v>
      </c>
      <c r="T138">
        <v>0.78074673563241959</v>
      </c>
      <c r="U138">
        <v>0.59897968778386712</v>
      </c>
      <c r="V138">
        <v>4.5095467451028526</v>
      </c>
      <c r="W138">
        <v>4.0451413840055466</v>
      </c>
      <c r="X138">
        <v>9.9393017590045929E-3</v>
      </c>
      <c r="Y138">
        <v>0.7229995233938098</v>
      </c>
      <c r="Z138">
        <v>38.840910322964191</v>
      </c>
      <c r="AA138">
        <v>23.541996084153652</v>
      </c>
      <c r="AB138">
        <v>0.26155022697639652</v>
      </c>
      <c r="AC138">
        <v>1.264233342371881</v>
      </c>
      <c r="AD138">
        <v>8.8283483162522316</v>
      </c>
      <c r="AE138">
        <v>0.18604088865686208</v>
      </c>
      <c r="AF138">
        <v>1.0841476181522012</v>
      </c>
      <c r="AG138">
        <v>94.976890455931425</v>
      </c>
      <c r="AH138">
        <v>76.764880895614624</v>
      </c>
      <c r="AI138">
        <v>6.4964823257178068</v>
      </c>
      <c r="AJ138">
        <v>111.00678893923759</v>
      </c>
      <c r="AK138">
        <v>599.29318098723888</v>
      </c>
      <c r="AL138">
        <v>65.257704840507358</v>
      </c>
      <c r="AM138">
        <v>1.2132005162675341</v>
      </c>
      <c r="AN138">
        <v>5.2990295337513089</v>
      </c>
      <c r="AO138">
        <v>2.0012714143376797E-2</v>
      </c>
      <c r="AP138">
        <v>1.8013247423368739E-2</v>
      </c>
      <c r="AQ138">
        <v>1.7677931668004021E-2</v>
      </c>
      <c r="AR138">
        <v>0.47554462956031784</v>
      </c>
      <c r="AS138">
        <v>0.20245690972660668</v>
      </c>
      <c r="AT138">
        <v>1.9550195278134197</v>
      </c>
      <c r="AX138">
        <v>3460.5025555695261</v>
      </c>
      <c r="BC138">
        <v>1518.5081805915249</v>
      </c>
      <c r="BH138">
        <v>1.2042145886225626</v>
      </c>
      <c r="BI138">
        <v>2.3768132680561393</v>
      </c>
      <c r="BJ138">
        <v>7.640694871544838</v>
      </c>
      <c r="BK138">
        <v>9.2212358945980668</v>
      </c>
      <c r="BL138">
        <v>2.2303410976892337</v>
      </c>
      <c r="BO138">
        <v>0.13059504929697141</v>
      </c>
      <c r="BP138">
        <v>0.76686464622616768</v>
      </c>
      <c r="BQ138">
        <v>0.26574400177923962</v>
      </c>
      <c r="BR138">
        <v>3.5907309358663042E-2</v>
      </c>
      <c r="BS138">
        <v>0.2440965025452897</v>
      </c>
      <c r="BT138">
        <v>1.2388876567129046</v>
      </c>
      <c r="BU138">
        <v>5.7125760307535529</v>
      </c>
      <c r="BV138">
        <v>28.027446065098047</v>
      </c>
      <c r="BW138">
        <v>31.703148471191525</v>
      </c>
      <c r="BX138">
        <v>85.562228471040726</v>
      </c>
      <c r="BY138">
        <v>6.5164426547426046E-4</v>
      </c>
      <c r="IM138">
        <v>541.89082689583302</v>
      </c>
      <c r="IS138">
        <v>37.517049517515396</v>
      </c>
    </row>
    <row r="139" spans="1:253" x14ac:dyDescent="0.3">
      <c r="A139" s="4" t="s">
        <v>1658</v>
      </c>
      <c r="B139">
        <v>6.1579352563967404E-4</v>
      </c>
      <c r="C139">
        <v>0.4187020813988056</v>
      </c>
      <c r="D139">
        <v>0.1292964642343577</v>
      </c>
      <c r="E139">
        <v>1.0652700141072273</v>
      </c>
      <c r="F139">
        <v>4.5414184296532767E-2</v>
      </c>
      <c r="I139">
        <v>9.3464647852670169E-4</v>
      </c>
      <c r="J139">
        <v>2.1213464069878682</v>
      </c>
      <c r="K139">
        <v>0.20415399066405371</v>
      </c>
      <c r="L139">
        <v>0.42660439414612483</v>
      </c>
      <c r="M139">
        <v>9.3606068650842644E-2</v>
      </c>
      <c r="N139">
        <v>0.13433282845653594</v>
      </c>
      <c r="P139">
        <v>1.039940374849592E-3</v>
      </c>
      <c r="Q139">
        <v>3.7616914808750153</v>
      </c>
      <c r="R139">
        <v>6.314924493432045</v>
      </c>
      <c r="S139">
        <v>1.7241207016631961</v>
      </c>
      <c r="T139">
        <v>0.47474313026759773</v>
      </c>
      <c r="U139">
        <v>0.36060006511979736</v>
      </c>
      <c r="V139">
        <v>0.10450132062396733</v>
      </c>
      <c r="W139">
        <v>2.6629549106582999</v>
      </c>
      <c r="X139">
        <v>1.8091844373202548E-3</v>
      </c>
      <c r="Z139">
        <v>3.2894994700327516</v>
      </c>
      <c r="AA139">
        <v>3.9821068986784667</v>
      </c>
      <c r="AD139">
        <v>0.34564112988300622</v>
      </c>
      <c r="AE139">
        <v>1.1128010724205524</v>
      </c>
      <c r="AF139">
        <v>3.5355212963186204</v>
      </c>
      <c r="AG139">
        <v>21.876314730616286</v>
      </c>
      <c r="AH139">
        <v>0.73475596992648207</v>
      </c>
      <c r="AI139">
        <v>5.6957235094159842E-2</v>
      </c>
      <c r="AJ139">
        <v>1.1465322999283671</v>
      </c>
      <c r="AK139">
        <v>99.270003317389637</v>
      </c>
      <c r="AL139">
        <v>5.3251738529652357</v>
      </c>
      <c r="AM139">
        <v>23.705495473463088</v>
      </c>
      <c r="AN139">
        <v>10.749148949049413</v>
      </c>
      <c r="AO139">
        <v>3.1893398099782644E-2</v>
      </c>
      <c r="AP139">
        <v>3.1758645802256069E-2</v>
      </c>
      <c r="AQ139">
        <v>4.4042113895557122E-2</v>
      </c>
      <c r="AR139">
        <v>6.3794399406106095E-2</v>
      </c>
      <c r="AS139">
        <v>3.1677763792686164E-2</v>
      </c>
      <c r="AT139">
        <v>2.242816051148111E-2</v>
      </c>
      <c r="AU139">
        <v>7.9899525959044695</v>
      </c>
      <c r="AX139">
        <v>9.3133292384445667</v>
      </c>
      <c r="BC139">
        <v>1.4173695833887905</v>
      </c>
      <c r="BE139">
        <v>0.12826188359758817</v>
      </c>
      <c r="BF139">
        <v>0.21148568187345518</v>
      </c>
      <c r="BG139">
        <v>78.187770055606961</v>
      </c>
      <c r="BH139">
        <v>42.339911473914981</v>
      </c>
      <c r="BI139">
        <v>7.5535681527107954</v>
      </c>
      <c r="BJ139">
        <v>11.870660502463579</v>
      </c>
      <c r="BK139">
        <v>24.056115998886526</v>
      </c>
      <c r="BL139">
        <v>5.5750241028144956</v>
      </c>
      <c r="BM139">
        <v>0.11493931486620568</v>
      </c>
      <c r="BO139">
        <v>1.5239873575046659</v>
      </c>
      <c r="BP139">
        <v>5.2620495446026325</v>
      </c>
      <c r="BQ139">
        <v>3.0963547205319628</v>
      </c>
      <c r="BR139">
        <v>0.35540205158758909</v>
      </c>
      <c r="BS139">
        <v>0.64497049152851105</v>
      </c>
      <c r="BT139">
        <v>1.7071477007120848</v>
      </c>
      <c r="BU139">
        <v>23.286052528768778</v>
      </c>
      <c r="BV139">
        <v>454.66106616093208</v>
      </c>
      <c r="BW139">
        <v>140.58811038406566</v>
      </c>
      <c r="BX139">
        <v>351.78761347569525</v>
      </c>
      <c r="BY139">
        <v>5.6620667688548565E-2</v>
      </c>
      <c r="IM139">
        <v>156.58615428954363</v>
      </c>
      <c r="IN139">
        <v>196.63885908294469</v>
      </c>
      <c r="IS139">
        <v>1.9026614767930057E-2</v>
      </c>
    </row>
    <row r="140" spans="1:253" x14ac:dyDescent="0.3">
      <c r="A140" s="4" t="s">
        <v>1659</v>
      </c>
      <c r="B140">
        <v>3.894225119438488E-4</v>
      </c>
      <c r="E140">
        <v>0.30885707214474678</v>
      </c>
      <c r="F140">
        <v>3.729583797394298E-3</v>
      </c>
      <c r="I140">
        <v>1.2200072887935676E-3</v>
      </c>
      <c r="N140">
        <v>2.1748623847961426</v>
      </c>
      <c r="P140">
        <v>1.7820603404524946E-2</v>
      </c>
      <c r="Q140">
        <v>100.96647596359253</v>
      </c>
      <c r="R140">
        <v>172.41202813386917</v>
      </c>
      <c r="S140">
        <v>27.546941548585892</v>
      </c>
      <c r="U140">
        <v>2.8509253039374016E-2</v>
      </c>
      <c r="V140">
        <v>2.2026501930668019E-2</v>
      </c>
      <c r="W140">
        <v>8.5049034270923585E-2</v>
      </c>
      <c r="X140">
        <v>6.4763157047309505E-4</v>
      </c>
      <c r="Z140">
        <v>0.61233935225754976</v>
      </c>
      <c r="AA140">
        <v>0.34872496477328241</v>
      </c>
      <c r="AB140">
        <v>2.7010471443645656E-2</v>
      </c>
      <c r="AC140">
        <v>0.19639699149411172</v>
      </c>
      <c r="AD140">
        <v>0.22458797646686435</v>
      </c>
      <c r="AE140">
        <v>1.1726620644330978</v>
      </c>
      <c r="AF140">
        <v>3.0732092978432775</v>
      </c>
      <c r="AG140">
        <v>39.421714305877686</v>
      </c>
      <c r="AH140">
        <v>2.640599774196744</v>
      </c>
      <c r="AI140">
        <v>0.11656176429823972</v>
      </c>
      <c r="AJ140">
        <v>1.5127609590999782</v>
      </c>
      <c r="AK140">
        <v>31.56318461894989</v>
      </c>
      <c r="AL140">
        <v>5.6818491332232952</v>
      </c>
      <c r="AM140">
        <v>13.945105091668665</v>
      </c>
      <c r="AN140">
        <v>39.232445031404495</v>
      </c>
      <c r="AO140">
        <v>0.43727296823635697</v>
      </c>
      <c r="AP140">
        <v>0.3313740435987711</v>
      </c>
      <c r="AQ140">
        <v>0.4806552529335022</v>
      </c>
      <c r="AR140">
        <v>0.23054564767517149</v>
      </c>
      <c r="AS140">
        <v>0.22797538666054606</v>
      </c>
      <c r="AT140">
        <v>0.11042472676490434</v>
      </c>
      <c r="AU140">
        <v>40.720160998404026</v>
      </c>
      <c r="AX140">
        <v>47.464642629027367</v>
      </c>
      <c r="BC140">
        <v>7.2235112860798836</v>
      </c>
      <c r="BE140">
        <v>0.65367649507243186</v>
      </c>
      <c r="BF140">
        <v>1.077820077072829</v>
      </c>
      <c r="BG140">
        <v>796.40262413024902</v>
      </c>
      <c r="BH140">
        <v>68.001709669828415</v>
      </c>
      <c r="BI140">
        <v>76.219757080078125</v>
      </c>
      <c r="BJ140">
        <v>26.93267548084259</v>
      </c>
      <c r="BK140">
        <v>8.4562715888023376</v>
      </c>
      <c r="BL140">
        <v>52.672490537166595</v>
      </c>
      <c r="BM140">
        <v>1.9841237366199493</v>
      </c>
      <c r="BN140">
        <v>0.33354130573570728</v>
      </c>
      <c r="BO140">
        <v>27.7713812738657</v>
      </c>
      <c r="BP140">
        <v>51.651270866394043</v>
      </c>
      <c r="BQ140">
        <v>5.9926114976406097</v>
      </c>
      <c r="BR140">
        <v>0.34039980778470635</v>
      </c>
      <c r="BS140">
        <v>7.6736114025115967</v>
      </c>
      <c r="BT140">
        <v>5.4193679988384247</v>
      </c>
      <c r="BU140">
        <v>0.59679669141769409</v>
      </c>
      <c r="BV140">
        <v>16.74992823600769</v>
      </c>
      <c r="BW140">
        <v>19.130290985107422</v>
      </c>
      <c r="BX140">
        <v>18.740771770477295</v>
      </c>
      <c r="BY140">
        <v>3.2612080574035645</v>
      </c>
      <c r="CB140">
        <v>1.4188747624061546E-3</v>
      </c>
      <c r="IM140">
        <v>469.17883563041687</v>
      </c>
      <c r="IN140">
        <v>138.68324756622314</v>
      </c>
      <c r="IP140">
        <v>38536.43809343061</v>
      </c>
      <c r="IS140">
        <v>196.36245182810501</v>
      </c>
    </row>
    <row r="141" spans="1:253" x14ac:dyDescent="0.3">
      <c r="A141" s="4" t="s">
        <v>1660</v>
      </c>
      <c r="B141">
        <v>0.47016853280365467</v>
      </c>
      <c r="C141">
        <v>113.06362384557724</v>
      </c>
      <c r="D141">
        <v>34.304439842700958</v>
      </c>
      <c r="E141">
        <v>958.19681930541992</v>
      </c>
      <c r="F141">
        <v>10.831807486712933</v>
      </c>
      <c r="I141">
        <v>0.7101906780153513</v>
      </c>
      <c r="J141">
        <v>282.2299151360005</v>
      </c>
      <c r="K141">
        <v>33.914137184619904</v>
      </c>
      <c r="L141">
        <v>50.895711363051909</v>
      </c>
      <c r="M141">
        <v>13.630190372467041</v>
      </c>
      <c r="N141">
        <v>62.225957155227661</v>
      </c>
      <c r="O141">
        <v>2.0693953074514866</v>
      </c>
      <c r="P141">
        <v>0.15416138125685755</v>
      </c>
      <c r="Q141">
        <v>490.69785690307617</v>
      </c>
      <c r="R141">
        <v>1066.8718156873349</v>
      </c>
      <c r="S141">
        <v>97.659007787704468</v>
      </c>
      <c r="T141">
        <v>93.004760265350342</v>
      </c>
      <c r="U141">
        <v>64.871098756790161</v>
      </c>
      <c r="V141">
        <v>50.956398487091064</v>
      </c>
      <c r="W141">
        <v>170.80417713947418</v>
      </c>
      <c r="X141">
        <v>1.5249743266031146</v>
      </c>
      <c r="Y141">
        <v>10.661103427410126</v>
      </c>
      <c r="Z141">
        <v>1417.6784805503967</v>
      </c>
      <c r="AA141">
        <v>822.65107659607224</v>
      </c>
      <c r="AB141">
        <v>6.3966480759041655</v>
      </c>
      <c r="AC141">
        <v>169.51190679682682</v>
      </c>
      <c r="AD141">
        <v>370.38922801465708</v>
      </c>
      <c r="AE141">
        <v>618.52762728891207</v>
      </c>
      <c r="AF141">
        <v>517.99319765565087</v>
      </c>
      <c r="AG141">
        <v>32.688881874084473</v>
      </c>
      <c r="AH141">
        <v>519.27105903625488</v>
      </c>
      <c r="AI141">
        <v>60.080534279346466</v>
      </c>
      <c r="AJ141">
        <v>413.9471960067749</v>
      </c>
      <c r="AK141">
        <v>4585.9930331365476</v>
      </c>
      <c r="AL141">
        <v>303.38033008575439</v>
      </c>
      <c r="AM141">
        <v>1185.5382585236503</v>
      </c>
      <c r="AN141">
        <v>4982.3894775320059</v>
      </c>
      <c r="AO141">
        <v>32.50641393661499</v>
      </c>
      <c r="AP141">
        <v>33.934449076652527</v>
      </c>
      <c r="AQ141">
        <v>51.555274486541748</v>
      </c>
      <c r="AR141">
        <v>66.165384769439697</v>
      </c>
      <c r="AS141">
        <v>22.462782382965088</v>
      </c>
      <c r="AT141">
        <v>17.669313818216324</v>
      </c>
      <c r="AU141">
        <v>3.6015583276748657</v>
      </c>
      <c r="AX141">
        <v>4.1980845928192139</v>
      </c>
      <c r="BC141">
        <v>0.63889475166797638</v>
      </c>
      <c r="BE141">
        <v>5.7815441861748695E-2</v>
      </c>
      <c r="BF141">
        <v>9.5329485833644867E-2</v>
      </c>
      <c r="BG141">
        <v>75.7181396484375</v>
      </c>
      <c r="BH141">
        <v>13.455751419067383</v>
      </c>
      <c r="BI141">
        <v>372.69235229492188</v>
      </c>
      <c r="BJ141">
        <v>32.670133590698242</v>
      </c>
      <c r="BK141">
        <v>20.012723445892334</v>
      </c>
      <c r="BL141">
        <v>26.562192916870117</v>
      </c>
      <c r="BM141">
        <v>8.3590455055236816</v>
      </c>
      <c r="BN141">
        <v>1.5010319948196411</v>
      </c>
      <c r="BO141">
        <v>9.4306659698486328</v>
      </c>
      <c r="BP141">
        <v>39.973178863525391</v>
      </c>
      <c r="BQ141">
        <v>1.1278221607208252</v>
      </c>
      <c r="BR141">
        <v>3.5004925914108753E-2</v>
      </c>
      <c r="BS141">
        <v>0.6609112024307251</v>
      </c>
      <c r="BT141">
        <v>4.1951792240142822</v>
      </c>
      <c r="BU141">
        <v>1.6793901324272156</v>
      </c>
      <c r="BV141">
        <v>15.407253742218018</v>
      </c>
      <c r="BW141">
        <v>7.055828332901001</v>
      </c>
      <c r="BX141">
        <v>62.11876106262207</v>
      </c>
      <c r="BY141">
        <v>0.41007082164287567</v>
      </c>
      <c r="CB141">
        <v>3.5469151340452974E-4</v>
      </c>
      <c r="IM141">
        <v>339.19378662109375</v>
      </c>
      <c r="IN141">
        <v>15.402556657791138</v>
      </c>
      <c r="IP141">
        <v>579.29471206665039</v>
      </c>
      <c r="IS141">
        <v>30.564074287228209</v>
      </c>
    </row>
    <row r="142" spans="1:253" x14ac:dyDescent="0.3">
      <c r="A142" s="4" t="s">
        <v>1661</v>
      </c>
      <c r="D142">
        <v>1.5131772801396437E-2</v>
      </c>
      <c r="F142">
        <v>3.6368059954838827E-3</v>
      </c>
      <c r="N142">
        <v>5.8739610016345978E-2</v>
      </c>
      <c r="O142">
        <v>1.6547490376979113E-3</v>
      </c>
      <c r="P142">
        <v>2.4348995850459877E-3</v>
      </c>
      <c r="Q142">
        <v>1.4921627044677734</v>
      </c>
      <c r="R142">
        <v>3.2831130027770996</v>
      </c>
      <c r="S142">
        <v>5.0655672550201416</v>
      </c>
      <c r="U142">
        <v>3.366327378898859E-2</v>
      </c>
      <c r="V142">
        <v>2.9117769561707973E-2</v>
      </c>
      <c r="W142">
        <v>0.10198242217302322</v>
      </c>
      <c r="X142">
        <v>7.6366009307093918E-4</v>
      </c>
      <c r="Z142">
        <v>0.91611596941947937</v>
      </c>
      <c r="AA142">
        <v>0.51148179173469543</v>
      </c>
      <c r="AD142">
        <v>0.11062126560136676</v>
      </c>
      <c r="AE142">
        <v>0.61566212773323059</v>
      </c>
      <c r="AF142">
        <v>0.46384064853191376</v>
      </c>
      <c r="AG142">
        <v>318.73106384277344</v>
      </c>
      <c r="AH142">
        <v>1.6168450117111206</v>
      </c>
      <c r="AI142">
        <v>3.8345715031027794E-2</v>
      </c>
      <c r="AJ142">
        <v>0.48582285642623901</v>
      </c>
      <c r="AK142">
        <v>8.1057748794555664</v>
      </c>
      <c r="AL142">
        <v>1.0831375122070313</v>
      </c>
      <c r="AM142">
        <v>4.8642356395721436</v>
      </c>
      <c r="AN142">
        <v>18.652366638183594</v>
      </c>
      <c r="AO142">
        <v>6.9226901978254318E-2</v>
      </c>
      <c r="AP142">
        <v>3.9596516638994217E-2</v>
      </c>
      <c r="AQ142">
        <v>0.10491396486759186</v>
      </c>
      <c r="AR142">
        <v>0.10302801057696342</v>
      </c>
      <c r="AS142">
        <v>1.8618769943714142E-2</v>
      </c>
      <c r="AT142">
        <v>6.2320135533809662E-2</v>
      </c>
      <c r="AU142">
        <v>17.01606273651123</v>
      </c>
      <c r="AX142">
        <v>19.834434509277344</v>
      </c>
      <c r="BC142">
        <v>3.0185470581054688</v>
      </c>
      <c r="BE142">
        <v>0.27315708994865417</v>
      </c>
      <c r="BF142">
        <v>0.45039738714694977</v>
      </c>
      <c r="BG142">
        <v>52.408979892730713</v>
      </c>
      <c r="BH142">
        <v>61.479766845703125</v>
      </c>
      <c r="BI142">
        <v>47.464004516601563</v>
      </c>
      <c r="BJ142">
        <v>166.35520935058594</v>
      </c>
      <c r="BK142">
        <v>3.0369076728820801</v>
      </c>
      <c r="BL142">
        <v>23.459395885467529</v>
      </c>
      <c r="BM142">
        <v>3.0815221667289734</v>
      </c>
      <c r="BN142">
        <v>132.34359359741211</v>
      </c>
      <c r="BO142">
        <v>118.29233932495117</v>
      </c>
      <c r="BP142">
        <v>187.43573760986328</v>
      </c>
      <c r="BQ142">
        <v>15.619286060333252</v>
      </c>
      <c r="BR142">
        <v>1.3163301348686218</v>
      </c>
      <c r="BS142">
        <v>0.833149254322052</v>
      </c>
      <c r="BT142">
        <v>23.195880889892578</v>
      </c>
      <c r="BU142">
        <v>1.1445371992886066</v>
      </c>
      <c r="BV142">
        <v>1.5505347549915314</v>
      </c>
      <c r="BW142">
        <v>0.70541200041770935</v>
      </c>
      <c r="BX142">
        <v>1.8905474245548248</v>
      </c>
      <c r="IM142">
        <v>2907.4172177697328</v>
      </c>
      <c r="IN142">
        <v>139.38861465454102</v>
      </c>
      <c r="IS142">
        <v>578.08115678772265</v>
      </c>
    </row>
    <row r="143" spans="1:253" x14ac:dyDescent="0.3">
      <c r="A143" s="4" t="s">
        <v>1662</v>
      </c>
      <c r="B143">
        <v>2.6546953158685938E-2</v>
      </c>
      <c r="C143">
        <v>2.9015293084084988</v>
      </c>
      <c r="D143">
        <v>1.0052423002198339</v>
      </c>
      <c r="E143">
        <v>50.979340821504593</v>
      </c>
      <c r="F143">
        <v>0.33464333112351596</v>
      </c>
      <c r="I143">
        <v>3.6747063451912254E-2</v>
      </c>
      <c r="J143">
        <v>13.903920782729983</v>
      </c>
      <c r="K143">
        <v>1.938658173661679</v>
      </c>
      <c r="L143">
        <v>2.4795175760518759</v>
      </c>
      <c r="M143">
        <v>0.58052483946084976</v>
      </c>
      <c r="N143">
        <v>3.6299964487552643</v>
      </c>
      <c r="O143">
        <v>4.0766920992609812E-3</v>
      </c>
      <c r="P143">
        <v>7.0365619860344245E-2</v>
      </c>
      <c r="Q143">
        <v>231.86063921451569</v>
      </c>
      <c r="R143">
        <v>288.1084161400795</v>
      </c>
      <c r="S143">
        <v>34.369432866573334</v>
      </c>
      <c r="T143">
        <v>0.36091278796084225</v>
      </c>
      <c r="U143">
        <v>0.2334840091643855</v>
      </c>
      <c r="V143">
        <v>0.16813886596355587</v>
      </c>
      <c r="W143">
        <v>2.7639365987852216</v>
      </c>
      <c r="X143">
        <v>4.9276786321570398E-3</v>
      </c>
      <c r="Y143">
        <v>7.7107582706958055E-2</v>
      </c>
      <c r="Z143">
        <v>4.9793063458055258</v>
      </c>
      <c r="AA143">
        <v>2.6810068488121033</v>
      </c>
      <c r="AB143">
        <v>1.7712485132506117E-2</v>
      </c>
      <c r="AC143">
        <v>0.23952264542458579</v>
      </c>
      <c r="AD143">
        <v>0.84292263758834451</v>
      </c>
      <c r="AE143">
        <v>1.4906878252513707</v>
      </c>
      <c r="AF143">
        <v>0.94145718589425087</v>
      </c>
      <c r="AG143">
        <v>29.66769427806139</v>
      </c>
      <c r="AH143">
        <v>3.8859266331419349</v>
      </c>
      <c r="AI143">
        <v>0.29411815234925598</v>
      </c>
      <c r="AJ143">
        <v>1.8980702115222812</v>
      </c>
      <c r="AK143">
        <v>37.506218209862709</v>
      </c>
      <c r="AL143">
        <v>6.3366192057728767</v>
      </c>
      <c r="AM143">
        <v>22.338432593271136</v>
      </c>
      <c r="AN143">
        <v>73.535708785057068</v>
      </c>
      <c r="AO143">
        <v>7.484220401966013E-2</v>
      </c>
      <c r="AP143">
        <v>8.6943615839118138E-2</v>
      </c>
      <c r="AQ143">
        <v>0.16539820906473324</v>
      </c>
      <c r="AR143">
        <v>0.17216526326956227</v>
      </c>
      <c r="AS143">
        <v>5.9378843805461656E-2</v>
      </c>
      <c r="AT143">
        <v>7.8655180826899596E-2</v>
      </c>
      <c r="AU143">
        <v>2.881911090342328</v>
      </c>
      <c r="AX143">
        <v>3.3592423100490123</v>
      </c>
      <c r="BC143">
        <v>0.51123367942636833</v>
      </c>
      <c r="BE143">
        <v>4.6263019499747315E-2</v>
      </c>
      <c r="BF143">
        <v>7.6281182620732579E-2</v>
      </c>
      <c r="BG143">
        <v>59.875262856483459</v>
      </c>
      <c r="BH143">
        <v>22.041000697761774</v>
      </c>
      <c r="BI143">
        <v>58.694960236549377</v>
      </c>
      <c r="BJ143">
        <v>329.09153318405151</v>
      </c>
      <c r="BK143">
        <v>7.7023116610944271</v>
      </c>
      <c r="BL143">
        <v>15.065530709922314</v>
      </c>
      <c r="BM143">
        <v>1.5856140367686749</v>
      </c>
      <c r="BN143">
        <v>1.1650066338479519</v>
      </c>
      <c r="BO143">
        <v>8.1327440943568945</v>
      </c>
      <c r="BP143">
        <v>58.608058549463749</v>
      </c>
      <c r="BQ143">
        <v>2.5871281530708075</v>
      </c>
      <c r="BR143">
        <v>0.30695597513113171</v>
      </c>
      <c r="BS143">
        <v>0.45213495381176472</v>
      </c>
      <c r="BT143">
        <v>2.0497358590364456</v>
      </c>
      <c r="BU143">
        <v>0.86647676303982735</v>
      </c>
      <c r="BV143">
        <v>21.623219959437847</v>
      </c>
      <c r="BW143">
        <v>3.9010700080543756</v>
      </c>
      <c r="BX143">
        <v>9.0534736923873425</v>
      </c>
      <c r="BY143">
        <v>0.20275787555146962</v>
      </c>
      <c r="IM143">
        <v>6197.3697521137901</v>
      </c>
      <c r="IN143">
        <v>70.472181092947721</v>
      </c>
      <c r="IP143">
        <v>19.435365981422365</v>
      </c>
      <c r="IS143">
        <v>534.35781766974833</v>
      </c>
    </row>
    <row r="144" spans="1:253" x14ac:dyDescent="0.3">
      <c r="A144" s="4" t="s">
        <v>1663</v>
      </c>
      <c r="B144">
        <v>4.7608777531422675E-3</v>
      </c>
      <c r="C144">
        <v>0.51650737226009369</v>
      </c>
      <c r="D144">
        <v>0.19246408715844154</v>
      </c>
      <c r="E144">
        <v>5.8219203948974609</v>
      </c>
      <c r="F144">
        <v>3.9552741684019566E-2</v>
      </c>
      <c r="I144">
        <v>5.1958614494651556E-3</v>
      </c>
      <c r="J144">
        <v>1.4827519059181213</v>
      </c>
      <c r="K144">
        <v>0.15308698266744614</v>
      </c>
      <c r="L144">
        <v>0.27198915928602219</v>
      </c>
      <c r="M144">
        <v>0.10232466645538807</v>
      </c>
      <c r="N144">
        <v>0.2365264818072319</v>
      </c>
      <c r="O144">
        <v>8.2575945998542011E-4</v>
      </c>
      <c r="P144">
        <v>1.1576411266154375E-2</v>
      </c>
      <c r="Q144">
        <v>8.8659136295318604</v>
      </c>
      <c r="R144">
        <v>11.203045129776001</v>
      </c>
      <c r="S144">
        <v>0.73784500360488892</v>
      </c>
      <c r="V144">
        <v>3.2125239260494709E-2</v>
      </c>
      <c r="X144">
        <v>6.6946943115908653E-4</v>
      </c>
      <c r="Z144">
        <v>0.52918428182601929</v>
      </c>
      <c r="AA144">
        <v>0.22335666418075562</v>
      </c>
      <c r="AE144">
        <v>0.19009003788232803</v>
      </c>
      <c r="AF144">
        <v>9.7440470010042191E-2</v>
      </c>
      <c r="AG144">
        <v>32.142800331115723</v>
      </c>
      <c r="AH144">
        <v>0.68424457311630249</v>
      </c>
      <c r="AI144">
        <v>2.4529715999960899E-2</v>
      </c>
      <c r="AJ144">
        <v>0.15670273452997208</v>
      </c>
      <c r="AK144">
        <v>7.4084703922271729</v>
      </c>
      <c r="AL144">
        <v>2.2411925792694092</v>
      </c>
      <c r="AM144">
        <v>10.145501613616943</v>
      </c>
      <c r="AN144">
        <v>9.5901079177856445</v>
      </c>
      <c r="AP144">
        <v>5.5164019577205181E-3</v>
      </c>
      <c r="AQ144">
        <v>1.1009978130459785E-2</v>
      </c>
      <c r="AR144">
        <v>1.9853015430271626E-2</v>
      </c>
      <c r="AS144">
        <v>8.6090094409883022E-3</v>
      </c>
      <c r="AX144">
        <v>2.2027769088745117</v>
      </c>
      <c r="BC144">
        <v>0.33523444831371307</v>
      </c>
      <c r="BE144">
        <v>3.0336339026689529E-2</v>
      </c>
      <c r="BF144">
        <v>5.0020329654216766E-2</v>
      </c>
      <c r="BG144">
        <v>9.9246997833251953</v>
      </c>
      <c r="BH144">
        <v>3.9597010612487793</v>
      </c>
      <c r="BI144">
        <v>4.1695737838745117</v>
      </c>
      <c r="BJ144">
        <v>6.6453042030334473</v>
      </c>
      <c r="BK144">
        <v>0.6484934538602829</v>
      </c>
      <c r="BL144">
        <v>5.8850197792053223</v>
      </c>
      <c r="BM144">
        <v>85.479145050048828</v>
      </c>
      <c r="BN144">
        <v>0.30035582184791565</v>
      </c>
      <c r="BO144">
        <v>0.14416797459125519</v>
      </c>
      <c r="BP144">
        <v>0.86484050750732422</v>
      </c>
      <c r="BQ144">
        <v>3.2473805360496044E-2</v>
      </c>
      <c r="BR144">
        <v>6.3011706806719303E-3</v>
      </c>
      <c r="BS144">
        <v>5.675168358720839E-3</v>
      </c>
      <c r="BT144">
        <v>0.20286256819963455</v>
      </c>
      <c r="BU144">
        <v>2.3950629867613316E-2</v>
      </c>
      <c r="BV144">
        <v>0.42086906731128693</v>
      </c>
      <c r="BW144">
        <v>8.3724701777100563E-2</v>
      </c>
      <c r="BX144">
        <v>0.22240157425403595</v>
      </c>
      <c r="BY144">
        <v>6.4392350031994283E-4</v>
      </c>
      <c r="IM144">
        <v>248.8342775419253</v>
      </c>
      <c r="IN144">
        <v>4.5248969197273254</v>
      </c>
      <c r="IS144">
        <v>572.1117003125172</v>
      </c>
    </row>
    <row r="145" spans="1:253" x14ac:dyDescent="0.3">
      <c r="A145" s="4" t="s">
        <v>1664</v>
      </c>
      <c r="C145">
        <v>6.144640757702291E-2</v>
      </c>
      <c r="D145">
        <v>1.6726272762753069E-2</v>
      </c>
      <c r="F145">
        <v>4.6352404868230224E-2</v>
      </c>
      <c r="I145">
        <v>5.2361911366460845E-4</v>
      </c>
      <c r="M145">
        <v>9.4855241477489471E-3</v>
      </c>
      <c r="N145">
        <v>0.10965284332633018</v>
      </c>
      <c r="P145" s="7">
        <v>2.7825601460622685E-3</v>
      </c>
      <c r="Q145">
        <v>21.697879791259766</v>
      </c>
      <c r="R145">
        <v>30.846431732177734</v>
      </c>
      <c r="S145">
        <v>0.6653621643781662</v>
      </c>
      <c r="AG145">
        <v>1.9412804171442986</v>
      </c>
      <c r="AI145">
        <v>9.8011927679181099E-2</v>
      </c>
      <c r="AJ145">
        <v>0.15296424366533756</v>
      </c>
      <c r="AK145">
        <v>0.92676106095314026</v>
      </c>
      <c r="AL145">
        <v>0.16150632128119469</v>
      </c>
      <c r="AM145">
        <v>0.42507732659578323</v>
      </c>
      <c r="AN145">
        <v>4.2976574897766113</v>
      </c>
      <c r="AO145">
        <v>1.5824815025553107E-2</v>
      </c>
      <c r="AP145">
        <v>1.1724295909516513E-2</v>
      </c>
      <c r="AQ145">
        <v>2.5192665169015527E-2</v>
      </c>
      <c r="AU145">
        <v>7.6822762377560139E-2</v>
      </c>
      <c r="BF145">
        <v>2.0334181317593902E-3</v>
      </c>
      <c r="BG145">
        <v>0.5851769745349884</v>
      </c>
      <c r="BH145">
        <v>0.48850651830434799</v>
      </c>
      <c r="BJ145">
        <v>58.321786880493164</v>
      </c>
      <c r="BK145">
        <v>0.30744029581546783</v>
      </c>
      <c r="BL145">
        <v>3.0197467282414436</v>
      </c>
      <c r="BM145">
        <v>8.7298989295959473E-2</v>
      </c>
      <c r="BN145">
        <v>0.72636817395687103</v>
      </c>
      <c r="BO145">
        <v>0.92134632542729378</v>
      </c>
      <c r="BP145">
        <v>14.705819010734558</v>
      </c>
      <c r="BQ145">
        <v>0.27562171593308449</v>
      </c>
      <c r="BR145">
        <v>1.43768978305161E-2</v>
      </c>
      <c r="BS145">
        <v>1.8093114718794823E-2</v>
      </c>
      <c r="BT145">
        <v>0.79055452346801758</v>
      </c>
      <c r="BU145">
        <v>0.15051884390413761</v>
      </c>
      <c r="BV145">
        <v>2.6032721400260925</v>
      </c>
      <c r="BW145">
        <v>0.79892578721046448</v>
      </c>
      <c r="BX145">
        <v>1.7510583996772766</v>
      </c>
      <c r="IM145">
        <v>1039.2352314253412</v>
      </c>
      <c r="IS145">
        <v>489.44210721571926</v>
      </c>
    </row>
    <row r="146" spans="1:253" x14ac:dyDescent="0.3">
      <c r="A146" s="4" t="s">
        <v>1665</v>
      </c>
      <c r="B146" s="7">
        <v>1.8972952238982543E-3</v>
      </c>
      <c r="C146" s="7">
        <v>1.4072569869458675</v>
      </c>
      <c r="D146">
        <v>0.42546858452260494</v>
      </c>
      <c r="E146">
        <v>6.483747273683548</v>
      </c>
      <c r="F146">
        <v>0.18708117678761482</v>
      </c>
      <c r="I146">
        <v>2.0237931385054253E-3</v>
      </c>
      <c r="J146">
        <v>2.5591226071119308</v>
      </c>
      <c r="K146">
        <v>0.40162415942177176</v>
      </c>
      <c r="L146">
        <v>0.47228145133703947</v>
      </c>
      <c r="M146">
        <v>0.23459352925419807</v>
      </c>
      <c r="N146">
        <v>0.17034346796572208</v>
      </c>
      <c r="O146">
        <v>4.9457917921245098E-3</v>
      </c>
      <c r="P146" s="7">
        <v>1.0172777539455963E-2</v>
      </c>
      <c r="Q146">
        <v>88.255350112915039</v>
      </c>
      <c r="R146">
        <v>271.14535522460938</v>
      </c>
      <c r="S146">
        <v>3.9515599012374878</v>
      </c>
      <c r="T146">
        <v>0.11783101595938206</v>
      </c>
      <c r="U146">
        <v>0.10902265459299088</v>
      </c>
      <c r="V146">
        <v>9.8504454712383449E-2</v>
      </c>
      <c r="W146">
        <v>0.28506077080965042</v>
      </c>
      <c r="X146">
        <v>1.2429163380147656E-3</v>
      </c>
      <c r="Z146">
        <v>1.44515560567379</v>
      </c>
      <c r="AA146">
        <v>0.68846073746681213</v>
      </c>
      <c r="AB146">
        <v>6.1127302469685674E-3</v>
      </c>
      <c r="AC146">
        <v>0.1429288387298584</v>
      </c>
      <c r="AD146">
        <v>0.21805588714778423</v>
      </c>
      <c r="AE146">
        <v>0.20903111854568124</v>
      </c>
      <c r="AF146">
        <v>0.15174442622810602</v>
      </c>
      <c r="AG146">
        <v>43.936947107315063</v>
      </c>
      <c r="AH146">
        <v>1.5858847200870514</v>
      </c>
      <c r="AI146">
        <v>0.11245512776076794</v>
      </c>
      <c r="AJ146">
        <v>0.88270429521799088</v>
      </c>
      <c r="AK146">
        <v>10.747103571891785</v>
      </c>
      <c r="AL146">
        <v>2.4630072042346001</v>
      </c>
      <c r="AM146">
        <v>9.9461041390895844</v>
      </c>
      <c r="AN146">
        <v>30.986022233963013</v>
      </c>
      <c r="AO146">
        <v>2.8374885092489421E-2</v>
      </c>
      <c r="AP146">
        <v>2.8940259013324976E-2</v>
      </c>
      <c r="AQ146">
        <v>4.1349218925461173E-2</v>
      </c>
      <c r="AR146">
        <v>3.4119096759241074E-2</v>
      </c>
      <c r="AS146">
        <v>1.1693245032802224E-2</v>
      </c>
      <c r="AT146">
        <v>9.7854822524823248E-3</v>
      </c>
      <c r="AU146">
        <v>1.6236613563960418</v>
      </c>
      <c r="AW146" s="7"/>
      <c r="AX146">
        <v>1.8925884033087641</v>
      </c>
      <c r="BB146" s="7"/>
      <c r="BC146">
        <v>0.28802775853546336</v>
      </c>
      <c r="BE146">
        <v>2.6064466994284885E-2</v>
      </c>
      <c r="BF146">
        <v>4.2976620225090301E-2</v>
      </c>
      <c r="BG146">
        <v>37.178764101117849</v>
      </c>
      <c r="BH146">
        <v>1.8468682393431664</v>
      </c>
      <c r="BI146">
        <v>2.6537651941180229</v>
      </c>
      <c r="BJ146">
        <v>111.87985181808472</v>
      </c>
      <c r="BK146">
        <v>0.86607782635837793</v>
      </c>
      <c r="BL146">
        <v>108.3052239716053</v>
      </c>
      <c r="BM146">
        <v>22.87983226776123</v>
      </c>
      <c r="BN146">
        <v>43.730364799499512</v>
      </c>
      <c r="BO146">
        <v>9.4293105527758598</v>
      </c>
      <c r="BP146">
        <v>6.461454376578331</v>
      </c>
      <c r="BQ146">
        <v>0.17408551182597876</v>
      </c>
      <c r="BR146">
        <v>4.7251894429791719E-3</v>
      </c>
      <c r="BS146">
        <v>1.529030641540885E-2</v>
      </c>
      <c r="BT146">
        <v>0.29198792949318886</v>
      </c>
      <c r="BU146">
        <v>6.4933978952467442E-2</v>
      </c>
      <c r="BV146">
        <v>4.645652711391449</v>
      </c>
      <c r="BW146">
        <v>0.42547156661748886</v>
      </c>
      <c r="BX146">
        <v>1.8676285445690155</v>
      </c>
      <c r="IM146">
        <v>1439.8746019175098</v>
      </c>
      <c r="IS146">
        <v>222.80291248773563</v>
      </c>
    </row>
    <row r="147" spans="1:253" x14ac:dyDescent="0.3">
      <c r="A147" s="4" t="s">
        <v>1666</v>
      </c>
      <c r="B147" s="7">
        <v>1.5089444787008688E-3</v>
      </c>
      <c r="C147" s="7">
        <v>3.0872703175991774</v>
      </c>
      <c r="D147">
        <v>0.81290511577390134</v>
      </c>
      <c r="E147">
        <v>3.1739356219768524</v>
      </c>
      <c r="F147">
        <v>0.15471360646188259</v>
      </c>
      <c r="I147">
        <v>4.4415724005375523E-3</v>
      </c>
      <c r="J147">
        <v>1.4909361731261015</v>
      </c>
      <c r="K147">
        <v>0.12189550435869023</v>
      </c>
      <c r="L147" s="7">
        <v>0.28069998102728277</v>
      </c>
      <c r="M147" s="7">
        <v>0.11597279959823936</v>
      </c>
      <c r="N147">
        <v>0.23451482132077217</v>
      </c>
      <c r="O147">
        <v>9.4524844462284818E-4</v>
      </c>
      <c r="P147" s="7">
        <v>2.2939396970940273E-2</v>
      </c>
      <c r="Q147">
        <v>112.84145528078079</v>
      </c>
      <c r="R147">
        <v>157.89009612798691</v>
      </c>
      <c r="S147">
        <v>1.0352204293012619</v>
      </c>
      <c r="U147">
        <v>3.8293236459139735E-2</v>
      </c>
      <c r="W147">
        <v>0.15909667778760195</v>
      </c>
      <c r="Y147">
        <v>2.9018809844274074E-2</v>
      </c>
      <c r="Z147">
        <v>0.87785476166754961</v>
      </c>
      <c r="AA147">
        <v>0.76855826284736395</v>
      </c>
      <c r="AC147">
        <v>8.8284845463931561E-2</v>
      </c>
      <c r="AD147">
        <v>0.14004769106395543</v>
      </c>
      <c r="AE147">
        <v>0.18135846289806068</v>
      </c>
      <c r="AF147">
        <v>0.16726723872125149</v>
      </c>
      <c r="AG147">
        <v>12.356434442102909</v>
      </c>
      <c r="AH147">
        <v>1.0297126788645983</v>
      </c>
      <c r="AI147">
        <v>0.61237354669719934</v>
      </c>
      <c r="AJ147">
        <v>0.71836736565455794</v>
      </c>
      <c r="AK147">
        <v>5.6521805040538311</v>
      </c>
      <c r="AL147">
        <v>1.2591997794806957</v>
      </c>
      <c r="AM147">
        <v>4.7762427255511284</v>
      </c>
      <c r="AN147">
        <v>22.349636569619179</v>
      </c>
      <c r="AO147">
        <v>7.4497414869256318E-2</v>
      </c>
      <c r="AP147">
        <v>3.6754133674548939E-2</v>
      </c>
      <c r="AQ147">
        <v>6.6567750240210444E-2</v>
      </c>
      <c r="AR147">
        <v>3.3364283794071525E-2</v>
      </c>
      <c r="AS147">
        <v>1.2755286414176226E-2</v>
      </c>
      <c r="AT147">
        <v>1.6834410387673415E-2</v>
      </c>
      <c r="AU147">
        <v>3.8199472799897194</v>
      </c>
      <c r="AX147">
        <v>2.193093728274107</v>
      </c>
      <c r="BB147" s="7"/>
      <c r="BC147">
        <v>0.33376084954943508</v>
      </c>
      <c r="BE147">
        <v>3.0202985697542317E-2</v>
      </c>
      <c r="BF147">
        <v>4.9800451466580853E-2</v>
      </c>
      <c r="BG147">
        <v>19.106538273394108</v>
      </c>
      <c r="BH147">
        <v>8.646632444113493</v>
      </c>
      <c r="BI147">
        <v>12.091811552643776</v>
      </c>
      <c r="BJ147">
        <v>392.72377395629883</v>
      </c>
      <c r="BK147">
        <v>9.1023621410131454</v>
      </c>
      <c r="BL147">
        <v>18.748876690864563</v>
      </c>
      <c r="BM147">
        <v>3.181823767721653</v>
      </c>
      <c r="BN147">
        <v>2.3910615108907223</v>
      </c>
      <c r="BO147">
        <v>13.652303539216518</v>
      </c>
      <c r="BP147">
        <v>613.0935001373291</v>
      </c>
      <c r="BQ147">
        <v>8.2397472858428955</v>
      </c>
      <c r="BR147">
        <v>0.61622864101082087</v>
      </c>
      <c r="BS147">
        <v>0.3388969162479043</v>
      </c>
      <c r="BT147">
        <v>11.827184110879898</v>
      </c>
      <c r="BU147">
        <v>0.81081625074148178</v>
      </c>
      <c r="BV147">
        <v>16.941789031028748</v>
      </c>
      <c r="BW147">
        <v>6.0951230525970459</v>
      </c>
      <c r="BX147">
        <v>7.645400196313858</v>
      </c>
      <c r="BY147">
        <v>1.1051939736717031E-3</v>
      </c>
      <c r="CB147">
        <v>3.5469151341318569E-4</v>
      </c>
      <c r="IM147">
        <v>9307.8652059117885</v>
      </c>
      <c r="IN147">
        <v>89.414702534675598</v>
      </c>
      <c r="IP147">
        <v>79.263813972473145</v>
      </c>
      <c r="IS147">
        <v>106.08577764155132</v>
      </c>
    </row>
    <row r="148" spans="1:253" x14ac:dyDescent="0.3">
      <c r="A148" s="4" t="s">
        <v>1667</v>
      </c>
      <c r="B148">
        <v>6.1246070690685883E-3</v>
      </c>
      <c r="C148">
        <v>1.1381453601643443</v>
      </c>
      <c r="D148">
        <v>0.39461455214768648</v>
      </c>
      <c r="E148">
        <v>14.891160905361176</v>
      </c>
      <c r="F148">
        <v>0.11833293968811631</v>
      </c>
      <c r="I148">
        <v>6.2257374156615697E-3</v>
      </c>
      <c r="J148">
        <v>4.5442492663860321</v>
      </c>
      <c r="K148">
        <v>1.1973203669767827</v>
      </c>
      <c r="L148">
        <v>0.84905244037508965</v>
      </c>
      <c r="M148">
        <v>0.21586777921766043</v>
      </c>
      <c r="N148">
        <v>0.13123083952814341</v>
      </c>
      <c r="O148">
        <v>6.7278566612003488E-3</v>
      </c>
      <c r="P148" s="7">
        <v>1.2349097557572186E-2</v>
      </c>
      <c r="Q148">
        <v>67.129764556884766</v>
      </c>
      <c r="R148">
        <v>228.24861907958984</v>
      </c>
      <c r="S148">
        <v>0.10562861617654562</v>
      </c>
      <c r="T148">
        <v>0.31874236091971397</v>
      </c>
      <c r="U148">
        <v>0.22959860693663359</v>
      </c>
      <c r="V148">
        <v>0.13262601289898157</v>
      </c>
      <c r="W148">
        <v>2.7186390645802021</v>
      </c>
      <c r="X148">
        <v>4.046177607960999E-3</v>
      </c>
      <c r="Y148">
        <v>9.5100490376353264E-2</v>
      </c>
      <c r="Z148">
        <v>3.2987147867679596</v>
      </c>
      <c r="AA148">
        <v>2.2466116100549698</v>
      </c>
      <c r="AB148">
        <v>6.6531965130707249E-3</v>
      </c>
      <c r="AC148">
        <v>0.10990169801516458</v>
      </c>
      <c r="AD148">
        <v>0.66381138912402093</v>
      </c>
      <c r="AE148">
        <v>0.47676956898067147</v>
      </c>
      <c r="AF148">
        <v>0.43490727664902806</v>
      </c>
      <c r="AH148">
        <v>0.24659547151532024</v>
      </c>
      <c r="AI148">
        <v>2.6515744917560369E-2</v>
      </c>
      <c r="AJ148">
        <v>0.21091886953217909</v>
      </c>
      <c r="AK148">
        <v>4.5687855444848537</v>
      </c>
      <c r="AM148">
        <v>0.20319799869321287</v>
      </c>
      <c r="AN148">
        <v>1.5962378848344088</v>
      </c>
      <c r="AO148">
        <v>5.8048148668603972E-2</v>
      </c>
      <c r="AP148">
        <v>5.7677502918522805E-2</v>
      </c>
      <c r="AQ148">
        <v>0.10434223656193353</v>
      </c>
      <c r="AR148">
        <v>0.10791229453752749</v>
      </c>
      <c r="AS148">
        <v>2.9081946981023066E-2</v>
      </c>
      <c r="AT148">
        <v>2.1954545562039129E-2</v>
      </c>
      <c r="AU148">
        <v>0.40625612623989582</v>
      </c>
      <c r="AW148" s="7"/>
      <c r="BB148" s="7"/>
      <c r="BC148" s="7"/>
      <c r="BF148">
        <v>5.2963397611165419E-3</v>
      </c>
      <c r="BG148">
        <v>3.1686742268502712</v>
      </c>
      <c r="BH148">
        <v>0.70886766770854592</v>
      </c>
      <c r="BI148">
        <v>23.735868573188782</v>
      </c>
      <c r="BJ148">
        <v>23.393565483391285</v>
      </c>
      <c r="BK148">
        <v>0.82703652884811163</v>
      </c>
      <c r="BL148">
        <v>3.943206749856472</v>
      </c>
      <c r="BM148">
        <v>0.42690154584124684</v>
      </c>
      <c r="BN148">
        <v>0.22633870737627149</v>
      </c>
      <c r="BO148">
        <v>3.0518627604469657</v>
      </c>
      <c r="BP148">
        <v>4.6686619743704796</v>
      </c>
      <c r="BQ148">
        <v>3.2880869321525097</v>
      </c>
      <c r="BR148">
        <v>0.26123458705842495</v>
      </c>
      <c r="BS148">
        <v>0.29753616731613874</v>
      </c>
      <c r="BT148">
        <v>0.69691484142094851</v>
      </c>
      <c r="BU148">
        <v>0.41250850353389978</v>
      </c>
      <c r="BV148">
        <v>23.635694175958633</v>
      </c>
      <c r="BW148">
        <v>9.1179798431694508</v>
      </c>
      <c r="BX148">
        <v>40.142835348844528</v>
      </c>
      <c r="BY148">
        <v>0.6911752400919795</v>
      </c>
      <c r="CB148">
        <v>3.546915134334086E-4</v>
      </c>
      <c r="IM148">
        <v>82.196824725248618</v>
      </c>
      <c r="IN148">
        <v>14.910034656524658</v>
      </c>
      <c r="IS148">
        <v>730.109635174294</v>
      </c>
    </row>
    <row r="149" spans="1:253" x14ac:dyDescent="0.3">
      <c r="A149" s="4" t="s">
        <v>1668</v>
      </c>
      <c r="B149">
        <v>4.7094088222365826E-4</v>
      </c>
      <c r="C149">
        <v>7.7543987310491502E-2</v>
      </c>
      <c r="D149">
        <v>2.8636700182687491E-2</v>
      </c>
      <c r="E149">
        <v>0.99383475817739964</v>
      </c>
      <c r="F149">
        <v>9.6932026135618798E-3</v>
      </c>
      <c r="I149">
        <v>3.9760436811775435E-4</v>
      </c>
      <c r="J149">
        <v>0.32727114949375391</v>
      </c>
      <c r="K149">
        <v>8.4900626527087297E-2</v>
      </c>
      <c r="L149">
        <v>6.0198192310053855E-2</v>
      </c>
      <c r="M149">
        <v>1.3791959965601563E-2</v>
      </c>
      <c r="N149">
        <v>4.0211120038293302E-2</v>
      </c>
      <c r="O149">
        <v>1.5760008271854531E-3</v>
      </c>
      <c r="P149" s="7">
        <v>8.3897364332771588E-4</v>
      </c>
      <c r="Q149">
        <v>6.0236164331436157</v>
      </c>
      <c r="R149">
        <v>13.130819082260132</v>
      </c>
      <c r="U149">
        <v>5.1766502438113093E-2</v>
      </c>
      <c r="V149">
        <v>3.2762584742158651E-2</v>
      </c>
      <c r="W149">
        <v>9.7470591776072979E-2</v>
      </c>
      <c r="X149">
        <v>1.2347736046649516E-3</v>
      </c>
      <c r="Z149">
        <v>0.56270045042037964</v>
      </c>
      <c r="AA149">
        <v>0.26948829740285873</v>
      </c>
      <c r="AO149">
        <v>9.3302656405285234E-3</v>
      </c>
      <c r="AQ149">
        <v>1.0349254172979272E-2</v>
      </c>
      <c r="BH149">
        <v>6.0221205581910908E-2</v>
      </c>
      <c r="BJ149">
        <v>0.64440456358715892</v>
      </c>
      <c r="BK149">
        <v>8.8905640179291368E-2</v>
      </c>
      <c r="BM149">
        <v>6.1834504071157426E-2</v>
      </c>
      <c r="BP149">
        <v>0.3048432469367981</v>
      </c>
      <c r="BQ149">
        <v>1.265601621591486</v>
      </c>
      <c r="BR149">
        <v>0.13730944856069982</v>
      </c>
      <c r="BS149">
        <v>1.4674514502985403E-2</v>
      </c>
      <c r="BT149">
        <v>5.1934361690655351E-2</v>
      </c>
      <c r="BU149">
        <v>2.5591702444216935E-2</v>
      </c>
      <c r="BV149">
        <v>0.43610674719093367</v>
      </c>
      <c r="BX149">
        <v>0.50144535751314834</v>
      </c>
      <c r="BY149">
        <v>1.7291207754169591E-2</v>
      </c>
      <c r="CB149">
        <v>1.18228491407391E-4</v>
      </c>
      <c r="FS149" s="7"/>
      <c r="IM149">
        <v>44.618164061347947</v>
      </c>
      <c r="IS149">
        <v>17.368891530939056</v>
      </c>
    </row>
    <row r="150" spans="1:253" x14ac:dyDescent="0.3">
      <c r="A150" s="4" t="s">
        <v>1669</v>
      </c>
      <c r="F150">
        <v>2.8056968003511429E-3</v>
      </c>
      <c r="I150">
        <v>2.8828494396293536E-4</v>
      </c>
      <c r="M150">
        <v>1.0848830279428512E-2</v>
      </c>
      <c r="N150">
        <v>3.6771700717508793E-2</v>
      </c>
      <c r="O150">
        <v>7.1672350168228149E-4</v>
      </c>
      <c r="P150">
        <v>3.1673346889780503E-3</v>
      </c>
      <c r="Q150">
        <v>24.14979362487793</v>
      </c>
      <c r="R150">
        <v>34.632233142852783</v>
      </c>
      <c r="T150">
        <v>9.7710084170103073E-2</v>
      </c>
      <c r="U150">
        <v>8.7423868477344513E-2</v>
      </c>
      <c r="V150">
        <v>6.9732038304209709E-2</v>
      </c>
      <c r="W150">
        <v>0.34828387200832367</v>
      </c>
      <c r="X150">
        <v>3.8953825132921338E-3</v>
      </c>
      <c r="Z150">
        <v>3.616988480091095</v>
      </c>
      <c r="AA150">
        <v>1.1426250636577606</v>
      </c>
      <c r="AD150">
        <v>0.13532738108187914</v>
      </c>
      <c r="AG150">
        <v>4.5297862589359283</v>
      </c>
      <c r="AO150">
        <v>8.2638966850936413E-3</v>
      </c>
      <c r="AP150">
        <v>8.0232946202158928E-3</v>
      </c>
      <c r="AQ150">
        <v>1.5294926706701517E-2</v>
      </c>
      <c r="AR150">
        <v>1.8135602585971355E-2</v>
      </c>
      <c r="AU150">
        <v>3.9576833602041006E-2</v>
      </c>
      <c r="BG150">
        <v>0.46583965048193932</v>
      </c>
      <c r="BH150">
        <v>7.6843615621328354E-2</v>
      </c>
      <c r="BI150">
        <v>2.3109577000141144</v>
      </c>
      <c r="BJ150">
        <v>8.9818804264068604</v>
      </c>
      <c r="BK150">
        <v>1.6065039932727814</v>
      </c>
      <c r="BL150">
        <v>0.48590809106826782</v>
      </c>
      <c r="BM150">
        <v>14.044482693076134</v>
      </c>
      <c r="BN150">
        <v>12.647935122251511</v>
      </c>
      <c r="BO150">
        <v>0.69719384610652924</v>
      </c>
      <c r="BP150">
        <v>5.790174126625061</v>
      </c>
      <c r="BQ150">
        <v>1.425536036491394</v>
      </c>
      <c r="BR150">
        <v>9.2018304392695427E-2</v>
      </c>
      <c r="BS150">
        <v>0.5075928196310997</v>
      </c>
      <c r="BT150">
        <v>0.84592834115028381</v>
      </c>
      <c r="BU150">
        <v>1.2491358518600464</v>
      </c>
      <c r="BV150">
        <v>1.337576150894165</v>
      </c>
      <c r="BW150">
        <v>0.90605549514293671</v>
      </c>
      <c r="BX150">
        <v>2.1519911736249924</v>
      </c>
      <c r="BY150">
        <v>2.0382597111165524E-2</v>
      </c>
      <c r="IM150">
        <v>274.79233513681595</v>
      </c>
      <c r="IN150">
        <v>38.421096801757813</v>
      </c>
      <c r="IP150">
        <v>127.43717002868652</v>
      </c>
      <c r="IS150">
        <v>11.62641734860108</v>
      </c>
    </row>
    <row r="151" spans="1:253" x14ac:dyDescent="0.3">
      <c r="A151" s="4" t="s">
        <v>1670</v>
      </c>
      <c r="B151">
        <v>3.7132520228624344E-3</v>
      </c>
      <c r="C151">
        <v>0.54139627516269684</v>
      </c>
      <c r="D151">
        <v>0.19096370041370392</v>
      </c>
      <c r="E151">
        <v>6.0793353319168091</v>
      </c>
      <c r="F151">
        <v>4.8804041929543018E-2</v>
      </c>
      <c r="I151">
        <v>3.0728134443052113E-3</v>
      </c>
      <c r="J151">
        <v>1.6679133474826813</v>
      </c>
      <c r="K151">
        <v>0.43986075557768345</v>
      </c>
      <c r="L151">
        <v>0.34071152657270432</v>
      </c>
      <c r="M151">
        <v>0.10324092209339142</v>
      </c>
      <c r="N151">
        <v>0.30720635503530502</v>
      </c>
      <c r="O151">
        <v>2.0793907060578931E-3</v>
      </c>
      <c r="P151">
        <v>2.5335344924512948E-2</v>
      </c>
      <c r="Q151">
        <v>176.07786560058594</v>
      </c>
      <c r="R151">
        <v>361.53800964355469</v>
      </c>
      <c r="S151">
        <v>0.19736014306545258</v>
      </c>
      <c r="T151">
        <v>0.67362996935844421</v>
      </c>
      <c r="U151">
        <v>0.50272870063781738</v>
      </c>
      <c r="V151">
        <v>0.5354878306388855</v>
      </c>
      <c r="W151">
        <v>1.8082756400108337</v>
      </c>
      <c r="X151">
        <v>1.2068135663866997E-2</v>
      </c>
      <c r="Y151">
        <v>0.11340032890439034</v>
      </c>
      <c r="Z151">
        <v>16.226443290710449</v>
      </c>
      <c r="AA151">
        <v>9.4592189788818359</v>
      </c>
      <c r="AC151">
        <v>0.10438210354186594</v>
      </c>
      <c r="AD151">
        <v>0.42923806793987751</v>
      </c>
      <c r="AE151">
        <v>0.22604742646217346</v>
      </c>
      <c r="AF151">
        <v>0.20137256942689419</v>
      </c>
      <c r="AG151">
        <v>2.5271505117416382</v>
      </c>
      <c r="AH151">
        <v>0.30150928720831871</v>
      </c>
      <c r="AI151">
        <v>4.6361552551388741E-2</v>
      </c>
      <c r="AJ151">
        <v>0.17837761342525482</v>
      </c>
      <c r="AK151">
        <v>1.1518089175224304</v>
      </c>
      <c r="AN151">
        <v>2.2468231022357941</v>
      </c>
      <c r="AO151">
        <v>8.9128529652953148E-2</v>
      </c>
      <c r="AP151">
        <v>5.3603673120960593E-2</v>
      </c>
      <c r="AQ151">
        <v>0.11297831078991294</v>
      </c>
      <c r="AR151">
        <v>9.7942725755274296E-2</v>
      </c>
      <c r="AS151">
        <v>4.8244197852909565E-2</v>
      </c>
      <c r="AT151">
        <v>2.1345195244066417E-2</v>
      </c>
      <c r="AU151">
        <v>0.76125870645046234</v>
      </c>
      <c r="AX151">
        <v>0.43705101311206818</v>
      </c>
      <c r="BF151">
        <v>9.924490237608552E-3</v>
      </c>
      <c r="BG151">
        <v>2.1968245506286621</v>
      </c>
      <c r="BH151">
        <v>1.1235187649726868</v>
      </c>
      <c r="BI151">
        <v>72.798093795776367</v>
      </c>
      <c r="BJ151">
        <v>30.738919019699097</v>
      </c>
      <c r="BK151">
        <v>1.0303984805941582</v>
      </c>
      <c r="BL151">
        <v>3.5162574648857117</v>
      </c>
      <c r="BM151">
        <v>0.49377244710922241</v>
      </c>
      <c r="BN151">
        <v>0.51536055654287338</v>
      </c>
      <c r="BO151">
        <v>2.2427306771278381</v>
      </c>
      <c r="BP151">
        <v>13.491981506347656</v>
      </c>
      <c r="BQ151">
        <v>1.3061824440956116</v>
      </c>
      <c r="BR151">
        <v>7.9127361997961998E-2</v>
      </c>
      <c r="BS151">
        <v>0.48096943274140358</v>
      </c>
      <c r="BT151">
        <v>3.688362181186676</v>
      </c>
      <c r="BU151">
        <v>0.6937227314338088</v>
      </c>
      <c r="BV151">
        <v>39.294015645980835</v>
      </c>
      <c r="BW151">
        <v>3.3904567584395409</v>
      </c>
      <c r="BX151">
        <v>15.297940164804459</v>
      </c>
      <c r="BY151">
        <v>3.5366653348319232E-2</v>
      </c>
      <c r="CB151">
        <v>1.7736387549319968E-3</v>
      </c>
      <c r="IM151">
        <v>49.501925841258711</v>
      </c>
      <c r="IN151">
        <v>16.146476268768311</v>
      </c>
      <c r="IP151">
        <v>2203.5957282066679</v>
      </c>
      <c r="IS151">
        <v>121.86313311162814</v>
      </c>
    </row>
    <row r="152" spans="1:253" x14ac:dyDescent="0.3">
      <c r="A152" s="4" t="s">
        <v>1671</v>
      </c>
      <c r="B152">
        <v>3.1967448248906294E-2</v>
      </c>
      <c r="C152">
        <v>3.9649631215725094</v>
      </c>
      <c r="D152">
        <v>1.3137249995343154</v>
      </c>
      <c r="E152">
        <v>62.907075732946396</v>
      </c>
      <c r="F152">
        <v>0.27781651672557928</v>
      </c>
      <c r="I152">
        <v>3.2871256655198522E-2</v>
      </c>
      <c r="J152">
        <v>15.101145822554827</v>
      </c>
      <c r="K152">
        <v>2.137504636310041</v>
      </c>
      <c r="L152">
        <v>3.0632582475664094</v>
      </c>
      <c r="M152">
        <v>0.69376426229428034</v>
      </c>
      <c r="N152">
        <v>2.828399742487818</v>
      </c>
      <c r="O152">
        <v>2.5648203154560179E-3</v>
      </c>
      <c r="Q152">
        <v>0.46955526061356068</v>
      </c>
      <c r="R152">
        <v>1.0137721598148346</v>
      </c>
      <c r="AD152">
        <v>7.4859011918306351E-2</v>
      </c>
      <c r="AO152">
        <v>1.9595938734710217E-2</v>
      </c>
      <c r="AP152">
        <v>7.7816944103688002E-3</v>
      </c>
      <c r="AQ152">
        <v>2.0078454865142703E-2</v>
      </c>
      <c r="BH152">
        <v>6.2681191600859165E-2</v>
      </c>
      <c r="BI152">
        <v>23.154379338026047</v>
      </c>
      <c r="BJ152">
        <v>0.63989044725894928</v>
      </c>
      <c r="BK152">
        <v>0.52163857221603394</v>
      </c>
      <c r="BL152">
        <v>44.669373616576195</v>
      </c>
      <c r="BM152">
        <v>4.9467132091522217</v>
      </c>
      <c r="BN152">
        <v>27.272495448589325</v>
      </c>
      <c r="BO152">
        <v>13.788074895739555</v>
      </c>
      <c r="BP152">
        <v>116.84430515766144</v>
      </c>
      <c r="BQ152">
        <v>9.1543706133961678E-2</v>
      </c>
      <c r="BR152">
        <v>9.9649415351450443E-3</v>
      </c>
      <c r="BS152">
        <v>1.7336170421913266E-2</v>
      </c>
      <c r="BT152">
        <v>0.12381231412291527</v>
      </c>
      <c r="BU152">
        <v>0.21013451367616653</v>
      </c>
      <c r="BV152">
        <v>1.5068184733390808</v>
      </c>
      <c r="BW152">
        <v>1.9471665173768997</v>
      </c>
      <c r="BX152">
        <v>1.1801756918430328</v>
      </c>
      <c r="BY152">
        <v>2.3692851536907256E-3</v>
      </c>
      <c r="IM152">
        <v>496.4865650730203</v>
      </c>
      <c r="IN152">
        <v>101.40954807400703</v>
      </c>
      <c r="IP152">
        <v>10.058249235153198</v>
      </c>
      <c r="IS152">
        <v>0.91866792991810775</v>
      </c>
    </row>
    <row r="153" spans="1:253" x14ac:dyDescent="0.3">
      <c r="A153" s="4" t="s">
        <v>1672</v>
      </c>
      <c r="C153">
        <v>0.12671634970683954</v>
      </c>
      <c r="D153">
        <v>3.4928090804896783E-2</v>
      </c>
      <c r="F153">
        <v>1.5967080700647784E-2</v>
      </c>
      <c r="I153">
        <v>4.8686168520362116E-4</v>
      </c>
      <c r="N153">
        <v>3.4293403849005699E-2</v>
      </c>
      <c r="O153">
        <v>2.225220701075159E-2</v>
      </c>
      <c r="R153">
        <v>0.83509150519967079</v>
      </c>
      <c r="BH153">
        <v>6.7181071266531944E-2</v>
      </c>
      <c r="BI153">
        <v>2.5483391955494881</v>
      </c>
      <c r="BL153">
        <v>4.4800648849923164</v>
      </c>
      <c r="BM153">
        <v>0.40503142517991364</v>
      </c>
      <c r="BN153">
        <v>1.6755070090293884</v>
      </c>
      <c r="BO153">
        <v>2.8217758690007031</v>
      </c>
      <c r="BP153">
        <v>27.048963751643896</v>
      </c>
      <c r="BQ153">
        <v>3.4445701516233385E-2</v>
      </c>
      <c r="BR153">
        <v>1.1309903129586019E-3</v>
      </c>
      <c r="BS153">
        <v>7.2798473120201379E-3</v>
      </c>
      <c r="BU153">
        <v>8.8417345657944679E-2</v>
      </c>
      <c r="BV153">
        <v>0.97072422504425049</v>
      </c>
      <c r="BW153">
        <v>0.17450350522994995</v>
      </c>
      <c r="BX153">
        <v>0.79835411906242371</v>
      </c>
      <c r="IM153">
        <v>75.349925339221954</v>
      </c>
      <c r="IN153">
        <v>12098.530360185947</v>
      </c>
      <c r="IS153">
        <v>441.21729221297653</v>
      </c>
    </row>
    <row r="154" spans="1:253" x14ac:dyDescent="0.3">
      <c r="A154" s="4" t="s">
        <v>1673</v>
      </c>
      <c r="C154">
        <v>0.16615292237111134</v>
      </c>
      <c r="D154">
        <v>4.5368381246589706E-2</v>
      </c>
      <c r="F154">
        <v>2.0171360650692804E-2</v>
      </c>
      <c r="I154">
        <v>1.5669461219658842E-2</v>
      </c>
      <c r="M154">
        <v>5.282837155937159E-2</v>
      </c>
      <c r="N154">
        <v>1.2892086066422053</v>
      </c>
      <c r="Q154">
        <v>0.46828514710068703</v>
      </c>
      <c r="R154">
        <v>1.2927653342485428</v>
      </c>
      <c r="AI154">
        <v>2.7604417875409126E-2</v>
      </c>
      <c r="AO154">
        <v>1.3307167217135429E-2</v>
      </c>
      <c r="AP154">
        <v>8.3316027012187988E-3</v>
      </c>
      <c r="AQ154">
        <v>1.335291494615376E-2</v>
      </c>
      <c r="AR154">
        <v>1.7220410314621404E-2</v>
      </c>
      <c r="BI154">
        <v>2.720109336078167</v>
      </c>
      <c r="BL154">
        <v>8.6827487396076322</v>
      </c>
      <c r="BM154">
        <v>0.48255032696761191</v>
      </c>
      <c r="BN154">
        <v>0.28962043602950871</v>
      </c>
      <c r="BO154">
        <v>1.4955249804188497</v>
      </c>
      <c r="BP154">
        <v>90.629608623683453</v>
      </c>
      <c r="BQ154">
        <v>2.5041790679097176E-2</v>
      </c>
      <c r="BR154">
        <v>3.9320442156167701E-3</v>
      </c>
      <c r="BV154">
        <v>0.60546213388442993</v>
      </c>
      <c r="BW154">
        <v>0.33206690102815628</v>
      </c>
      <c r="BX154">
        <v>0.8171699047088623</v>
      </c>
      <c r="CB154">
        <v>1.773638754474434E-3</v>
      </c>
      <c r="IM154">
        <v>249.83540058135986</v>
      </c>
      <c r="IN154">
        <v>5193.7602945583885</v>
      </c>
      <c r="IS154">
        <v>9.9218245255916795</v>
      </c>
    </row>
    <row r="155" spans="1:253" x14ac:dyDescent="0.3">
      <c r="A155" s="4" t="s">
        <v>1674</v>
      </c>
      <c r="B155">
        <v>2.2433177218772471E-4</v>
      </c>
      <c r="C155">
        <v>3.6245898923370987</v>
      </c>
      <c r="D155">
        <v>0.98719121981412172</v>
      </c>
      <c r="E155">
        <v>1.876085452735424</v>
      </c>
      <c r="F155">
        <v>0.4429573182715103</v>
      </c>
      <c r="I155">
        <v>5.3663681319449097E-4</v>
      </c>
      <c r="J155">
        <v>4.1929025449790061</v>
      </c>
      <c r="K155">
        <v>0.12288412638008595</v>
      </c>
      <c r="L155">
        <v>0.41535263072000816</v>
      </c>
      <c r="M155">
        <v>0.17577590479049832</v>
      </c>
      <c r="N155">
        <v>0.42411118745803833</v>
      </c>
      <c r="O155">
        <v>4.7931548760971054E-3</v>
      </c>
      <c r="R155">
        <v>7.4206634759902954</v>
      </c>
      <c r="V155">
        <v>2.5992483948357403E-2</v>
      </c>
      <c r="AS155">
        <v>1.5855802746955305E-2</v>
      </c>
      <c r="BH155">
        <v>9.4114351086318493E-2</v>
      </c>
      <c r="BI155">
        <v>2.9817807972431183</v>
      </c>
      <c r="BK155">
        <v>7.0344734936952591E-2</v>
      </c>
      <c r="BL155">
        <v>1.1595240142196417</v>
      </c>
      <c r="BM155">
        <v>0.11315494030714035</v>
      </c>
      <c r="BN155">
        <v>0.13364557479508221</v>
      </c>
      <c r="BO155">
        <v>4.7254052329808474</v>
      </c>
      <c r="BP155">
        <v>4.9234922081232071</v>
      </c>
      <c r="BR155">
        <v>4.3929065577685833E-3</v>
      </c>
      <c r="BU155">
        <v>3.5835940390825272E-2</v>
      </c>
      <c r="BV155">
        <v>8.7207469940185547</v>
      </c>
      <c r="BW155">
        <v>1.8803751654922962</v>
      </c>
      <c r="BX155">
        <v>11.56515908241272</v>
      </c>
      <c r="IM155">
        <v>316.14987945556641</v>
      </c>
      <c r="IN155">
        <v>12203.028143969648</v>
      </c>
      <c r="IS155">
        <v>13.062296027928483</v>
      </c>
    </row>
    <row r="156" spans="1:253" x14ac:dyDescent="0.3">
      <c r="A156" s="4" t="s">
        <v>1675</v>
      </c>
      <c r="C156">
        <v>4.0683448354192318E-2</v>
      </c>
      <c r="BY156">
        <v>6.2526455170330876E-3</v>
      </c>
      <c r="IM156">
        <v>957.49940461519247</v>
      </c>
      <c r="IN156">
        <v>13.526275652908925</v>
      </c>
      <c r="IS156">
        <v>9.9999999999999995E-7</v>
      </c>
    </row>
    <row r="157" spans="1:253" x14ac:dyDescent="0.3">
      <c r="A157" s="4" t="s">
        <v>1181</v>
      </c>
      <c r="FA157">
        <v>9.9999999999999995E-21</v>
      </c>
    </row>
    <row r="158" spans="1:253" x14ac:dyDescent="0.3">
      <c r="A158" s="4" t="s">
        <v>1192</v>
      </c>
      <c r="FB158">
        <v>9.9999999999999995E-21</v>
      </c>
    </row>
    <row r="159" spans="1:253" x14ac:dyDescent="0.3">
      <c r="A159" s="4" t="s">
        <v>1133</v>
      </c>
      <c r="B159">
        <v>9.9999999999999995E-7</v>
      </c>
      <c r="C159">
        <v>3.2692002667559693E-5</v>
      </c>
      <c r="D159">
        <v>9.6526551647774444E-6</v>
      </c>
      <c r="E159">
        <v>5.5871874621259013E-4</v>
      </c>
      <c r="F159">
        <v>5.0524407832621825E-6</v>
      </c>
      <c r="I159">
        <v>9.9999999999999995E-7</v>
      </c>
      <c r="J159">
        <v>1.9192698538105464E-4</v>
      </c>
      <c r="K159">
        <v>5.2746212046792139E-5</v>
      </c>
      <c r="L159">
        <v>3.7278194701729035E-5</v>
      </c>
      <c r="M159">
        <v>5.8038728162421736E-6</v>
      </c>
      <c r="N159">
        <v>3.6252489792609294E-5</v>
      </c>
      <c r="O159">
        <v>9.9999999999999995E-7</v>
      </c>
      <c r="P159">
        <v>9.9999999999999995E-7</v>
      </c>
      <c r="Q159">
        <v>9.2463559759629866E-4</v>
      </c>
      <c r="R159">
        <v>2.0062663702228182E-3</v>
      </c>
      <c r="S159">
        <v>3.7863313788202521E-5</v>
      </c>
      <c r="T159">
        <v>3.1443535112803247E-5</v>
      </c>
      <c r="U159">
        <v>1.4563786899367247E-5</v>
      </c>
      <c r="V159">
        <v>1.1143917569260435E-5</v>
      </c>
      <c r="W159">
        <v>4.5684036978620027E-5</v>
      </c>
      <c r="X159">
        <v>9.9999999999999995E-7</v>
      </c>
      <c r="Y159">
        <v>1.31628517947763E-5</v>
      </c>
      <c r="Z159">
        <v>1.9642567376744409E-4</v>
      </c>
      <c r="AA159">
        <v>1.0108092831937944E-4</v>
      </c>
      <c r="AB159">
        <v>2.7400812476249965E-6</v>
      </c>
      <c r="AC159">
        <v>4.0499573193725665E-5</v>
      </c>
      <c r="AD159">
        <v>5.6440307819195889E-5</v>
      </c>
      <c r="AE159">
        <v>4.462325069205202E-5</v>
      </c>
      <c r="AF159">
        <v>4.0767259410012742E-5</v>
      </c>
      <c r="AG159">
        <v>9.0361785498860986E-4</v>
      </c>
      <c r="AH159">
        <v>7.9997110367710115E-5</v>
      </c>
      <c r="AI159">
        <v>8.0847506728040628E-6</v>
      </c>
      <c r="AJ159">
        <v>4.9391591986058774E-5</v>
      </c>
      <c r="AK159">
        <v>4.1413878871193375E-4</v>
      </c>
      <c r="AL159">
        <v>3.69385055904275E-5</v>
      </c>
      <c r="AM159">
        <v>8.933677809836158E-5</v>
      </c>
      <c r="AN159">
        <v>3.4931824889247834E-4</v>
      </c>
      <c r="AO159">
        <v>8.0793727202499122E-6</v>
      </c>
      <c r="AP159">
        <v>6.5446083602638074E-6</v>
      </c>
      <c r="AQ159">
        <v>1.1159590603772771E-5</v>
      </c>
      <c r="AR159">
        <v>1.3262305304108694E-5</v>
      </c>
      <c r="AS159">
        <v>4.2767327113244016E-6</v>
      </c>
      <c r="AT159">
        <v>6.6841116705609351E-6</v>
      </c>
      <c r="AU159">
        <v>3.5232793600953782E-5</v>
      </c>
      <c r="AX159">
        <v>2.318135139577678E-4</v>
      </c>
      <c r="BC159">
        <v>9.14012134485714E-5</v>
      </c>
      <c r="BE159">
        <v>9.8849652529889651E-6</v>
      </c>
      <c r="BF159">
        <v>1.0051038408406447E-6</v>
      </c>
      <c r="BG159">
        <v>3.7135279738356226E-4</v>
      </c>
      <c r="BH159">
        <v>8.1537617690244198E-5</v>
      </c>
      <c r="BI159">
        <v>2.0302551420180808E-3</v>
      </c>
      <c r="BJ159">
        <v>1.0295165427664152E-3</v>
      </c>
      <c r="BK159">
        <v>1.3056796001380827E-4</v>
      </c>
      <c r="BL159">
        <v>3.7797627827063839E-4</v>
      </c>
      <c r="BM159">
        <v>3.8462525754932481E-5</v>
      </c>
      <c r="BN159">
        <v>6.0784272998124994E-5</v>
      </c>
      <c r="BO159">
        <v>1.0954965114782632E-4</v>
      </c>
      <c r="BP159">
        <v>5.0199370444402357E-4</v>
      </c>
      <c r="BQ159">
        <v>5.9305613029057186E-5</v>
      </c>
      <c r="BR159">
        <v>3.6337053398904256E-6</v>
      </c>
      <c r="BS159">
        <v>1.4406293695031567E-5</v>
      </c>
      <c r="BT159">
        <v>8.0640888667091006E-5</v>
      </c>
      <c r="BU159">
        <v>4.16180715739483E-5</v>
      </c>
      <c r="BV159">
        <v>5.4661234129830193E-4</v>
      </c>
      <c r="BW159">
        <v>2.3764669373422799E-4</v>
      </c>
      <c r="BX159">
        <v>5.4207523470101257E-4</v>
      </c>
      <c r="BY159">
        <v>4.353049423915546E-5</v>
      </c>
    </row>
    <row r="160" spans="1:253" x14ac:dyDescent="0.3">
      <c r="A160" s="4" t="s">
        <v>622</v>
      </c>
      <c r="FD160">
        <v>9.9999999999999995E-21</v>
      </c>
    </row>
    <row r="161" spans="1:173" x14ac:dyDescent="0.3">
      <c r="A161" s="4" t="s">
        <v>623</v>
      </c>
      <c r="FE161">
        <v>9.9999999999999995E-21</v>
      </c>
    </row>
    <row r="162" spans="1:173" x14ac:dyDescent="0.3">
      <c r="A162" s="4" t="s">
        <v>624</v>
      </c>
      <c r="FF162">
        <v>9.9999999999999995E-21</v>
      </c>
    </row>
    <row r="163" spans="1:173" x14ac:dyDescent="0.3">
      <c r="A163" s="4" t="s">
        <v>625</v>
      </c>
      <c r="FG163">
        <v>9.9999999999999995E-21</v>
      </c>
    </row>
    <row r="164" spans="1:173" x14ac:dyDescent="0.3">
      <c r="A164" s="4" t="s">
        <v>626</v>
      </c>
      <c r="P164" s="7"/>
      <c r="FH164">
        <v>9.9999999999999995E-21</v>
      </c>
    </row>
    <row r="165" spans="1:173" x14ac:dyDescent="0.3">
      <c r="A165" s="4" t="s">
        <v>627</v>
      </c>
      <c r="B165">
        <v>1.3134224414825439</v>
      </c>
      <c r="C165">
        <v>112.25028991699219</v>
      </c>
      <c r="D165">
        <v>36.799270629882813</v>
      </c>
      <c r="E165">
        <v>2796.7890625</v>
      </c>
      <c r="F165">
        <v>23.505628134319739</v>
      </c>
      <c r="I165">
        <v>3.2883939743041992</v>
      </c>
      <c r="J165">
        <v>800.92453757243129</v>
      </c>
      <c r="K165">
        <v>220.47698974609375</v>
      </c>
      <c r="L165">
        <v>162.50289323734521</v>
      </c>
      <c r="M165">
        <v>16.308937072753906</v>
      </c>
      <c r="N165">
        <v>394.80755615234375</v>
      </c>
      <c r="O165">
        <v>7.7794008255004883</v>
      </c>
      <c r="P165">
        <v>0.46827336215191107</v>
      </c>
      <c r="Q165">
        <v>8915.2342200294061</v>
      </c>
      <c r="R165">
        <v>19953.97492439023</v>
      </c>
      <c r="S165">
        <v>182.17036437988281</v>
      </c>
      <c r="T165">
        <v>32.072036743164063</v>
      </c>
      <c r="U165">
        <v>42.525489807128906</v>
      </c>
      <c r="V165">
        <v>12.744684034068825</v>
      </c>
      <c r="W165">
        <v>88.819337509375003</v>
      </c>
      <c r="X165">
        <v>1.2123477458953857</v>
      </c>
      <c r="Y165">
        <v>4.0204777717590332</v>
      </c>
      <c r="Z165">
        <v>691.24102783203125</v>
      </c>
      <c r="AA165">
        <v>430.96823120117188</v>
      </c>
      <c r="AB165">
        <v>1.5777921676635742</v>
      </c>
      <c r="AC165">
        <v>19.473109843437065</v>
      </c>
      <c r="AD165">
        <v>230.8411865234375</v>
      </c>
      <c r="AE165">
        <v>54.386150360107422</v>
      </c>
      <c r="AF165">
        <v>41.502033233642578</v>
      </c>
      <c r="AG165">
        <v>983.79361434337795</v>
      </c>
      <c r="AH165">
        <v>79.896903991699219</v>
      </c>
      <c r="AI165">
        <v>18.254003524780273</v>
      </c>
      <c r="AJ165">
        <v>42.659076690673828</v>
      </c>
      <c r="AK165">
        <v>1174.0623779296875</v>
      </c>
      <c r="AL165">
        <v>33.563835144042969</v>
      </c>
      <c r="AM165">
        <v>100.1585693359375</v>
      </c>
      <c r="AN165">
        <v>271.98788452148438</v>
      </c>
      <c r="AO165">
        <v>86.532676696777344</v>
      </c>
      <c r="AP165">
        <v>68.9227294921875</v>
      </c>
      <c r="AQ165">
        <v>125.87092590332031</v>
      </c>
      <c r="AR165">
        <v>111.0816650390625</v>
      </c>
      <c r="AS165">
        <v>35.308979034423828</v>
      </c>
      <c r="AT165">
        <v>34.738872528076172</v>
      </c>
      <c r="AU165">
        <v>250.39887218240756</v>
      </c>
      <c r="AX165">
        <v>138.41987609863281</v>
      </c>
      <c r="BC165">
        <v>24.184259414672852</v>
      </c>
      <c r="BE165">
        <v>0.88776177167892456</v>
      </c>
      <c r="BF165">
        <v>10.913888931274414</v>
      </c>
      <c r="BG165">
        <v>2795.3229497502261</v>
      </c>
      <c r="BH165">
        <v>574.28518857678102</v>
      </c>
      <c r="BI165">
        <v>13431.083703714439</v>
      </c>
      <c r="BJ165">
        <v>13855.600983923714</v>
      </c>
      <c r="BK165">
        <v>1321.2181396484375</v>
      </c>
      <c r="BL165">
        <v>2280.945068359375</v>
      </c>
      <c r="BM165">
        <v>186.58831787109375</v>
      </c>
      <c r="BN165">
        <v>204.21452331542969</v>
      </c>
      <c r="BO165">
        <v>1023.9581909179688</v>
      </c>
      <c r="BP165">
        <v>5818.8939540935571</v>
      </c>
      <c r="BQ165">
        <v>785.09574716382576</v>
      </c>
      <c r="BR165">
        <v>41.703193664550781</v>
      </c>
      <c r="BS165">
        <v>223.91793823242188</v>
      </c>
      <c r="BT165">
        <v>634.11761474609375</v>
      </c>
      <c r="BU165">
        <v>563.47697463377131</v>
      </c>
      <c r="BV165">
        <v>7490.3330078125</v>
      </c>
      <c r="BW165">
        <v>2408.22705078125</v>
      </c>
      <c r="BX165">
        <v>5542.21435546875</v>
      </c>
      <c r="BY165">
        <v>839.39068603515625</v>
      </c>
      <c r="CB165">
        <v>1.3154053473229904E-3</v>
      </c>
    </row>
    <row r="166" spans="1:173" x14ac:dyDescent="0.3">
      <c r="A166" s="4" t="s">
        <v>621</v>
      </c>
      <c r="FJ166">
        <v>9.9999999999999995E-21</v>
      </c>
    </row>
    <row r="167" spans="1:173" x14ac:dyDescent="0.3">
      <c r="A167" s="4" t="s">
        <v>628</v>
      </c>
      <c r="N167">
        <v>51.497810363769531</v>
      </c>
      <c r="O167">
        <v>4.8510756492614746</v>
      </c>
      <c r="P167">
        <v>1.2781185349899566</v>
      </c>
      <c r="Q167">
        <v>4379.4400319081451</v>
      </c>
      <c r="R167">
        <v>9554.2039539991401</v>
      </c>
      <c r="S167">
        <v>51.003940582275391</v>
      </c>
    </row>
    <row r="168" spans="1:173" x14ac:dyDescent="0.3">
      <c r="A168" s="4" t="s">
        <v>994</v>
      </c>
      <c r="J168">
        <v>0.60578664401292814</v>
      </c>
      <c r="L168">
        <v>0.29043638294400198</v>
      </c>
      <c r="M168">
        <v>2.7292468419529686E-2</v>
      </c>
    </row>
    <row r="169" spans="1:173" x14ac:dyDescent="0.3">
      <c r="A169" s="4" t="s">
        <v>995</v>
      </c>
      <c r="BV169" s="7"/>
      <c r="CA169" s="7"/>
      <c r="CJ169" s="7"/>
      <c r="FM169">
        <v>9.9999999999999995E-21</v>
      </c>
    </row>
    <row r="170" spans="1:173" x14ac:dyDescent="0.3">
      <c r="A170" s="4" t="s">
        <v>996</v>
      </c>
      <c r="CL170" s="7"/>
      <c r="FN170">
        <v>9.9999999999999995E-21</v>
      </c>
    </row>
    <row r="171" spans="1:173" x14ac:dyDescent="0.3">
      <c r="A171" s="4" t="s">
        <v>997</v>
      </c>
      <c r="FO171">
        <v>9.9999999999999995E-21</v>
      </c>
    </row>
    <row r="172" spans="1:173" x14ac:dyDescent="0.3">
      <c r="A172" s="4" t="s">
        <v>998</v>
      </c>
      <c r="FP172">
        <v>9.9999999999999995E-21</v>
      </c>
    </row>
    <row r="173" spans="1:173" x14ac:dyDescent="0.3">
      <c r="A173" s="4" t="s">
        <v>999</v>
      </c>
      <c r="FQ173">
        <v>9.9999999999999995E-21</v>
      </c>
    </row>
    <row r="174" spans="1:173" x14ac:dyDescent="0.3">
      <c r="A174" s="4" t="s">
        <v>1000</v>
      </c>
      <c r="B174">
        <v>6.4081017699867734E-4</v>
      </c>
      <c r="C174">
        <v>0.24109343772066569</v>
      </c>
      <c r="D174">
        <v>0.23261951843320874</v>
      </c>
      <c r="E174">
        <v>33.831583306145951</v>
      </c>
      <c r="F174">
        <v>1.2275038205544424E-2</v>
      </c>
      <c r="I174">
        <v>1.2193372557829489E-3</v>
      </c>
      <c r="J174">
        <v>85.279422638845247</v>
      </c>
      <c r="L174">
        <v>17.155384051735656</v>
      </c>
      <c r="M174">
        <v>1.7089387178421021</v>
      </c>
    </row>
    <row r="175" spans="1:173" x14ac:dyDescent="0.3">
      <c r="A175" s="4" t="s">
        <v>1001</v>
      </c>
      <c r="B175">
        <v>8.9135974301486533E-4</v>
      </c>
      <c r="C175">
        <v>0.21139513652814104</v>
      </c>
      <c r="D175">
        <v>0.28772623411361958</v>
      </c>
      <c r="E175">
        <v>0.65921196197905663</v>
      </c>
      <c r="F175">
        <v>9.5009568199135551E-3</v>
      </c>
      <c r="I175">
        <v>1.1916153006789963E-3</v>
      </c>
      <c r="J175">
        <v>18.736584802335294</v>
      </c>
      <c r="L175">
        <v>8.1690666170023807</v>
      </c>
      <c r="M175">
        <v>0.99946065860712618</v>
      </c>
      <c r="ES175" s="7"/>
    </row>
    <row r="176" spans="1:173" x14ac:dyDescent="0.3">
      <c r="A176" s="4" t="s">
        <v>1002</v>
      </c>
      <c r="B176">
        <v>1.7731018421539461E-2</v>
      </c>
      <c r="C176">
        <v>3.8193711541110384</v>
      </c>
      <c r="D176">
        <v>2.880997043247818</v>
      </c>
      <c r="E176">
        <v>14.541089333558448</v>
      </c>
      <c r="F176">
        <v>0.58620165936474322</v>
      </c>
      <c r="I176">
        <v>2.0169813871936306E-2</v>
      </c>
      <c r="J176">
        <v>48.697051712593911</v>
      </c>
      <c r="L176">
        <v>10.658910966428378</v>
      </c>
      <c r="M176">
        <v>1.158952082091609</v>
      </c>
    </row>
    <row r="177" spans="1:192" x14ac:dyDescent="0.3">
      <c r="A177" s="4" t="s">
        <v>1003</v>
      </c>
      <c r="B177">
        <v>4.8818460197275287E-2</v>
      </c>
      <c r="C177">
        <v>14.275581153299497</v>
      </c>
      <c r="D177">
        <v>7.9347207062044935</v>
      </c>
      <c r="E177">
        <v>44.684346072206722</v>
      </c>
      <c r="F177">
        <v>1.8169171516963696</v>
      </c>
      <c r="I177">
        <v>5.5075959720115517E-2</v>
      </c>
      <c r="J177">
        <v>80.016138397407886</v>
      </c>
      <c r="L177">
        <v>15.80475752790343</v>
      </c>
      <c r="M177">
        <v>1.578231996130554</v>
      </c>
    </row>
    <row r="178" spans="1:192" x14ac:dyDescent="0.3">
      <c r="A178" s="4" t="s">
        <v>1004</v>
      </c>
      <c r="B178">
        <v>2.6393581424611783E-2</v>
      </c>
      <c r="C178">
        <v>6.1381380713566962</v>
      </c>
      <c r="D178">
        <v>2.037630172983103</v>
      </c>
      <c r="E178">
        <v>27.079166337042473</v>
      </c>
      <c r="F178">
        <v>4.6555534294058232</v>
      </c>
      <c r="I178">
        <v>2.959343916935871E-2</v>
      </c>
      <c r="J178">
        <v>29.663291468650911</v>
      </c>
      <c r="L178">
        <v>5.7401632682520534</v>
      </c>
      <c r="M178">
        <v>0.43202813625043923</v>
      </c>
    </row>
    <row r="179" spans="1:192" x14ac:dyDescent="0.3">
      <c r="A179" s="4" t="s">
        <v>1005</v>
      </c>
      <c r="FW179">
        <v>9.9999999999999995E-21</v>
      </c>
    </row>
    <row r="180" spans="1:192" x14ac:dyDescent="0.3">
      <c r="A180" s="4" t="s">
        <v>1006</v>
      </c>
      <c r="FX180">
        <v>9.9999999999999995E-21</v>
      </c>
    </row>
    <row r="181" spans="1:192" x14ac:dyDescent="0.3">
      <c r="A181" s="4" t="s">
        <v>1007</v>
      </c>
      <c r="FY181">
        <v>9.9999999999999995E-21</v>
      </c>
    </row>
    <row r="182" spans="1:192" x14ac:dyDescent="0.3">
      <c r="A182" s="4" t="s">
        <v>1008</v>
      </c>
      <c r="FZ182">
        <v>9.9999999999999995E-21</v>
      </c>
    </row>
    <row r="183" spans="1:192" x14ac:dyDescent="0.3">
      <c r="A183" s="4" t="s">
        <v>1009</v>
      </c>
      <c r="GA183">
        <v>9.9999999999999995E-21</v>
      </c>
    </row>
    <row r="184" spans="1:192" x14ac:dyDescent="0.3">
      <c r="A184" s="4" t="s">
        <v>1010</v>
      </c>
      <c r="GB184">
        <v>9.9999999999999995E-21</v>
      </c>
    </row>
    <row r="185" spans="1:192" x14ac:dyDescent="0.3">
      <c r="A185" s="4" t="s">
        <v>1011</v>
      </c>
      <c r="GC185">
        <v>9.9999999999999995E-21</v>
      </c>
    </row>
    <row r="186" spans="1:192" x14ac:dyDescent="0.3">
      <c r="A186" s="4" t="s">
        <v>1206</v>
      </c>
      <c r="B186">
        <v>0.3822073321372203</v>
      </c>
      <c r="C186">
        <v>16.209087465720607</v>
      </c>
      <c r="D186">
        <v>6.3812396558607948E-3</v>
      </c>
      <c r="E186">
        <v>896.47317017895057</v>
      </c>
      <c r="F186">
        <v>1.5010122885229573</v>
      </c>
      <c r="I186">
        <v>1.0862082087551617</v>
      </c>
    </row>
    <row r="187" spans="1:192" x14ac:dyDescent="0.3">
      <c r="A187" s="4" t="s">
        <v>1676</v>
      </c>
      <c r="B187">
        <v>7.6357240873489551E-2</v>
      </c>
      <c r="C187">
        <v>6.4573637466047629</v>
      </c>
      <c r="D187">
        <v>2.1476885752512258</v>
      </c>
      <c r="E187">
        <v>145.06459345721015</v>
      </c>
      <c r="F187">
        <v>1.2997112583848502</v>
      </c>
      <c r="I187">
        <v>0.17813931514340101</v>
      </c>
      <c r="J187">
        <v>43.451181337890318</v>
      </c>
      <c r="K187">
        <v>12.256001153848992</v>
      </c>
      <c r="L187">
        <v>9.0021736675132651</v>
      </c>
      <c r="M187">
        <v>0.89227141918051567</v>
      </c>
      <c r="N187">
        <v>1.8534318903466431</v>
      </c>
      <c r="O187">
        <v>0.11781495785368841</v>
      </c>
      <c r="P187">
        <v>4.8578211498494984E-2</v>
      </c>
      <c r="Q187">
        <v>172.18355134735367</v>
      </c>
      <c r="R187">
        <v>326.45459369299601</v>
      </c>
      <c r="S187">
        <v>43.924109920488206</v>
      </c>
      <c r="T187">
        <v>0.80395596540668246</v>
      </c>
      <c r="U187">
        <v>1.1034531660173716</v>
      </c>
      <c r="V187">
        <v>0.5416866742078289</v>
      </c>
      <c r="W187">
        <v>3.4681000921242164</v>
      </c>
      <c r="X187">
        <v>1.4369756018341338E-2</v>
      </c>
      <c r="Y187">
        <v>8.6412287335473181E-2</v>
      </c>
      <c r="Z187">
        <v>23.498560193117836</v>
      </c>
      <c r="AA187">
        <v>8.670818730181459</v>
      </c>
      <c r="AB187">
        <v>0.25446167419945509</v>
      </c>
      <c r="AC187">
        <v>2.3520422771089389</v>
      </c>
      <c r="AD187">
        <v>20.90217019976609</v>
      </c>
      <c r="AE187">
        <v>12.469603923468384</v>
      </c>
      <c r="AF187">
        <v>7.4993562672880634</v>
      </c>
      <c r="AG187">
        <v>49.836514990502153</v>
      </c>
      <c r="AH187">
        <v>5.3157856768463994</v>
      </c>
      <c r="AI187">
        <v>0.72413808875206886</v>
      </c>
      <c r="AJ187">
        <v>7.5700092683846254</v>
      </c>
      <c r="AK187">
        <v>111.57383439516627</v>
      </c>
      <c r="AL187">
        <v>2.1852621659497107</v>
      </c>
      <c r="AM187">
        <v>8.7094276385744092</v>
      </c>
      <c r="AN187">
        <v>71.0647753410218</v>
      </c>
      <c r="AO187">
        <v>1.3141857745249672</v>
      </c>
      <c r="AP187">
        <v>1.6366589189763032</v>
      </c>
      <c r="AQ187">
        <v>3.0672105743743532</v>
      </c>
      <c r="AR187">
        <v>2.9700776770941277</v>
      </c>
      <c r="AS187">
        <v>1.1139405654755219</v>
      </c>
      <c r="AT187">
        <v>1.1812013871757838</v>
      </c>
      <c r="AU187">
        <v>41.385337340608032</v>
      </c>
      <c r="AX187">
        <v>18.866416181103702</v>
      </c>
      <c r="BC187">
        <v>3.8089579079764762</v>
      </c>
      <c r="BE187">
        <v>0.34468365879879426</v>
      </c>
      <c r="BF187">
        <v>0.40366814484207425</v>
      </c>
      <c r="BG187">
        <v>505.12482766456384</v>
      </c>
      <c r="BH187">
        <v>206.50885592777314</v>
      </c>
      <c r="BI187">
        <v>856.37657776961794</v>
      </c>
      <c r="BJ187">
        <v>741.58132708937126</v>
      </c>
      <c r="BK187">
        <v>200.59842794324098</v>
      </c>
      <c r="BL187">
        <v>229.49086383829999</v>
      </c>
      <c r="BM187">
        <v>8.9248509996056224</v>
      </c>
      <c r="BN187">
        <v>8.4738026763490026</v>
      </c>
      <c r="BO187">
        <v>51.512829109724514</v>
      </c>
      <c r="BP187">
        <v>283.06231083138459</v>
      </c>
      <c r="BQ187">
        <v>119.48506183818847</v>
      </c>
      <c r="BR187">
        <v>9.7472822317983265</v>
      </c>
      <c r="BS187">
        <v>18.969157482761812</v>
      </c>
      <c r="BT187">
        <v>256.26320855403435</v>
      </c>
      <c r="BU187">
        <v>8.839172173731118</v>
      </c>
      <c r="BV187">
        <v>705.85709835073681</v>
      </c>
      <c r="BW187">
        <v>551.03392820517161</v>
      </c>
      <c r="BX187">
        <v>849.96935991045098</v>
      </c>
      <c r="BY187">
        <v>0.38314859230906095</v>
      </c>
      <c r="CB187">
        <v>3.2882797808017806E-4</v>
      </c>
    </row>
    <row r="188" spans="1:192" x14ac:dyDescent="0.3">
      <c r="A188" s="4" t="s">
        <v>1677</v>
      </c>
      <c r="B188">
        <v>1.2171076758664075E-2</v>
      </c>
      <c r="C188">
        <v>1.1085326154615063</v>
      </c>
      <c r="D188">
        <v>0.33265754564272937</v>
      </c>
      <c r="E188">
        <v>43.444677210819613</v>
      </c>
      <c r="F188">
        <v>0.28473652410182715</v>
      </c>
      <c r="I188">
        <v>4.3506112258707902E-2</v>
      </c>
      <c r="J188">
        <v>10.374540522041624</v>
      </c>
      <c r="K188">
        <v>2.6045966354385746</v>
      </c>
      <c r="L188">
        <v>1.9414545542369934</v>
      </c>
      <c r="M188">
        <v>0.20698490819525397</v>
      </c>
      <c r="N188">
        <v>0.30294982101714907</v>
      </c>
      <c r="O188">
        <v>2.0958149116204569E-2</v>
      </c>
      <c r="P188">
        <v>1.6282102004992395E-2</v>
      </c>
      <c r="Q188">
        <v>57.867168211838973</v>
      </c>
      <c r="R188">
        <v>74.842909301541312</v>
      </c>
      <c r="S188">
        <v>5.7326077971593472</v>
      </c>
      <c r="T188">
        <v>0.31681546130082361</v>
      </c>
      <c r="U188">
        <v>0.42873171793476922</v>
      </c>
      <c r="V188">
        <v>0.17881938107273723</v>
      </c>
      <c r="W188">
        <v>1.463764914561041</v>
      </c>
      <c r="X188">
        <v>5.9488310594402192E-3</v>
      </c>
      <c r="Y188">
        <v>3.4671653975170962E-2</v>
      </c>
      <c r="Z188">
        <v>8.8199592799580309</v>
      </c>
      <c r="AA188">
        <v>2.3391932706177201</v>
      </c>
      <c r="AB188">
        <v>0.15478994865620818</v>
      </c>
      <c r="AC188">
        <v>2.0872801498062303</v>
      </c>
      <c r="AD188">
        <v>10.659092646226945</v>
      </c>
      <c r="AE188">
        <v>2.660734566540925</v>
      </c>
      <c r="AF188">
        <v>3.5495028521272203</v>
      </c>
      <c r="AG188">
        <v>14.120412785834521</v>
      </c>
      <c r="AH188">
        <v>1.8573210233355628</v>
      </c>
      <c r="AI188">
        <v>0.24824839062567766</v>
      </c>
      <c r="AJ188">
        <v>2.8312510479872914</v>
      </c>
      <c r="AK188">
        <v>31.51117899442113</v>
      </c>
      <c r="AL188">
        <v>0.38303709776603312</v>
      </c>
      <c r="AM188">
        <v>2.5244411093751893</v>
      </c>
      <c r="AN188">
        <v>15.965096122753838</v>
      </c>
      <c r="AO188">
        <v>0.61775422225399779</v>
      </c>
      <c r="AP188">
        <v>0.35740390706110392</v>
      </c>
      <c r="AQ188">
        <v>0.87586463548168036</v>
      </c>
      <c r="AR188">
        <v>0.64530348924479286</v>
      </c>
      <c r="AS188">
        <v>0.34594404827684322</v>
      </c>
      <c r="AT188">
        <v>0.39470844717933207</v>
      </c>
      <c r="AU188">
        <v>26.044071924910174</v>
      </c>
      <c r="AX188">
        <v>11.8727629532652</v>
      </c>
      <c r="BC188">
        <v>2.3970029022080039</v>
      </c>
      <c r="BE188">
        <v>0.21691175130977214</v>
      </c>
      <c r="BF188">
        <v>0.25403108621628506</v>
      </c>
      <c r="BG188">
        <v>107.16086645775067</v>
      </c>
      <c r="BH188">
        <v>42.263961683921202</v>
      </c>
      <c r="BI188">
        <v>119.99378689636724</v>
      </c>
      <c r="BJ188">
        <v>264.20735918611103</v>
      </c>
      <c r="BK188">
        <v>112.2215474328882</v>
      </c>
      <c r="BL188">
        <v>62.575534543886917</v>
      </c>
      <c r="BM188">
        <v>3.4032382525086735</v>
      </c>
      <c r="BN188">
        <v>4.1954908017822916</v>
      </c>
      <c r="BO188">
        <v>15.682243869010463</v>
      </c>
      <c r="BP188">
        <v>128.82677469985012</v>
      </c>
      <c r="BQ188">
        <v>78.594541357001972</v>
      </c>
      <c r="BR188">
        <v>5.6990731706713049</v>
      </c>
      <c r="BS188">
        <v>7.6585283472352508</v>
      </c>
      <c r="BT188">
        <v>96.033747150654648</v>
      </c>
      <c r="BU188">
        <v>7.3564744997098144</v>
      </c>
      <c r="BV188">
        <v>407.49282409765988</v>
      </c>
      <c r="BW188">
        <v>626.14932126840006</v>
      </c>
      <c r="BX188">
        <v>1055.4985432267558</v>
      </c>
      <c r="BY188">
        <v>0.10118821188205529</v>
      </c>
      <c r="CB188">
        <v>3.2882797812167232E-4</v>
      </c>
    </row>
    <row r="189" spans="1:192" x14ac:dyDescent="0.3">
      <c r="A189" s="4" t="s">
        <v>1678</v>
      </c>
      <c r="B189">
        <v>2.1126262263820785</v>
      </c>
      <c r="C189">
        <v>179.08684280596771</v>
      </c>
      <c r="D189">
        <v>58.949471824179348</v>
      </c>
      <c r="E189">
        <v>4317.6087463568356</v>
      </c>
      <c r="F189">
        <v>37.24610308258324</v>
      </c>
      <c r="I189">
        <v>5.0936579294845856</v>
      </c>
      <c r="J189">
        <v>1238.8479481939282</v>
      </c>
      <c r="K189">
        <v>342.7003690404859</v>
      </c>
      <c r="L189">
        <v>254.83065226887678</v>
      </c>
      <c r="M189">
        <v>25.363562399166163</v>
      </c>
      <c r="N189">
        <v>51.169259802058853</v>
      </c>
      <c r="O189">
        <v>0.81449445551334576</v>
      </c>
      <c r="P189">
        <v>8.828730675966838E-2</v>
      </c>
      <c r="Q189">
        <v>311.80653637500211</v>
      </c>
      <c r="R189">
        <v>561.75499186668776</v>
      </c>
      <c r="S189">
        <v>71.319969060282446</v>
      </c>
      <c r="T189">
        <v>4.350115329531115</v>
      </c>
      <c r="U189">
        <v>5.9356808243080161</v>
      </c>
      <c r="V189">
        <v>2.8678571727906998</v>
      </c>
      <c r="W189">
        <v>19.016743301980231</v>
      </c>
      <c r="X189">
        <v>7.8684160699596453E-2</v>
      </c>
      <c r="Y189">
        <v>0.47198762013334811</v>
      </c>
      <c r="Z189">
        <v>123.88398082043177</v>
      </c>
      <c r="AA189">
        <v>43.791500833347129</v>
      </c>
      <c r="AB189">
        <v>1.4284758239118278</v>
      </c>
      <c r="AC189">
        <v>14.605994381890641</v>
      </c>
      <c r="AD189">
        <v>120.08073594175215</v>
      </c>
      <c r="AE189">
        <v>62.463846497016135</v>
      </c>
      <c r="AF189">
        <v>41.122863896870882</v>
      </c>
      <c r="AG189">
        <v>255.15423387040821</v>
      </c>
      <c r="AH189">
        <v>28.02541355505101</v>
      </c>
      <c r="AI189">
        <v>3.7852576162845315</v>
      </c>
      <c r="AJ189">
        <v>41.323187578702125</v>
      </c>
      <c r="AK189">
        <v>564.58913915063692</v>
      </c>
      <c r="AL189">
        <v>10.425474177285302</v>
      </c>
      <c r="AM189">
        <v>45.007882621926008</v>
      </c>
      <c r="AN189">
        <v>361.97628541666461</v>
      </c>
      <c r="AO189">
        <v>7.0350599811462171</v>
      </c>
      <c r="AP189">
        <v>8.1633187469226201</v>
      </c>
      <c r="AQ189">
        <v>15.989759145972249</v>
      </c>
      <c r="AR189">
        <v>14.410113400991502</v>
      </c>
      <c r="AS189">
        <v>5.8218036717198878</v>
      </c>
      <c r="AT189">
        <v>6.3199671945634561</v>
      </c>
      <c r="AU189">
        <v>64.716464703591768</v>
      </c>
      <c r="AX189">
        <v>50.962932539475155</v>
      </c>
      <c r="BC189">
        <v>7.7559062189471568</v>
      </c>
      <c r="BE189">
        <v>0.70185449673085942</v>
      </c>
      <c r="BF189">
        <v>1.1211717699550898</v>
      </c>
      <c r="BG189">
        <v>776.42901301585448</v>
      </c>
      <c r="BH189">
        <v>315.61187717299913</v>
      </c>
      <c r="BI189">
        <v>7733.2069270566308</v>
      </c>
      <c r="BJ189">
        <v>742.59036462276231</v>
      </c>
      <c r="BK189">
        <v>126.75063295884641</v>
      </c>
      <c r="BL189">
        <v>435.11301873712682</v>
      </c>
      <c r="BM189">
        <v>18.308509141972827</v>
      </c>
      <c r="BN189">
        <v>17.845844278559518</v>
      </c>
      <c r="BO189">
        <v>99.780744531275303</v>
      </c>
      <c r="BP189">
        <v>589.89892935421858</v>
      </c>
      <c r="BQ189">
        <v>23.728839723837218</v>
      </c>
      <c r="BR189">
        <v>1.8996890357063361</v>
      </c>
      <c r="BS189">
        <v>5.8082973497424586</v>
      </c>
      <c r="BT189">
        <v>76.246819110024475</v>
      </c>
      <c r="BU189">
        <v>54.941762596588106</v>
      </c>
      <c r="BV189">
        <v>659.28506604246365</v>
      </c>
      <c r="BW189">
        <v>285.1502583253465</v>
      </c>
      <c r="BX189">
        <v>960.02438266612694</v>
      </c>
      <c r="BY189">
        <v>0.16209571519956295</v>
      </c>
      <c r="CB189">
        <v>3.2882797803651751E-4</v>
      </c>
    </row>
    <row r="190" spans="1:192" x14ac:dyDescent="0.3">
      <c r="A190" s="4" t="s">
        <v>1679</v>
      </c>
      <c r="B190">
        <v>0.13886301787697627</v>
      </c>
      <c r="C190">
        <v>13.293075977935425</v>
      </c>
      <c r="D190">
        <v>4.1188747134702917</v>
      </c>
      <c r="E190">
        <v>475.66321008695149</v>
      </c>
      <c r="F190">
        <v>3.0420161254844182</v>
      </c>
      <c r="I190">
        <v>0.54214938121210654</v>
      </c>
      <c r="J190">
        <v>135.38153744220958</v>
      </c>
      <c r="K190">
        <v>35.243904496015112</v>
      </c>
      <c r="L190">
        <v>23.77503283211859</v>
      </c>
      <c r="M190">
        <v>2.587480198947254</v>
      </c>
      <c r="N190">
        <v>3.6615609521115622</v>
      </c>
      <c r="O190">
        <v>5.6425048689556521E-2</v>
      </c>
      <c r="P190">
        <v>7.6069220497320157E-3</v>
      </c>
      <c r="Q190">
        <v>28.320217730089006</v>
      </c>
      <c r="R190">
        <v>31.557846210857399</v>
      </c>
      <c r="S190">
        <v>2.0967889405682363</v>
      </c>
      <c r="T190">
        <v>0.5471615525511091</v>
      </c>
      <c r="U190">
        <v>0.75929456672229512</v>
      </c>
      <c r="V190">
        <v>0.28043497942036999</v>
      </c>
      <c r="W190">
        <v>2.5333465639426951</v>
      </c>
      <c r="X190">
        <v>1.0094829854095528E-2</v>
      </c>
      <c r="Y190">
        <v>5.7091967996768363E-2</v>
      </c>
      <c r="Z190">
        <v>17.333809187159492</v>
      </c>
      <c r="AA190">
        <v>4.3174336585256476</v>
      </c>
      <c r="AB190">
        <v>0.35977037557681213</v>
      </c>
      <c r="AC190">
        <v>4.7920622330218503</v>
      </c>
      <c r="AD190">
        <v>17.828186492101</v>
      </c>
      <c r="AE190">
        <v>3.6491160469482544</v>
      </c>
      <c r="AF190">
        <v>7.1558304943797273</v>
      </c>
      <c r="AG190">
        <v>24.309567990401149</v>
      </c>
      <c r="AH190">
        <v>3.317919957493618</v>
      </c>
      <c r="AI190">
        <v>0.46364115810092088</v>
      </c>
      <c r="AJ190">
        <v>4.125779341673697</v>
      </c>
      <c r="AK190">
        <v>60.629836870176021</v>
      </c>
      <c r="AL190">
        <v>0.79686929734123957</v>
      </c>
      <c r="AM190">
        <v>4.0792118340313985</v>
      </c>
      <c r="AN190">
        <v>18.306222002921551</v>
      </c>
      <c r="AO190">
        <v>1.406668141386151</v>
      </c>
      <c r="AP190">
        <v>0.5498604092615762</v>
      </c>
      <c r="AQ190">
        <v>1.2397479128866218</v>
      </c>
      <c r="AR190">
        <v>1.3875192187470748</v>
      </c>
      <c r="AS190">
        <v>0.55724911629929197</v>
      </c>
      <c r="AT190">
        <v>0.56606426545351007</v>
      </c>
      <c r="AU190">
        <v>7.5939698762574652</v>
      </c>
      <c r="AX190">
        <v>5.9801006789086317</v>
      </c>
      <c r="BC190">
        <v>0.91009480291487233</v>
      </c>
      <c r="BE190">
        <v>8.2357123957578937E-2</v>
      </c>
      <c r="BF190">
        <v>0.13156071930296095</v>
      </c>
      <c r="BG190">
        <v>35.280150649917012</v>
      </c>
      <c r="BH190">
        <v>14.187040597386561</v>
      </c>
      <c r="BI190">
        <v>166.56777263132741</v>
      </c>
      <c r="BJ190">
        <v>92.07734615833499</v>
      </c>
      <c r="BK190">
        <v>40.30778388456789</v>
      </c>
      <c r="BL190">
        <v>14.646155371378461</v>
      </c>
      <c r="BM190">
        <v>0.67576812131090458</v>
      </c>
      <c r="BN190">
        <v>1.6638603857900385</v>
      </c>
      <c r="BO190">
        <v>3.6943443928942457</v>
      </c>
      <c r="BP190">
        <v>44.37769127223104</v>
      </c>
      <c r="BQ190">
        <v>4.52655521177069</v>
      </c>
      <c r="BR190">
        <v>0.30368219108123096</v>
      </c>
      <c r="BS190">
        <v>0.55382689959664544</v>
      </c>
      <c r="BT190">
        <v>7.9271049784536149</v>
      </c>
      <c r="BU190">
        <v>23.383616447229407</v>
      </c>
      <c r="BV190">
        <v>69.970602865894023</v>
      </c>
      <c r="BW190">
        <v>74.431871153108077</v>
      </c>
      <c r="BX190">
        <v>349.82209102772072</v>
      </c>
      <c r="BY190">
        <v>1.6992359106928808E-2</v>
      </c>
      <c r="CB190">
        <v>3.2882797804973529E-4</v>
      </c>
    </row>
    <row r="191" spans="1:192" x14ac:dyDescent="0.3">
      <c r="A191" s="4" t="s">
        <v>1372</v>
      </c>
      <c r="GI191">
        <v>9.9999999999999995E-21</v>
      </c>
    </row>
    <row r="192" spans="1:192" x14ac:dyDescent="0.3">
      <c r="A192" s="4" t="s">
        <v>1377</v>
      </c>
      <c r="GJ192">
        <v>9.9999999999999995E-21</v>
      </c>
    </row>
    <row r="193" spans="1:207" x14ac:dyDescent="0.3">
      <c r="A193" s="4" t="s">
        <v>1373</v>
      </c>
      <c r="GK193">
        <v>9.9999999999999995E-21</v>
      </c>
    </row>
    <row r="194" spans="1:207" x14ac:dyDescent="0.3">
      <c r="A194" s="4" t="s">
        <v>1389</v>
      </c>
      <c r="GL194">
        <v>9.9999999999999995E-21</v>
      </c>
    </row>
    <row r="195" spans="1:207" x14ac:dyDescent="0.3">
      <c r="A195" s="4" t="s">
        <v>1374</v>
      </c>
      <c r="GM195">
        <v>9.9999999999999995E-21</v>
      </c>
    </row>
    <row r="196" spans="1:207" x14ac:dyDescent="0.3">
      <c r="A196" s="4" t="s">
        <v>1378</v>
      </c>
      <c r="GN196">
        <v>9.9999999999999995E-21</v>
      </c>
    </row>
    <row r="197" spans="1:207" x14ac:dyDescent="0.3">
      <c r="A197" s="4" t="s">
        <v>1375</v>
      </c>
      <c r="GO197">
        <v>9.9999999999999995E-21</v>
      </c>
    </row>
    <row r="198" spans="1:207" x14ac:dyDescent="0.3">
      <c r="A198" s="4" t="s">
        <v>1379</v>
      </c>
      <c r="GP198">
        <v>9.9999999999999995E-21</v>
      </c>
    </row>
    <row r="199" spans="1:207" x14ac:dyDescent="0.3">
      <c r="A199" s="4" t="s">
        <v>1376</v>
      </c>
      <c r="GQ199">
        <v>9.9999999999999995E-21</v>
      </c>
    </row>
    <row r="200" spans="1:207" x14ac:dyDescent="0.3">
      <c r="A200" s="4" t="s">
        <v>1393</v>
      </c>
      <c r="GR200">
        <v>9.9999999999999995E-21</v>
      </c>
    </row>
    <row r="201" spans="1:207" x14ac:dyDescent="0.3">
      <c r="A201" s="4" t="s">
        <v>961</v>
      </c>
      <c r="GS201">
        <v>9.9999999999999995E-21</v>
      </c>
    </row>
    <row r="202" spans="1:207" x14ac:dyDescent="0.3">
      <c r="A202" s="4" t="s">
        <v>962</v>
      </c>
      <c r="GT202">
        <v>9.9999999999999995E-21</v>
      </c>
    </row>
    <row r="203" spans="1:207" x14ac:dyDescent="0.3">
      <c r="A203" s="4" t="s">
        <v>963</v>
      </c>
      <c r="GU203">
        <v>9.9999999999999995E-21</v>
      </c>
    </row>
    <row r="204" spans="1:207" x14ac:dyDescent="0.3">
      <c r="A204" s="4" t="s">
        <v>964</v>
      </c>
      <c r="GV204">
        <v>9.9999999999999995E-21</v>
      </c>
    </row>
    <row r="205" spans="1:207" x14ac:dyDescent="0.3">
      <c r="A205" s="4" t="s">
        <v>965</v>
      </c>
      <c r="GW205">
        <v>9.9999999999999995E-21</v>
      </c>
    </row>
    <row r="206" spans="1:207" x14ac:dyDescent="0.3">
      <c r="A206" s="4" t="s">
        <v>966</v>
      </c>
      <c r="B206">
        <v>1.508319746790221E-5</v>
      </c>
      <c r="C206">
        <v>1.2890698853880167E-3</v>
      </c>
      <c r="D206">
        <v>4.2259873589500785E-4</v>
      </c>
      <c r="E206">
        <v>3.2118014991283417E-2</v>
      </c>
      <c r="F206">
        <v>2.6995645021088421E-4</v>
      </c>
      <c r="I206">
        <v>3.7763551517855376E-5</v>
      </c>
      <c r="J206">
        <v>9.1707706451416016E-3</v>
      </c>
      <c r="K206">
        <v>2.2396745625883341E-3</v>
      </c>
      <c r="L206">
        <v>1.8645637901499867E-3</v>
      </c>
      <c r="M206">
        <v>1.8729004659689963E-4</v>
      </c>
      <c r="N206">
        <v>4.5166015625E-3</v>
      </c>
      <c r="O206">
        <v>8.869171142578125E-5</v>
      </c>
      <c r="P206">
        <v>5.3346157138238432E-6</v>
      </c>
      <c r="Q206">
        <v>0.1015625</v>
      </c>
      <c r="R206">
        <v>0.228515625</v>
      </c>
      <c r="S206">
        <v>2.0751953125E-3</v>
      </c>
      <c r="T206">
        <v>3.662109375E-4</v>
      </c>
      <c r="U206">
        <v>4.84466552734375E-4</v>
      </c>
      <c r="V206">
        <v>1.4591217041015625E-4</v>
      </c>
      <c r="W206">
        <v>1.0223388671875E-3</v>
      </c>
      <c r="X206">
        <v>1.3828277587890625E-5</v>
      </c>
      <c r="Y206">
        <v>4.57763671875E-5</v>
      </c>
      <c r="Z206">
        <v>7.87353515625E-3</v>
      </c>
      <c r="AA206">
        <v>4.913330078125E-3</v>
      </c>
      <c r="AB206">
        <v>1.8000602722167969E-5</v>
      </c>
      <c r="AC206">
        <v>2.231597900390625E-4</v>
      </c>
      <c r="AD206">
        <v>2.6397705078125E-3</v>
      </c>
      <c r="AE206">
        <v>6.21795654296875E-4</v>
      </c>
      <c r="AF206">
        <v>4.730224609375E-4</v>
      </c>
      <c r="AG206">
        <v>1.123046875E-2</v>
      </c>
      <c r="AH206">
        <v>9.1552734375E-4</v>
      </c>
      <c r="AI206">
        <v>2.079010009765625E-4</v>
      </c>
      <c r="AJ206">
        <v>4.8828125E-4</v>
      </c>
      <c r="AK206">
        <v>1.3427734375E-2</v>
      </c>
      <c r="AL206">
        <v>3.814697265625E-4</v>
      </c>
      <c r="AM206">
        <v>1.1444091796875E-3</v>
      </c>
      <c r="AN206">
        <v>3.11279296875E-3</v>
      </c>
      <c r="AO206">
        <v>9.8419189453125E-4</v>
      </c>
      <c r="AP206">
        <v>7.8582763671875E-4</v>
      </c>
      <c r="AQ206">
        <v>1.434326171875E-3</v>
      </c>
      <c r="AR206">
        <v>1.2664794921875E-3</v>
      </c>
      <c r="AS206">
        <v>4.0435791015625E-4</v>
      </c>
      <c r="AT206">
        <v>3.96728515625E-4</v>
      </c>
      <c r="AU206">
        <v>2.8533935546875E-3</v>
      </c>
      <c r="AX206">
        <v>1.5716552734375E-3</v>
      </c>
      <c r="BC206">
        <v>2.74658203125E-4</v>
      </c>
      <c r="BE206">
        <v>1.0132789611816406E-5</v>
      </c>
      <c r="BF206">
        <v>1.239776611328125E-4</v>
      </c>
      <c r="BG206">
        <v>3.1982421875E-2</v>
      </c>
      <c r="BH206">
        <v>6.53076171875E-3</v>
      </c>
      <c r="BI206">
        <v>0.1533203125</v>
      </c>
      <c r="BJ206">
        <v>0.158203125</v>
      </c>
      <c r="BK206">
        <v>1.513671875E-2</v>
      </c>
      <c r="BL206">
        <v>2.6123046875E-2</v>
      </c>
      <c r="BM206">
        <v>2.13623046875E-3</v>
      </c>
      <c r="BN206">
        <v>2.3345947265625E-3</v>
      </c>
      <c r="BO206">
        <v>1.165771484375E-2</v>
      </c>
      <c r="BP206">
        <v>6.640625E-2</v>
      </c>
      <c r="BQ206">
        <v>8.97216796875E-3</v>
      </c>
      <c r="BR206">
        <v>4.76837158203125E-4</v>
      </c>
      <c r="BS206">
        <v>2.5482177734375E-3</v>
      </c>
      <c r="BT206">
        <v>7.26318359375E-3</v>
      </c>
      <c r="BU206">
        <v>6.40869140625E-3</v>
      </c>
      <c r="BV206">
        <v>8.544921875E-2</v>
      </c>
      <c r="BW206">
        <v>2.7587890625E-2</v>
      </c>
      <c r="BX206">
        <v>6.34765625E-2</v>
      </c>
      <c r="BY206">
        <v>9.58251953125E-3</v>
      </c>
    </row>
    <row r="207" spans="1:207" x14ac:dyDescent="0.3">
      <c r="A207" s="4" t="s">
        <v>967</v>
      </c>
      <c r="GY207">
        <v>9.9999999999999995E-21</v>
      </c>
    </row>
    <row r="208" spans="1:207" x14ac:dyDescent="0.3">
      <c r="A208" s="4" t="s">
        <v>968</v>
      </c>
      <c r="N208">
        <v>5.8746337890625E-4</v>
      </c>
      <c r="O208">
        <v>5.53131103515625E-5</v>
      </c>
      <c r="P208">
        <v>1.4543533363887681E-5</v>
      </c>
      <c r="Q208">
        <v>4.98046875E-2</v>
      </c>
      <c r="R208">
        <v>0.109375</v>
      </c>
      <c r="S208">
        <v>5.83648681640625E-4</v>
      </c>
    </row>
    <row r="209" spans="1:224" x14ac:dyDescent="0.3">
      <c r="A209" s="4" t="s">
        <v>1120</v>
      </c>
      <c r="J209">
        <v>6.4443955110002067E-6</v>
      </c>
      <c r="L209">
        <v>2.9368865244587501E-6</v>
      </c>
      <c r="M209">
        <v>9.9999999999999995E-7</v>
      </c>
    </row>
    <row r="210" spans="1:224" x14ac:dyDescent="0.3">
      <c r="A210" s="4" t="s">
        <v>1030</v>
      </c>
      <c r="HB210">
        <v>9.9999999999999995E-21</v>
      </c>
    </row>
    <row r="211" spans="1:224" x14ac:dyDescent="0.3">
      <c r="A211" s="4" t="s">
        <v>1031</v>
      </c>
      <c r="HC211">
        <v>9.9999999999999995E-21</v>
      </c>
    </row>
    <row r="212" spans="1:224" x14ac:dyDescent="0.3">
      <c r="A212" s="4" t="s">
        <v>1032</v>
      </c>
      <c r="HD212">
        <v>9.9999999999999995E-21</v>
      </c>
    </row>
    <row r="213" spans="1:224" x14ac:dyDescent="0.3">
      <c r="A213" s="4" t="s">
        <v>1033</v>
      </c>
      <c r="HE213">
        <v>9.9999999999999995E-21</v>
      </c>
    </row>
    <row r="214" spans="1:224" x14ac:dyDescent="0.3">
      <c r="A214" s="4" t="s">
        <v>1034</v>
      </c>
      <c r="HF214">
        <v>9.9999999999999995E-21</v>
      </c>
    </row>
    <row r="215" spans="1:224" x14ac:dyDescent="0.3">
      <c r="A215" s="4" t="s">
        <v>1035</v>
      </c>
      <c r="B215">
        <v>9.9999999999999995E-7</v>
      </c>
      <c r="C215">
        <v>2.6225529691508829E-6</v>
      </c>
      <c r="D215">
        <v>2.5303726920680853E-6</v>
      </c>
      <c r="E215">
        <v>3.678917522127499E-4</v>
      </c>
      <c r="F215">
        <v>9.9999999999999995E-7</v>
      </c>
      <c r="I215">
        <v>9.9999999999999995E-7</v>
      </c>
      <c r="J215">
        <v>9.2667513243236701E-4</v>
      </c>
      <c r="L215">
        <v>1.8656049752551959E-4</v>
      </c>
      <c r="M215">
        <v>1.8593354822608862E-5</v>
      </c>
    </row>
    <row r="216" spans="1:224" x14ac:dyDescent="0.3">
      <c r="A216" s="4" t="s">
        <v>1036</v>
      </c>
      <c r="B216">
        <v>9.9999999999999995E-7</v>
      </c>
      <c r="C216">
        <v>2.2926568373592153E-6</v>
      </c>
      <c r="D216">
        <v>3.1209101618543335E-6</v>
      </c>
      <c r="E216">
        <v>7.1517302217651222E-6</v>
      </c>
      <c r="F216">
        <v>9.9999999999999995E-7</v>
      </c>
      <c r="I216">
        <v>9.9999999999999995E-7</v>
      </c>
      <c r="J216">
        <v>2.0197487130837707E-4</v>
      </c>
      <c r="L216">
        <v>8.8585540085561919E-5</v>
      </c>
      <c r="M216">
        <v>1.0843351119086901E-5</v>
      </c>
    </row>
    <row r="217" spans="1:224" x14ac:dyDescent="0.3">
      <c r="A217" s="4" t="s">
        <v>1037</v>
      </c>
      <c r="B217">
        <v>9.9999999999999995E-7</v>
      </c>
      <c r="C217">
        <v>4.1528881253017845E-5</v>
      </c>
      <c r="D217">
        <v>3.1325912950410138E-5</v>
      </c>
      <c r="E217">
        <v>1.5808990326736028E-4</v>
      </c>
      <c r="F217">
        <v>6.3739959097806999E-6</v>
      </c>
      <c r="I217">
        <v>9.9999999999999995E-7</v>
      </c>
      <c r="J217">
        <v>5.2907948769488167E-4</v>
      </c>
      <c r="L217">
        <v>1.1588142698931623E-4</v>
      </c>
      <c r="M217">
        <v>1.2601641160699928E-5</v>
      </c>
    </row>
    <row r="218" spans="1:224" x14ac:dyDescent="0.3">
      <c r="A218" s="4" t="s">
        <v>1038</v>
      </c>
      <c r="B218">
        <v>9.9999999999999995E-7</v>
      </c>
      <c r="C218">
        <v>1.5528519533901687E-4</v>
      </c>
      <c r="D218">
        <v>8.6311726409501812E-5</v>
      </c>
      <c r="E218">
        <v>4.8602991407439443E-4</v>
      </c>
      <c r="F218">
        <v>1.9764424566054635E-5</v>
      </c>
      <c r="I218">
        <v>9.9999999999999995E-7</v>
      </c>
      <c r="J218">
        <v>8.7003746926770352E-4</v>
      </c>
      <c r="L218">
        <v>1.7190369124739336E-4</v>
      </c>
      <c r="M218">
        <v>1.716766137054748E-5</v>
      </c>
    </row>
    <row r="219" spans="1:224" x14ac:dyDescent="0.3">
      <c r="A219" s="4" t="s">
        <v>1039</v>
      </c>
      <c r="B219">
        <v>9.9999999999999995E-7</v>
      </c>
      <c r="C219">
        <v>6.6785578411525116E-5</v>
      </c>
      <c r="D219">
        <v>2.2171993674828687E-5</v>
      </c>
      <c r="E219">
        <v>2.9453176698988301E-4</v>
      </c>
      <c r="F219">
        <v>5.0656449925643296E-5</v>
      </c>
      <c r="I219">
        <v>9.9999999999999995E-7</v>
      </c>
      <c r="J219">
        <v>3.2259530602180518E-4</v>
      </c>
      <c r="L219">
        <v>6.2453932029940713E-5</v>
      </c>
      <c r="M219">
        <v>4.7013046843657122E-6</v>
      </c>
    </row>
    <row r="220" spans="1:224" x14ac:dyDescent="0.3">
      <c r="A220" s="4" t="s">
        <v>1040</v>
      </c>
      <c r="HL220">
        <v>9.9999999999999995E-21</v>
      </c>
    </row>
    <row r="221" spans="1:224" x14ac:dyDescent="0.3">
      <c r="A221" s="4" t="s">
        <v>1041</v>
      </c>
      <c r="HM221">
        <v>9.9999999999999995E-21</v>
      </c>
    </row>
    <row r="222" spans="1:224" x14ac:dyDescent="0.3">
      <c r="A222" s="4" t="s">
        <v>1042</v>
      </c>
      <c r="HN222">
        <v>9.9999999999999995E-21</v>
      </c>
    </row>
    <row r="223" spans="1:224" x14ac:dyDescent="0.3">
      <c r="A223" s="4" t="s">
        <v>1043</v>
      </c>
      <c r="HO223">
        <v>9.9999999999999995E-21</v>
      </c>
    </row>
    <row r="224" spans="1:224" x14ac:dyDescent="0.3">
      <c r="A224" s="4" t="s">
        <v>1044</v>
      </c>
      <c r="HP224">
        <v>9.9999999999999995E-21</v>
      </c>
    </row>
    <row r="225" spans="1:240" x14ac:dyDescent="0.3">
      <c r="A225" s="4" t="s">
        <v>1045</v>
      </c>
      <c r="HQ225">
        <v>9.9999999999999995E-21</v>
      </c>
    </row>
    <row r="226" spans="1:240" x14ac:dyDescent="0.3">
      <c r="A226" s="4" t="s">
        <v>1046</v>
      </c>
      <c r="HR226">
        <v>9.9999999999999995E-21</v>
      </c>
    </row>
    <row r="227" spans="1:240" x14ac:dyDescent="0.3">
      <c r="A227" s="4" t="s">
        <v>1251</v>
      </c>
      <c r="B227">
        <v>4.1572700034590246E-6</v>
      </c>
      <c r="C227">
        <v>1.7630613661185018E-4</v>
      </c>
      <c r="D227">
        <v>9.9999999999999995E-7</v>
      </c>
      <c r="E227">
        <v>9.7504856218103581E-3</v>
      </c>
      <c r="F227">
        <v>1.6326512132189852E-5</v>
      </c>
      <c r="I227">
        <v>1.1814689540068091E-5</v>
      </c>
    </row>
    <row r="228" spans="1:240" x14ac:dyDescent="0.3">
      <c r="A228" s="4" t="s">
        <v>1680</v>
      </c>
      <c r="B228">
        <v>9.9999999999999995E-7</v>
      </c>
      <c r="C228">
        <v>7.4155640278327005E-5</v>
      </c>
      <c r="D228">
        <v>2.4663808007478147E-5</v>
      </c>
      <c r="E228">
        <v>1.6659052165831619E-3</v>
      </c>
      <c r="F228">
        <v>1.4925730604005338E-5</v>
      </c>
      <c r="I228">
        <v>2.0457228927069267E-6</v>
      </c>
      <c r="J228">
        <v>4.9898849986049481E-4</v>
      </c>
      <c r="K228">
        <v>1.2450029571068905E-4</v>
      </c>
      <c r="L228">
        <v>1.0337995255601233E-4</v>
      </c>
      <c r="M228">
        <v>1.0246737480729943E-5</v>
      </c>
      <c r="N228">
        <v>2.1116693215032231E-5</v>
      </c>
      <c r="O228">
        <v>1.3465109779536605E-6</v>
      </c>
      <c r="P228">
        <v>9.9999999999999995E-7</v>
      </c>
      <c r="Q228">
        <v>1.9623758836796968E-3</v>
      </c>
      <c r="R228">
        <v>3.7270940705641941E-3</v>
      </c>
      <c r="S228">
        <v>5.010850482270213E-4</v>
      </c>
      <c r="T228">
        <v>9.1791416836056299E-6</v>
      </c>
      <c r="U228">
        <v>1.2598851004222061E-5</v>
      </c>
      <c r="V228">
        <v>6.1798021223883574E-6</v>
      </c>
      <c r="W228">
        <v>3.9587903661966984E-5</v>
      </c>
      <c r="X228">
        <v>9.9999999999999995E-7</v>
      </c>
      <c r="Y228">
        <v>9.9999999999999995E-7</v>
      </c>
      <c r="Z228">
        <v>2.6800281448993609E-4</v>
      </c>
      <c r="AA228">
        <v>9.9022055893442423E-5</v>
      </c>
      <c r="AB228">
        <v>2.9023057509526216E-6</v>
      </c>
      <c r="AC228">
        <v>2.6787513599349214E-5</v>
      </c>
      <c r="AD228">
        <v>2.3858412583483701E-4</v>
      </c>
      <c r="AE228">
        <v>1.4255469113586098E-4</v>
      </c>
      <c r="AF228">
        <v>8.5524713597937959E-5</v>
      </c>
      <c r="AG228">
        <v>5.6960299319570461E-4</v>
      </c>
      <c r="AH228">
        <v>6.0514693344951599E-5</v>
      </c>
      <c r="AI228">
        <v>8.2477883827965265E-6</v>
      </c>
      <c r="AJ228">
        <v>8.6543297962459151E-5</v>
      </c>
      <c r="AK228">
        <v>1.2712684841617297E-3</v>
      </c>
      <c r="AL228">
        <v>2.491383502894124E-5</v>
      </c>
      <c r="AM228">
        <v>9.9329400349353723E-5</v>
      </c>
      <c r="AN228">
        <v>8.0968293062500408E-4</v>
      </c>
      <c r="AO228">
        <v>1.4961309140364433E-5</v>
      </c>
      <c r="AP228">
        <v>1.8712460034778802E-5</v>
      </c>
      <c r="AQ228">
        <v>3.4970669866514917E-5</v>
      </c>
      <c r="AR228">
        <v>3.3859925752643491E-5</v>
      </c>
      <c r="AS228">
        <v>1.2697539154079664E-5</v>
      </c>
      <c r="AT228">
        <v>1.347814118613931E-5</v>
      </c>
      <c r="AU228">
        <v>4.732353850214492E-4</v>
      </c>
      <c r="AX228">
        <v>2.1539966789002274E-4</v>
      </c>
      <c r="BC228">
        <v>4.3496979410314818E-5</v>
      </c>
      <c r="BE228">
        <v>3.9440858982569961E-6</v>
      </c>
      <c r="BF228">
        <v>4.6162953271553702E-6</v>
      </c>
      <c r="BG228">
        <v>5.7685491604729288E-3</v>
      </c>
      <c r="BH228">
        <v>2.3551717773922054E-3</v>
      </c>
      <c r="BI228">
        <v>9.7498714321696336E-3</v>
      </c>
      <c r="BJ228">
        <v>8.4396228714958485E-3</v>
      </c>
      <c r="BK228">
        <v>2.2887308575452103E-3</v>
      </c>
      <c r="BL228">
        <v>2.616536422470137E-3</v>
      </c>
      <c r="BM228">
        <v>1.0204271634769539E-4</v>
      </c>
      <c r="BN228">
        <v>9.6738094049997155E-5</v>
      </c>
      <c r="BO228">
        <v>5.8782889676167315E-4</v>
      </c>
      <c r="BP228">
        <v>3.2293651812993476E-3</v>
      </c>
      <c r="BQ228">
        <v>1.3642593575813337E-3</v>
      </c>
      <c r="BR228">
        <v>1.1135319350453942E-4</v>
      </c>
      <c r="BS228">
        <v>2.164312587631865E-4</v>
      </c>
      <c r="BT228">
        <v>2.9214677195063717E-3</v>
      </c>
      <c r="BU228">
        <v>1.0089396268038868E-4</v>
      </c>
      <c r="BV228">
        <v>8.0811787077354012E-3</v>
      </c>
      <c r="BW228">
        <v>6.2943786872559056E-3</v>
      </c>
      <c r="BX228">
        <v>9.6862191619965267E-3</v>
      </c>
      <c r="BY228">
        <v>4.3771212977695274E-6</v>
      </c>
    </row>
    <row r="229" spans="1:240" x14ac:dyDescent="0.3">
      <c r="A229" s="4" t="s">
        <v>1681</v>
      </c>
      <c r="B229">
        <v>9.9999999999999995E-7</v>
      </c>
      <c r="C229">
        <v>1.2730263848725346E-5</v>
      </c>
      <c r="D229">
        <v>3.8202008700064123E-6</v>
      </c>
      <c r="E229">
        <v>4.9891327947129954E-4</v>
      </c>
      <c r="F229">
        <v>3.2698805848484548E-6</v>
      </c>
      <c r="I229">
        <v>9.9999999999999995E-7</v>
      </c>
      <c r="J229">
        <v>1.1914003895077432E-4</v>
      </c>
      <c r="K229">
        <v>2.6458306717296875E-5</v>
      </c>
      <c r="L229">
        <v>2.2295445489503921E-5</v>
      </c>
      <c r="M229">
        <v>2.376989721203089E-6</v>
      </c>
      <c r="N229">
        <v>3.4515961475501003E-6</v>
      </c>
      <c r="O229">
        <v>9.9999999999999995E-7</v>
      </c>
      <c r="P229">
        <v>9.9999999999999995E-7</v>
      </c>
      <c r="Q229">
        <v>6.5951131455316628E-4</v>
      </c>
      <c r="R229">
        <v>8.5447168878396789E-4</v>
      </c>
      <c r="S229">
        <v>6.539742982290551E-5</v>
      </c>
      <c r="T229">
        <v>3.6172304170025335E-6</v>
      </c>
      <c r="U229">
        <v>4.8951121123226152E-6</v>
      </c>
      <c r="V229">
        <v>2.0400508874201982E-6</v>
      </c>
      <c r="W229">
        <v>1.6708682201845595E-5</v>
      </c>
      <c r="X229">
        <v>9.9999999999999995E-7</v>
      </c>
      <c r="Y229">
        <v>9.9999999999999995E-7</v>
      </c>
      <c r="Z229">
        <v>1.0059226765429422E-4</v>
      </c>
      <c r="AA229">
        <v>2.6713938188112861E-5</v>
      </c>
      <c r="AB229">
        <v>1.7654829743688845E-6</v>
      </c>
      <c r="AC229">
        <v>2.3772124659406006E-5</v>
      </c>
      <c r="AD229">
        <v>1.2166629781142234E-4</v>
      </c>
      <c r="AE229">
        <v>3.0417981076265417E-5</v>
      </c>
      <c r="AF229">
        <v>4.0479499603972108E-5</v>
      </c>
      <c r="AG229">
        <v>1.6138823457754361E-4</v>
      </c>
      <c r="AH229">
        <v>2.1143667965344268E-5</v>
      </c>
      <c r="AI229">
        <v>2.8274996201546169E-6</v>
      </c>
      <c r="AJ229">
        <v>3.2367963957602437E-5</v>
      </c>
      <c r="AK229">
        <v>3.5903708716553329E-4</v>
      </c>
      <c r="AL229">
        <v>4.3669464993828605E-6</v>
      </c>
      <c r="AM229">
        <v>2.8790779216224558E-5</v>
      </c>
      <c r="AN229">
        <v>1.8189971376102046E-4</v>
      </c>
      <c r="AO229">
        <v>7.0328045682145681E-6</v>
      </c>
      <c r="AP229">
        <v>4.0863164439225322E-6</v>
      </c>
      <c r="AQ229">
        <v>9.9861328766281853E-6</v>
      </c>
      <c r="AR229">
        <v>7.3566856736735956E-6</v>
      </c>
      <c r="AS229">
        <v>3.9433325094466863E-6</v>
      </c>
      <c r="AT229">
        <v>4.503834965381992E-6</v>
      </c>
      <c r="AU229">
        <v>2.9781003192238202E-4</v>
      </c>
      <c r="AX229">
        <v>1.3555242460884618E-4</v>
      </c>
      <c r="BC229">
        <v>2.7372940822653231E-5</v>
      </c>
      <c r="BE229">
        <v>2.4820398315682544E-6</v>
      </c>
      <c r="BF229">
        <v>2.9050657484370667E-6</v>
      </c>
      <c r="BG229">
        <v>1.2237799762738104E-3</v>
      </c>
      <c r="BH229">
        <v>4.8200752761768908E-4</v>
      </c>
      <c r="BI229">
        <v>1.3661309805517662E-3</v>
      </c>
      <c r="BJ229">
        <v>3.0068153853942355E-3</v>
      </c>
      <c r="BK229">
        <v>1.2803900969688281E-3</v>
      </c>
      <c r="BL229">
        <v>7.1345311791877963E-4</v>
      </c>
      <c r="BM229">
        <v>3.8911086445162329E-5</v>
      </c>
      <c r="BN229">
        <v>4.7896293838431739E-5</v>
      </c>
      <c r="BO229">
        <v>1.7895490067019445E-4</v>
      </c>
      <c r="BP229">
        <v>1.4697382145799334E-3</v>
      </c>
      <c r="BQ229">
        <v>8.9737689864699511E-4</v>
      </c>
      <c r="BR229">
        <v>6.5106343888819042E-5</v>
      </c>
      <c r="BS229">
        <v>8.7381036734409049E-5</v>
      </c>
      <c r="BT229">
        <v>1.0948076387977297E-3</v>
      </c>
      <c r="BU229">
        <v>8.3969823127576687E-5</v>
      </c>
      <c r="BV229">
        <v>4.6652367675785213E-3</v>
      </c>
      <c r="BW229">
        <v>7.1522951327834764E-3</v>
      </c>
      <c r="BX229">
        <v>1.2028093061381655E-2</v>
      </c>
      <c r="BY229">
        <v>1.1559825156112978E-6</v>
      </c>
    </row>
    <row r="230" spans="1:240" x14ac:dyDescent="0.3">
      <c r="A230" s="4" t="s">
        <v>1682</v>
      </c>
      <c r="B230">
        <v>2.4255619323495876E-5</v>
      </c>
      <c r="C230">
        <v>2.0566137155751838E-3</v>
      </c>
      <c r="D230">
        <v>6.7696925124809094E-4</v>
      </c>
      <c r="E230">
        <v>4.9582936925941352E-2</v>
      </c>
      <c r="F230">
        <v>4.277301209836199E-4</v>
      </c>
      <c r="I230">
        <v>5.8495001780599304E-5</v>
      </c>
      <c r="J230">
        <v>1.4163364633960562E-2</v>
      </c>
      <c r="K230">
        <v>3.4804429118871776E-3</v>
      </c>
      <c r="L230">
        <v>2.9225492888183971E-3</v>
      </c>
      <c r="M230">
        <v>2.9127235847303541E-4</v>
      </c>
      <c r="N230">
        <v>5.8578984278553881E-4</v>
      </c>
      <c r="O230">
        <v>9.3047235423676446E-6</v>
      </c>
      <c r="P230">
        <v>1.0085008608978495E-6</v>
      </c>
      <c r="Q230">
        <v>3.571602726879734E-3</v>
      </c>
      <c r="R230">
        <v>6.3893808755052187E-3</v>
      </c>
      <c r="S230">
        <v>8.1155907101303898E-4</v>
      </c>
      <c r="T230">
        <v>4.9751899446615798E-5</v>
      </c>
      <c r="U230">
        <v>6.7799784783593463E-5</v>
      </c>
      <c r="V230">
        <v>3.2830019601371574E-5</v>
      </c>
      <c r="W230">
        <v>2.1662383147418604E-4</v>
      </c>
      <c r="X230">
        <v>9.9999999999999995E-7</v>
      </c>
      <c r="Y230">
        <v>5.3775169749075396E-6</v>
      </c>
      <c r="Z230">
        <v>1.4084419406423406E-3</v>
      </c>
      <c r="AA230">
        <v>5.0010056097604032E-4</v>
      </c>
      <c r="AB230">
        <v>1.6340191764665141E-5</v>
      </c>
      <c r="AC230">
        <v>1.6723388020049236E-4</v>
      </c>
      <c r="AD230">
        <v>1.3707629847853396E-3</v>
      </c>
      <c r="AE230">
        <v>7.1418374089757665E-4</v>
      </c>
      <c r="AF230">
        <v>4.6799869637777794E-4</v>
      </c>
      <c r="AG230">
        <v>2.9034077026262807E-3</v>
      </c>
      <c r="AH230">
        <v>3.2051648690294816E-4</v>
      </c>
      <c r="AI230">
        <v>4.3386482323753861E-5</v>
      </c>
      <c r="AJ230">
        <v>4.7121541491780929E-4</v>
      </c>
      <c r="AK230">
        <v>6.418901497542903E-3</v>
      </c>
      <c r="AL230">
        <v>1.185658830673029E-4</v>
      </c>
      <c r="AM230">
        <v>5.1446103479340104E-4</v>
      </c>
      <c r="AN230">
        <v>4.1246612358137287E-3</v>
      </c>
      <c r="AO230">
        <v>8.0370202938593072E-5</v>
      </c>
      <c r="AP230">
        <v>9.3090596768768589E-5</v>
      </c>
      <c r="AQ230">
        <v>1.8261127466649149E-4</v>
      </c>
      <c r="AR230">
        <v>1.643862413788604E-4</v>
      </c>
      <c r="AS230">
        <v>6.6239540568204457E-5</v>
      </c>
      <c r="AT230">
        <v>7.1974502907902997E-5</v>
      </c>
      <c r="AU230">
        <v>7.374416159176703E-4</v>
      </c>
      <c r="AX230">
        <v>5.8082062457404462E-4</v>
      </c>
      <c r="BC230">
        <v>8.8179325167238781E-5</v>
      </c>
      <c r="BE230">
        <v>7.9784151968089226E-6</v>
      </c>
      <c r="BF230">
        <v>1.2759462999660573E-5</v>
      </c>
      <c r="BG230">
        <v>8.8412729555929718E-3</v>
      </c>
      <c r="BH230">
        <v>3.5985784587315621E-3</v>
      </c>
      <c r="BI230">
        <v>8.8240655478335747E-2</v>
      </c>
      <c r="BJ230">
        <v>8.463050221825856E-3</v>
      </c>
      <c r="BK230">
        <v>1.4460590062561484E-3</v>
      </c>
      <c r="BL230">
        <v>4.9597661160251487E-3</v>
      </c>
      <c r="BM230">
        <v>2.0974449170940699E-4</v>
      </c>
      <c r="BN230">
        <v>2.0426760167868086E-4</v>
      </c>
      <c r="BO230">
        <v>1.1385251424957782E-3</v>
      </c>
      <c r="BP230">
        <v>6.7047853862805601E-3</v>
      </c>
      <c r="BQ230">
        <v>2.7030182929070276E-4</v>
      </c>
      <c r="BR230">
        <v>2.1712091457721768E-5</v>
      </c>
      <c r="BS230">
        <v>6.6231102146987873E-5</v>
      </c>
      <c r="BT230">
        <v>8.7368817410761446E-4</v>
      </c>
      <c r="BU230">
        <v>6.2721274278715734E-4</v>
      </c>
      <c r="BV230">
        <v>7.5368042531208778E-3</v>
      </c>
      <c r="BW230">
        <v>3.2580027810365803E-3</v>
      </c>
      <c r="BX230">
        <v>1.0949800731118115E-2</v>
      </c>
      <c r="BY230">
        <v>1.84533644525468E-6</v>
      </c>
    </row>
    <row r="231" spans="1:240" x14ac:dyDescent="0.3">
      <c r="A231" s="4" t="s">
        <v>1683</v>
      </c>
      <c r="B231">
        <v>1.5946875992876589E-6</v>
      </c>
      <c r="C231">
        <v>1.5265607922618934E-4</v>
      </c>
      <c r="D231">
        <v>4.7300689262955425E-5</v>
      </c>
      <c r="E231">
        <v>5.4622718169811037E-3</v>
      </c>
      <c r="F231">
        <v>3.4934167849616836E-5</v>
      </c>
      <c r="I231">
        <v>6.2259829290469803E-6</v>
      </c>
      <c r="J231">
        <v>1.55392894649388E-3</v>
      </c>
      <c r="K231">
        <v>3.5801781123454316E-4</v>
      </c>
      <c r="L231">
        <v>2.7302934785745908E-4</v>
      </c>
      <c r="M231">
        <v>2.9714331724653562E-5</v>
      </c>
      <c r="N231">
        <v>4.1917835404112226E-5</v>
      </c>
      <c r="O231">
        <v>9.9999999999999995E-7</v>
      </c>
      <c r="P231">
        <v>9.9999999999999995E-7</v>
      </c>
      <c r="Q231">
        <v>3.2439459522532756E-4</v>
      </c>
      <c r="R231">
        <v>3.5893696587044078E-4</v>
      </c>
      <c r="S231">
        <v>2.3859626196492883E-5</v>
      </c>
      <c r="T231">
        <v>6.2578398531404695E-6</v>
      </c>
      <c r="U231">
        <v>8.6729738635412561E-6</v>
      </c>
      <c r="V231">
        <v>3.210301277487239E-6</v>
      </c>
      <c r="W231">
        <v>2.8857892318132692E-5</v>
      </c>
      <c r="X231">
        <v>9.9999999999999995E-7</v>
      </c>
      <c r="Y231">
        <v>9.9999999999999995E-7</v>
      </c>
      <c r="Z231">
        <v>1.9706851947166266E-4</v>
      </c>
      <c r="AA231">
        <v>4.9305236014938106E-5</v>
      </c>
      <c r="AB231">
        <v>4.1153770966939143E-6</v>
      </c>
      <c r="AC231">
        <v>5.4867907381563876E-5</v>
      </c>
      <c r="AD231">
        <v>2.0351462486583224E-4</v>
      </c>
      <c r="AE231">
        <v>4.1722352441099218E-5</v>
      </c>
      <c r="AF231">
        <v>8.1436875587852898E-5</v>
      </c>
      <c r="AG231">
        <v>2.7661881117868836E-4</v>
      </c>
      <c r="AH231">
        <v>3.7945837049963614E-5</v>
      </c>
      <c r="AI231">
        <v>5.3142374924911435E-6</v>
      </c>
      <c r="AJ231">
        <v>4.7046956601848302E-5</v>
      </c>
      <c r="AK231">
        <v>6.8930696416839052E-4</v>
      </c>
      <c r="AL231">
        <v>9.0625619087618051E-6</v>
      </c>
      <c r="AM231">
        <v>4.662727425495305E-5</v>
      </c>
      <c r="AN231">
        <v>2.0859615765983586E-4</v>
      </c>
      <c r="AO231">
        <v>1.6070110439905539E-5</v>
      </c>
      <c r="AP231">
        <v>6.2703457329537204E-6</v>
      </c>
      <c r="AQ231">
        <v>1.4158557424963966E-5</v>
      </c>
      <c r="AR231">
        <v>1.5828400283984806E-5</v>
      </c>
      <c r="AS231">
        <v>6.3402899715781587E-6</v>
      </c>
      <c r="AT231">
        <v>6.4465828096846915E-6</v>
      </c>
      <c r="AU231">
        <v>8.6532944331361037E-5</v>
      </c>
      <c r="AX231">
        <v>6.8154717075635861E-5</v>
      </c>
      <c r="BC231">
        <v>1.0347151820866986E-5</v>
      </c>
      <c r="BE231">
        <v>9.9999999999999995E-7</v>
      </c>
      <c r="BF231">
        <v>1.4972229327126539E-6</v>
      </c>
      <c r="BG231">
        <v>4.0173747899446664E-4</v>
      </c>
      <c r="BH231">
        <v>1.6175920099997757E-4</v>
      </c>
      <c r="BI231">
        <v>1.9006177203441162E-3</v>
      </c>
      <c r="BJ231">
        <v>1.0493671725191596E-3</v>
      </c>
      <c r="BK231">
        <v>4.5985775311614555E-4</v>
      </c>
      <c r="BL231">
        <v>1.669484095234603E-4</v>
      </c>
      <c r="BM231">
        <v>7.7416807150979513E-6</v>
      </c>
      <c r="BN231">
        <v>1.9044922686280109E-5</v>
      </c>
      <c r="BO231">
        <v>4.2153451596938943E-5</v>
      </c>
      <c r="BP231">
        <v>5.0439476142400352E-4</v>
      </c>
      <c r="BQ231">
        <v>5.1563234779101021E-5</v>
      </c>
      <c r="BR231">
        <v>3.4708708317205356E-6</v>
      </c>
      <c r="BS231">
        <v>6.3152007821585161E-6</v>
      </c>
      <c r="BT231">
        <v>9.0834133568873984E-5</v>
      </c>
      <c r="BU231">
        <v>2.6694587545194129E-4</v>
      </c>
      <c r="BV231">
        <v>7.9988468233220034E-4</v>
      </c>
      <c r="BW231">
        <v>8.5042152559204609E-4</v>
      </c>
      <c r="BX231">
        <v>3.9898821400053339E-3</v>
      </c>
      <c r="BY231">
        <v>9.9999999999999995E-7</v>
      </c>
    </row>
    <row r="232" spans="1:240" x14ac:dyDescent="0.3">
      <c r="A232" s="4" t="s">
        <v>1380</v>
      </c>
      <c r="HX232">
        <v>9.9999999999999995E-21</v>
      </c>
    </row>
    <row r="233" spans="1:240" x14ac:dyDescent="0.3">
      <c r="A233" s="4" t="s">
        <v>1385</v>
      </c>
      <c r="HY233">
        <v>9.9999999999999995E-21</v>
      </c>
    </row>
    <row r="234" spans="1:240" x14ac:dyDescent="0.3">
      <c r="A234" s="4" t="s">
        <v>1381</v>
      </c>
      <c r="HZ234">
        <v>9.9999999999999995E-21</v>
      </c>
    </row>
    <row r="235" spans="1:240" x14ac:dyDescent="0.3">
      <c r="A235" s="4" t="s">
        <v>1392</v>
      </c>
      <c r="IA235">
        <v>9.9999999999999995E-21</v>
      </c>
    </row>
    <row r="236" spans="1:240" x14ac:dyDescent="0.3">
      <c r="A236" s="4" t="s">
        <v>1382</v>
      </c>
      <c r="IB236">
        <v>9.9999999999999995E-21</v>
      </c>
    </row>
    <row r="237" spans="1:240" x14ac:dyDescent="0.3">
      <c r="A237" s="4" t="s">
        <v>1386</v>
      </c>
      <c r="IC237">
        <v>9.9999999999999995E-21</v>
      </c>
    </row>
    <row r="238" spans="1:240" x14ac:dyDescent="0.3">
      <c r="A238" s="4" t="s">
        <v>1383</v>
      </c>
      <c r="ID238">
        <v>9.9999999999999995E-21</v>
      </c>
    </row>
    <row r="239" spans="1:240" x14ac:dyDescent="0.3">
      <c r="A239" s="4" t="s">
        <v>1387</v>
      </c>
      <c r="IE239">
        <v>9.9999999999999995E-21</v>
      </c>
    </row>
    <row r="240" spans="1:240" x14ac:dyDescent="0.3">
      <c r="A240" s="4" t="s">
        <v>1384</v>
      </c>
      <c r="IF240">
        <v>9.9999999999999995E-21</v>
      </c>
    </row>
    <row r="241" spans="1:253" x14ac:dyDescent="0.3">
      <c r="A241" s="4" t="s">
        <v>1394</v>
      </c>
      <c r="IG241">
        <v>9.9999999999999995E-21</v>
      </c>
    </row>
    <row r="242" spans="1:253" x14ac:dyDescent="0.3">
      <c r="A242" s="4" t="s">
        <v>973</v>
      </c>
      <c r="CC242">
        <v>-2.0964179031797019</v>
      </c>
      <c r="CD242">
        <v>4.010880746755447</v>
      </c>
      <c r="CE242">
        <v>1.7368715265204173</v>
      </c>
      <c r="CF242">
        <v>108.60614408233596</v>
      </c>
      <c r="CG242">
        <v>-4.2283611412220239</v>
      </c>
      <c r="CH242">
        <v>-1.427216947654723E-2</v>
      </c>
      <c r="CI242">
        <v>-2.6681536818893137</v>
      </c>
      <c r="CJ242">
        <v>-3.1030909101691577</v>
      </c>
      <c r="CK242">
        <v>35.482562612398397</v>
      </c>
      <c r="CL242">
        <v>8.5136541510539701</v>
      </c>
      <c r="CM242">
        <v>0.38797662207241501</v>
      </c>
      <c r="CN242">
        <v>-7.9151689341982632</v>
      </c>
      <c r="CO242">
        <v>5.8752731502115694</v>
      </c>
      <c r="CP242">
        <v>-1.3421483511708381</v>
      </c>
      <c r="CQ242">
        <v>-2.4905449543131599</v>
      </c>
      <c r="CR242">
        <v>-1.1186207232840388</v>
      </c>
      <c r="CS242">
        <v>-429.89500219653183</v>
      </c>
      <c r="CT242">
        <v>25.559546312393195</v>
      </c>
      <c r="CU242">
        <v>64.556093300374982</v>
      </c>
      <c r="CV242">
        <v>27.411789281833933</v>
      </c>
      <c r="CW242">
        <v>20.361659708371008</v>
      </c>
      <c r="CX242">
        <v>92.902552928847399</v>
      </c>
      <c r="CY242">
        <v>-2.2284544368093293</v>
      </c>
      <c r="CZ242">
        <v>-3.2129959227079326</v>
      </c>
      <c r="DA242">
        <v>358.84946871721604</v>
      </c>
      <c r="DB242">
        <v>202.30431083744315</v>
      </c>
      <c r="DC242">
        <v>14.50831864360082</v>
      </c>
      <c r="DD242">
        <v>156.72276035114442</v>
      </c>
      <c r="DE242">
        <v>133.74011412791697</v>
      </c>
      <c r="DF242">
        <v>189.59156191749685</v>
      </c>
      <c r="DG242">
        <v>155.3609619282829</v>
      </c>
      <c r="DH242">
        <v>-4092.4129043842026</v>
      </c>
      <c r="DI242">
        <v>683.75279316161323</v>
      </c>
      <c r="DJ242">
        <v>157.55496513192884</v>
      </c>
      <c r="DK242">
        <v>501.44208981072916</v>
      </c>
      <c r="DL242">
        <v>171.01666826518886</v>
      </c>
      <c r="DM242">
        <v>-37.381125074472948</v>
      </c>
      <c r="DN242">
        <v>232.51246051623457</v>
      </c>
      <c r="DO242">
        <v>1136.6472099725354</v>
      </c>
      <c r="DP242">
        <v>16.665709124808927</v>
      </c>
      <c r="DQ242">
        <v>23.145523561791379</v>
      </c>
      <c r="DR242">
        <v>13.767363385993121</v>
      </c>
      <c r="DS242">
        <v>27.006779624675801</v>
      </c>
      <c r="DT242">
        <v>0.11948543998914829</v>
      </c>
      <c r="DU242">
        <v>8.7593982796347518</v>
      </c>
      <c r="DV242">
        <v>-189.25373254119205</v>
      </c>
      <c r="DW242">
        <v>-3.0427850894850081</v>
      </c>
      <c r="DX242">
        <v>-5.4852173458564266</v>
      </c>
      <c r="DY242">
        <v>-1224.5597748846333</v>
      </c>
      <c r="DZ242">
        <v>-1.5326019507874458</v>
      </c>
      <c r="EA242">
        <v>-4.310203988709187</v>
      </c>
      <c r="EB242">
        <v>-0.28904757456778807</v>
      </c>
      <c r="EC242">
        <v>-2.5303145203972548</v>
      </c>
      <c r="ED242">
        <v>-483.25616906591949</v>
      </c>
      <c r="EE242">
        <v>-0.51856766637535734</v>
      </c>
      <c r="EF242">
        <v>-53.66730268055619</v>
      </c>
      <c r="EG242">
        <v>-12.910515491190536</v>
      </c>
      <c r="EH242">
        <v>-649.36630452409986</v>
      </c>
      <c r="EI242">
        <v>88.691886602982777</v>
      </c>
      <c r="EJ242">
        <v>-0.4566323384133284</v>
      </c>
      <c r="EK242">
        <v>-6.7493310682912124</v>
      </c>
      <c r="EL242">
        <v>154.55318050369715</v>
      </c>
      <c r="EM242">
        <v>642.16445474734974</v>
      </c>
      <c r="EN242">
        <v>9.07989736573154</v>
      </c>
      <c r="EO242">
        <v>55.83799462776642</v>
      </c>
      <c r="EP242">
        <v>159.83302769481134</v>
      </c>
      <c r="EQ242">
        <v>939.76211257281466</v>
      </c>
      <c r="ER242">
        <v>22.708449181046944</v>
      </c>
      <c r="ES242">
        <v>0.83670991285607954</v>
      </c>
      <c r="ET242">
        <v>33.322877390971598</v>
      </c>
      <c r="EU242">
        <v>113.98894429454231</v>
      </c>
      <c r="EV242">
        <v>80.051501927222944</v>
      </c>
      <c r="EW242">
        <v>1270.9306352826736</v>
      </c>
      <c r="EX242">
        <v>568.84250431251803</v>
      </c>
      <c r="EY242">
        <v>1319.6383329285113</v>
      </c>
      <c r="EZ242">
        <v>100.46447109107669</v>
      </c>
    </row>
    <row r="243" spans="1:253" x14ac:dyDescent="0.3">
      <c r="A243" s="4" t="s">
        <v>971</v>
      </c>
      <c r="B243">
        <v>2.0329475402832031E-2</v>
      </c>
      <c r="C243">
        <v>2.4407958984375</v>
      </c>
      <c r="D243">
        <v>0.72137451171875</v>
      </c>
      <c r="E243">
        <v>41.7119140625</v>
      </c>
      <c r="F243">
        <v>0.38332366943359375</v>
      </c>
      <c r="I243">
        <v>4.8892974853515625E-2</v>
      </c>
      <c r="J243">
        <v>14.330322265625</v>
      </c>
      <c r="K243">
        <v>3.8702392578125</v>
      </c>
      <c r="L243">
        <v>2.71038818359375</v>
      </c>
      <c r="M243">
        <v>0.435150146484375</v>
      </c>
      <c r="N243">
        <v>7.95068359375</v>
      </c>
      <c r="O243">
        <v>0.17874908447265625</v>
      </c>
      <c r="P243">
        <v>1.5107883511375908</v>
      </c>
      <c r="Q243">
        <v>2482.6330582676815</v>
      </c>
      <c r="R243">
        <v>5305.9438883174562</v>
      </c>
      <c r="S243">
        <v>13.1309814453125</v>
      </c>
      <c r="T243">
        <v>7.12469482421875</v>
      </c>
      <c r="U243">
        <v>3.310516357421875</v>
      </c>
      <c r="V243">
        <v>2.5804595947265625</v>
      </c>
      <c r="W243">
        <v>10.6165771484375</v>
      </c>
      <c r="X243">
        <v>4.2183399200439453E-2</v>
      </c>
      <c r="Y243">
        <v>3.04998779296875</v>
      </c>
      <c r="Z243">
        <v>45.94140625</v>
      </c>
      <c r="AA243">
        <v>23.5904541015625</v>
      </c>
      <c r="AB243">
        <v>0.8732757568359375</v>
      </c>
      <c r="AC243">
        <v>11.493692578965723</v>
      </c>
      <c r="AD243">
        <v>20.4078369140625</v>
      </c>
      <c r="AE243">
        <v>13.04718017578125</v>
      </c>
      <c r="AF243">
        <v>11.87774658203125</v>
      </c>
      <c r="AG243">
        <v>354.390625</v>
      </c>
      <c r="AH243">
        <v>15.497802734375</v>
      </c>
      <c r="AI243">
        <v>1.5617828369140625</v>
      </c>
      <c r="AJ243">
        <v>9.57373046875</v>
      </c>
      <c r="AK243">
        <v>112.3037109375</v>
      </c>
      <c r="AL243">
        <v>5.1536865234375</v>
      </c>
      <c r="AM243">
        <v>12.3297119140625</v>
      </c>
      <c r="AN243">
        <v>48.2578125</v>
      </c>
      <c r="AO243">
        <v>1.4633026123046875</v>
      </c>
      <c r="AP243">
        <v>1.1837005615234375</v>
      </c>
      <c r="AQ243">
        <v>2.01861572265625</v>
      </c>
      <c r="AR243">
        <v>2.403106689453125</v>
      </c>
      <c r="AS243">
        <v>0.7780609130859375</v>
      </c>
      <c r="AT243">
        <v>1.218963623046875</v>
      </c>
      <c r="AU243">
        <v>13.7874755859375</v>
      </c>
      <c r="AX243">
        <v>90.71630859375</v>
      </c>
      <c r="BC243">
        <v>35.767822265625</v>
      </c>
      <c r="BE243">
        <v>3.868255615234375</v>
      </c>
      <c r="BF243">
        <v>0.39332389831542969</v>
      </c>
      <c r="BG243">
        <v>983.66552734375</v>
      </c>
      <c r="BH243">
        <v>31.8232421875</v>
      </c>
      <c r="BI243">
        <v>1129.12109375</v>
      </c>
      <c r="BJ243">
        <v>697.224609375</v>
      </c>
      <c r="BK243">
        <v>212.263427734375</v>
      </c>
      <c r="BL243">
        <v>214.39208984375</v>
      </c>
      <c r="BM243">
        <v>21.7921142578125</v>
      </c>
      <c r="BN243">
        <v>34.5107421875</v>
      </c>
      <c r="BO243">
        <v>61.993408203125</v>
      </c>
      <c r="BP243">
        <v>282.9482421875</v>
      </c>
      <c r="BQ243">
        <v>38.2625732421875</v>
      </c>
      <c r="BR243">
        <v>2.3541030883789063</v>
      </c>
      <c r="BS243">
        <v>9.299896240234375</v>
      </c>
      <c r="BT243">
        <v>51.977294921875</v>
      </c>
      <c r="BU243">
        <v>23.2991943359375</v>
      </c>
      <c r="BV243">
        <v>306.0439453125</v>
      </c>
      <c r="BW243">
        <v>132.9892578125</v>
      </c>
      <c r="BX243">
        <v>303.408203125</v>
      </c>
      <c r="BY243">
        <v>24.37274169921875</v>
      </c>
    </row>
    <row r="244" spans="1:253" x14ac:dyDescent="0.3">
      <c r="A244" s="4" t="s">
        <v>972</v>
      </c>
      <c r="IM244">
        <v>40366.937112546628</v>
      </c>
    </row>
    <row r="245" spans="1:253" x14ac:dyDescent="0.3">
      <c r="A245" s="4" t="s">
        <v>970</v>
      </c>
      <c r="CC245">
        <v>2.7767539024353027E-2</v>
      </c>
      <c r="CD245">
        <v>90.00203937292099</v>
      </c>
      <c r="CE245">
        <v>60.137965973466635</v>
      </c>
      <c r="CF245">
        <v>43.007655306719244</v>
      </c>
      <c r="CG245">
        <v>4.4030391892883927</v>
      </c>
      <c r="CI245">
        <v>0.27365609031322596</v>
      </c>
      <c r="CJ245">
        <v>101.23272278079281</v>
      </c>
      <c r="CK245">
        <v>28.185776025056839</v>
      </c>
      <c r="CL245">
        <v>3.6260716657270677</v>
      </c>
      <c r="CO245">
        <v>0.3791955541819334</v>
      </c>
      <c r="CP245">
        <v>2.6188612342812121</v>
      </c>
      <c r="CQ245">
        <v>7.8257810523776894E-2</v>
      </c>
      <c r="CR245">
        <v>1.4356851577758789E-2</v>
      </c>
      <c r="CS245">
        <v>5.5980825709411874E-2</v>
      </c>
      <c r="CT245">
        <v>3.0374492458067834</v>
      </c>
      <c r="CU245">
        <v>54.822229242883623</v>
      </c>
      <c r="CV245">
        <v>0.20239319279789925</v>
      </c>
      <c r="CW245">
        <v>128.32991765870247</v>
      </c>
      <c r="CX245">
        <v>96.644937587669119</v>
      </c>
      <c r="CY245">
        <v>3.787317096022889</v>
      </c>
      <c r="CZ245">
        <v>52.941279322258197</v>
      </c>
      <c r="DA245">
        <v>228.70575396157801</v>
      </c>
      <c r="DB245">
        <v>61.8134107994847</v>
      </c>
      <c r="DC245">
        <v>215.90168172115406</v>
      </c>
      <c r="DD245">
        <v>265.48850926526569</v>
      </c>
      <c r="DE245">
        <v>131.87683080707211</v>
      </c>
      <c r="DF245">
        <v>19.053319719445426</v>
      </c>
      <c r="DG245">
        <v>44.179363019240554</v>
      </c>
      <c r="DH245">
        <v>100.19063263823045</v>
      </c>
      <c r="DI245">
        <v>146.93703676853329</v>
      </c>
      <c r="DJ245">
        <v>39.788177151232958</v>
      </c>
      <c r="DK245">
        <v>132.81156586337602</v>
      </c>
      <c r="DL245">
        <v>129.9986752117984</v>
      </c>
      <c r="DM245">
        <v>231.56366685498506</v>
      </c>
      <c r="DN245">
        <v>15.529931619763374</v>
      </c>
      <c r="DO245">
        <v>283.03177145530935</v>
      </c>
      <c r="DP245">
        <v>234.1876247957116</v>
      </c>
      <c r="DQ245">
        <v>359.29170551936841</v>
      </c>
      <c r="DR245">
        <v>333.01261631277157</v>
      </c>
      <c r="DS245">
        <v>324.1810812727781</v>
      </c>
      <c r="DT245">
        <v>18.917470288579352</v>
      </c>
      <c r="DU245">
        <v>147.45363763673231</v>
      </c>
    </row>
    <row r="246" spans="1:253" x14ac:dyDescent="0.3">
      <c r="A246" s="4" t="s">
        <v>969</v>
      </c>
      <c r="CC246">
        <v>9.9999999999999995E-7</v>
      </c>
      <c r="CG246">
        <v>3.1533962764016508E-4</v>
      </c>
      <c r="CM246">
        <v>2.7512171786314127E-5</v>
      </c>
      <c r="CN246">
        <v>1.7411051478590359E-3</v>
      </c>
      <c r="CO246">
        <v>4.077455617955331E-4</v>
      </c>
      <c r="CQ246">
        <v>5.6516537347259732E-4</v>
      </c>
      <c r="CR246">
        <v>80.445181084725021</v>
      </c>
      <c r="CS246">
        <v>228.46766302715994</v>
      </c>
      <c r="CT246">
        <v>3.8399385652734015</v>
      </c>
      <c r="DC246">
        <v>0.44916638460960367</v>
      </c>
      <c r="DD246">
        <v>4.0397404804565717E-2</v>
      </c>
      <c r="DE246">
        <v>2.1866697905520978</v>
      </c>
      <c r="DF246">
        <v>0.68913395711369518</v>
      </c>
      <c r="DG246">
        <v>3.5083264154143481</v>
      </c>
      <c r="DI246">
        <v>247.8666397590757</v>
      </c>
      <c r="DJ246">
        <v>1.4316234281644888</v>
      </c>
      <c r="DK246">
        <v>1.1931216363080637</v>
      </c>
      <c r="DL246">
        <v>0.75669108208484614</v>
      </c>
      <c r="DM246">
        <v>0.58876001578309145</v>
      </c>
      <c r="DN246">
        <v>0.82707439753615797</v>
      </c>
      <c r="DO246">
        <v>0.77925663033125891</v>
      </c>
      <c r="DP246">
        <v>0.76695827211747236</v>
      </c>
      <c r="DQ246">
        <v>2.2531747489875875</v>
      </c>
      <c r="DR246">
        <v>0.74176576602666722</v>
      </c>
      <c r="DS246">
        <v>0.21202016800634763</v>
      </c>
      <c r="DT246">
        <v>1.1976746503157334</v>
      </c>
      <c r="DU246">
        <v>9.9162704411838026E-2</v>
      </c>
    </row>
    <row r="247" spans="1:253" x14ac:dyDescent="0.3">
      <c r="A247" s="4" t="s">
        <v>629</v>
      </c>
      <c r="FI247">
        <v>49372.578571266589</v>
      </c>
      <c r="FK247">
        <v>14042.274931037582</v>
      </c>
      <c r="FL247">
        <v>0.92351549537645983</v>
      </c>
      <c r="FR247">
        <v>138.46317685636117</v>
      </c>
      <c r="FS247">
        <v>29.075029342429225</v>
      </c>
      <c r="FT247">
        <v>82.380474783689422</v>
      </c>
      <c r="FU247">
        <v>166.21458742476634</v>
      </c>
      <c r="FV247">
        <v>75.80195790453547</v>
      </c>
      <c r="GD247">
        <v>915.65806671374241</v>
      </c>
      <c r="GE247">
        <v>6785.5547113830107</v>
      </c>
      <c r="GF247">
        <v>3486.9237438541909</v>
      </c>
      <c r="GG247">
        <v>22292.651594897634</v>
      </c>
      <c r="GH247">
        <v>1898.0591568303369</v>
      </c>
      <c r="IN247">
        <v>31029.360893648314</v>
      </c>
      <c r="IO247">
        <v>31726.642121999248</v>
      </c>
      <c r="IR247">
        <v>1085.5968545620954</v>
      </c>
      <c r="IS247">
        <v>84.001504054136376</v>
      </c>
    </row>
    <row r="248" spans="1:253" x14ac:dyDescent="0.3">
      <c r="A248" s="4" t="s">
        <v>630</v>
      </c>
      <c r="GX248">
        <v>1.1298306612434381</v>
      </c>
      <c r="GZ248">
        <v>0.16042065620426232</v>
      </c>
      <c r="HA248">
        <v>1.0381282035458957E-5</v>
      </c>
      <c r="HG248">
        <v>1.5078736626544644E-3</v>
      </c>
      <c r="HH248">
        <v>3.1696905973400453E-4</v>
      </c>
      <c r="HI248">
        <v>8.9688124922546685E-4</v>
      </c>
      <c r="HJ248">
        <v>1.8085000822746122E-3</v>
      </c>
      <c r="HK248">
        <v>8.2589633173799179E-4</v>
      </c>
      <c r="HS248">
        <v>9.9600902300979229E-3</v>
      </c>
      <c r="HT248">
        <v>7.7481246191470773E-2</v>
      </c>
      <c r="HU248">
        <v>3.9828858870995264E-2</v>
      </c>
      <c r="HV248">
        <v>0.2544849920580185</v>
      </c>
      <c r="HW248">
        <v>2.1678918122428656E-2</v>
      </c>
      <c r="IH248">
        <v>2911.5441661438631</v>
      </c>
      <c r="II248">
        <v>13306.386396826001</v>
      </c>
      <c r="IJ248">
        <v>40366.937112546628</v>
      </c>
      <c r="IK248">
        <v>4137.723332248137</v>
      </c>
      <c r="IL248">
        <v>578.34345775668453</v>
      </c>
      <c r="IR248">
        <v>1550.8526493744218</v>
      </c>
      <c r="IS248">
        <v>304.19093090000001</v>
      </c>
    </row>
    <row r="249" spans="1:253" x14ac:dyDescent="0.3">
      <c r="A249" s="4" t="s">
        <v>631</v>
      </c>
      <c r="FI249">
        <v>49470.108640291844</v>
      </c>
    </row>
    <row r="250" spans="1:253" x14ac:dyDescent="0.3">
      <c r="A250" s="4" t="s">
        <v>1684</v>
      </c>
      <c r="IM250">
        <v>51609.550861890508</v>
      </c>
      <c r="IO250">
        <v>17743.466518292593</v>
      </c>
      <c r="IS250">
        <v>-2559.4935457339579</v>
      </c>
    </row>
    <row r="251" spans="1:253" x14ac:dyDescent="0.3">
      <c r="A251" s="4" t="s">
        <v>633</v>
      </c>
      <c r="IQ251">
        <v>9.9999999999999995E-21</v>
      </c>
    </row>
    <row r="252" spans="1:253" x14ac:dyDescent="0.3">
      <c r="A252" s="4" t="s">
        <v>632</v>
      </c>
      <c r="IM252">
        <v>1550.8526493744218</v>
      </c>
      <c r="IN252">
        <v>1112.6895660620953</v>
      </c>
      <c r="IO252">
        <v>9.9999999999999995E-21</v>
      </c>
    </row>
    <row r="253" spans="1:253" x14ac:dyDescent="0.3">
      <c r="A253" s="4" t="s">
        <v>635</v>
      </c>
      <c r="CC253">
        <v>0.58066806446565133</v>
      </c>
      <c r="CD253">
        <v>1816.9257864478477</v>
      </c>
      <c r="CE253">
        <v>984.43897490599375</v>
      </c>
      <c r="CF253">
        <v>499.85302681534404</v>
      </c>
      <c r="CG253">
        <v>103.13708668956427</v>
      </c>
      <c r="CH253">
        <v>1.7496282301206711E-2</v>
      </c>
      <c r="CI253">
        <v>11.932311768451338</v>
      </c>
      <c r="CJ253">
        <v>403.59549513214768</v>
      </c>
      <c r="CK253">
        <v>160.70566600464895</v>
      </c>
      <c r="CL253">
        <v>37.343968192280123</v>
      </c>
      <c r="CM253">
        <v>0.10042824755358587</v>
      </c>
      <c r="CN253">
        <v>2.3357624305047762E-2</v>
      </c>
      <c r="CO253">
        <v>10.368833280715856</v>
      </c>
      <c r="CP253">
        <v>17.083018959566257</v>
      </c>
      <c r="CQ253">
        <v>1.6151496784801251</v>
      </c>
      <c r="CR253">
        <v>43.500231704973672</v>
      </c>
      <c r="CS253">
        <v>1.604377096986028</v>
      </c>
      <c r="CT253">
        <v>107.40883715011556</v>
      </c>
      <c r="CU253">
        <v>183.31916070457214</v>
      </c>
      <c r="CV253">
        <v>0.96763608395848533</v>
      </c>
      <c r="CW253">
        <v>1364.5228577806147</v>
      </c>
      <c r="CX253">
        <v>1210.5178238877081</v>
      </c>
      <c r="CY253">
        <v>75.84909137759729</v>
      </c>
      <c r="CZ253">
        <v>1047.7276793170797</v>
      </c>
      <c r="DA253">
        <v>1207.364923960233</v>
      </c>
      <c r="DB253">
        <v>239.58918540747743</v>
      </c>
      <c r="DC253">
        <v>972.39356698256427</v>
      </c>
      <c r="DD253">
        <v>1001.7861060265598</v>
      </c>
      <c r="DE253">
        <v>461.85940881897125</v>
      </c>
      <c r="DF253">
        <v>340.31062369823917</v>
      </c>
      <c r="DG253">
        <v>867.71913201258803</v>
      </c>
      <c r="DH253">
        <v>1020.776106797177</v>
      </c>
      <c r="DI253">
        <v>3028.1099503629412</v>
      </c>
      <c r="DJ253">
        <v>1721.6916736446781</v>
      </c>
      <c r="DK253">
        <v>1229.5641398910534</v>
      </c>
      <c r="DL253">
        <v>880.76843479849265</v>
      </c>
      <c r="DM253">
        <v>3139.3791315301105</v>
      </c>
      <c r="DN253">
        <v>599.7968944553844</v>
      </c>
      <c r="DO253">
        <v>2228.3618571680727</v>
      </c>
      <c r="DP253">
        <v>2825.3550368623319</v>
      </c>
      <c r="DQ253">
        <v>2069.5993286593375</v>
      </c>
      <c r="DR253">
        <v>5719.6556751862045</v>
      </c>
      <c r="DS253">
        <v>3765.6984984423198</v>
      </c>
      <c r="DT253">
        <v>1183.8052420644044</v>
      </c>
      <c r="DU253">
        <v>792.49140991877482</v>
      </c>
      <c r="DV253">
        <v>12.728748885542029</v>
      </c>
      <c r="DW253">
        <v>3.1600494422238654</v>
      </c>
      <c r="DX253">
        <v>6.212161127840873</v>
      </c>
      <c r="DY253">
        <v>6.9300929644033378</v>
      </c>
      <c r="DZ253">
        <v>1.5326019507874458</v>
      </c>
      <c r="EA253">
        <v>5.1689595054879707</v>
      </c>
      <c r="EB253">
        <v>0.28904757456778807</v>
      </c>
      <c r="EC253">
        <v>2.6278290156508177</v>
      </c>
      <c r="ED253">
        <v>3.3231107208229322</v>
      </c>
      <c r="EE253">
        <v>0.51856766637535734</v>
      </c>
      <c r="EF253">
        <v>1.1954832342559647</v>
      </c>
      <c r="EG253">
        <v>0.45612357836146444</v>
      </c>
      <c r="EH253">
        <v>3.6484749399888665</v>
      </c>
      <c r="EI253">
        <v>0.99392023799535179</v>
      </c>
      <c r="EJ253">
        <v>455.3617097489572</v>
      </c>
      <c r="EK253">
        <v>916.96973010020281</v>
      </c>
      <c r="EL253">
        <v>2108.1342628974116</v>
      </c>
      <c r="EM253">
        <v>52.482633411663556</v>
      </c>
      <c r="EN253">
        <v>262.13826537316157</v>
      </c>
      <c r="EO253">
        <v>404.71119535714291</v>
      </c>
      <c r="EP253">
        <v>148.93043855240128</v>
      </c>
      <c r="EQ253">
        <v>87.026950191905811</v>
      </c>
      <c r="ER253">
        <v>98.647167921267609</v>
      </c>
      <c r="ES253">
        <v>13.919210848552824</v>
      </c>
      <c r="ET253">
        <v>255.44030607958538</v>
      </c>
      <c r="EU253">
        <v>1442.9435800670658</v>
      </c>
      <c r="EV253">
        <v>27.454377586938396</v>
      </c>
      <c r="EW253">
        <v>454.6170863106222</v>
      </c>
      <c r="EX253">
        <v>241.79518915715767</v>
      </c>
      <c r="EY253">
        <v>427.52119533297264</v>
      </c>
      <c r="EZ253">
        <v>9.9999999999999995E-7</v>
      </c>
      <c r="FI253">
        <v>49.516534268465421</v>
      </c>
      <c r="GE253">
        <v>6.7923467289060122</v>
      </c>
      <c r="GF253">
        <v>3.4904138288125637</v>
      </c>
      <c r="GG253">
        <v>22.309016821459362</v>
      </c>
      <c r="GH253">
        <v>1.899892339043364</v>
      </c>
      <c r="IR253">
        <v>27.092711500000007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4"/>
  <dimension ref="A1:ER19"/>
  <sheetViews>
    <sheetView workbookViewId="0"/>
  </sheetViews>
  <sheetFormatPr baseColWidth="10" defaultColWidth="8.88671875" defaultRowHeight="14.4" x14ac:dyDescent="0.3"/>
  <cols>
    <col min="1" max="1" width="15.44140625" bestFit="1" customWidth="1"/>
    <col min="2" max="2" width="13.88671875" bestFit="1" customWidth="1"/>
    <col min="3" max="3" width="13.6640625" bestFit="1" customWidth="1"/>
    <col min="4" max="4" width="12.109375" bestFit="1" customWidth="1"/>
    <col min="5" max="5" width="13.6640625" bestFit="1" customWidth="1"/>
    <col min="6" max="15" width="12.109375" bestFit="1" customWidth="1"/>
    <col min="16" max="16" width="13.5546875" bestFit="1" customWidth="1"/>
    <col min="17" max="19" width="14.33203125" bestFit="1" customWidth="1"/>
    <col min="20" max="24" width="13.33203125" bestFit="1" customWidth="1"/>
    <col min="25" max="25" width="14.44140625" bestFit="1" customWidth="1"/>
    <col min="26" max="26" width="11" customWidth="1"/>
    <col min="27" max="27" width="11.88671875" bestFit="1" customWidth="1"/>
    <col min="28" max="30" width="12.6640625" bestFit="1" customWidth="1"/>
    <col min="31" max="31" width="13.88671875" bestFit="1" customWidth="1"/>
    <col min="32" max="32" width="11.88671875" bestFit="1" customWidth="1"/>
    <col min="33" max="33" width="14.88671875" bestFit="1" customWidth="1"/>
    <col min="34" max="35" width="11.88671875" bestFit="1" customWidth="1"/>
    <col min="36" max="36" width="12.6640625" bestFit="1" customWidth="1"/>
    <col min="37" max="37" width="12" bestFit="1" customWidth="1"/>
    <col min="38" max="38" width="12.6640625" bestFit="1" customWidth="1"/>
    <col min="39" max="39" width="11.88671875" bestFit="1" customWidth="1"/>
    <col min="40" max="40" width="13.5546875" bestFit="1" customWidth="1"/>
    <col min="41" max="41" width="11.6640625" bestFit="1" customWidth="1"/>
    <col min="42" max="42" width="11.88671875" bestFit="1" customWidth="1"/>
    <col min="43" max="43" width="12" bestFit="1" customWidth="1"/>
    <col min="44" max="44" width="11.88671875" bestFit="1" customWidth="1"/>
    <col min="45" max="46" width="13.5546875" bestFit="1" customWidth="1"/>
    <col min="47" max="47" width="12" bestFit="1" customWidth="1"/>
    <col min="48" max="48" width="13.5546875" bestFit="1" customWidth="1"/>
    <col min="49" max="49" width="11.88671875" bestFit="1" customWidth="1"/>
    <col min="50" max="50" width="10.88671875" bestFit="1" customWidth="1"/>
    <col min="51" max="52" width="11.88671875" bestFit="1" customWidth="1"/>
    <col min="53" max="53" width="12.109375" bestFit="1" customWidth="1"/>
    <col min="54" max="55" width="10.88671875" bestFit="1" customWidth="1"/>
    <col min="56" max="56" width="11.6640625" bestFit="1" customWidth="1"/>
    <col min="57" max="57" width="12" bestFit="1" customWidth="1"/>
    <col min="58" max="59" width="13.6640625" bestFit="1" customWidth="1"/>
    <col min="60" max="61" width="12.6640625" bestFit="1" customWidth="1"/>
    <col min="62" max="62" width="13.5546875" bestFit="1" customWidth="1"/>
    <col min="63" max="64" width="12.6640625" bestFit="1" customWidth="1"/>
    <col min="65" max="65" width="11.88671875" bestFit="1" customWidth="1"/>
    <col min="66" max="66" width="12.6640625" bestFit="1" customWidth="1"/>
    <col min="67" max="67" width="11.6640625" bestFit="1" customWidth="1"/>
    <col min="68" max="70" width="11.88671875" bestFit="1" customWidth="1"/>
    <col min="71" max="71" width="12.6640625" bestFit="1" customWidth="1"/>
    <col min="72" max="73" width="11.88671875" bestFit="1" customWidth="1"/>
    <col min="74" max="74" width="11.6640625" bestFit="1" customWidth="1"/>
    <col min="75" max="75" width="10.6640625" bestFit="1" customWidth="1"/>
  </cols>
  <sheetData>
    <row r="1" spans="1:148" x14ac:dyDescent="0.3">
      <c r="C1" s="4" t="s">
        <v>1548</v>
      </c>
      <c r="D1" s="4" t="s">
        <v>1549</v>
      </c>
      <c r="E1" s="4" t="s">
        <v>1550</v>
      </c>
      <c r="F1" s="4" t="s">
        <v>1551</v>
      </c>
      <c r="G1" s="4" t="s">
        <v>1552</v>
      </c>
      <c r="H1" s="4" t="s">
        <v>1553</v>
      </c>
      <c r="I1" s="4" t="s">
        <v>1554</v>
      </c>
      <c r="J1" s="4" t="s">
        <v>1555</v>
      </c>
      <c r="K1" s="4" t="s">
        <v>1556</v>
      </c>
      <c r="L1" s="4" t="s">
        <v>1557</v>
      </c>
      <c r="M1" s="4" t="s">
        <v>1558</v>
      </c>
      <c r="N1" s="4" t="s">
        <v>1559</v>
      </c>
      <c r="O1" s="4" t="s">
        <v>1560</v>
      </c>
      <c r="P1" s="4" t="s">
        <v>1561</v>
      </c>
      <c r="Q1" s="115" t="s">
        <v>1562</v>
      </c>
      <c r="R1" s="115" t="s">
        <v>1563</v>
      </c>
      <c r="S1" s="4" t="s">
        <v>1564</v>
      </c>
      <c r="T1" s="4" t="s">
        <v>1565</v>
      </c>
      <c r="U1" s="4" t="s">
        <v>1566</v>
      </c>
      <c r="V1" s="4" t="s">
        <v>1567</v>
      </c>
      <c r="W1" s="4" t="s">
        <v>1568</v>
      </c>
      <c r="X1" s="4" t="s">
        <v>1569</v>
      </c>
      <c r="Y1" s="4" t="s">
        <v>1570</v>
      </c>
      <c r="Z1" s="4" t="s">
        <v>1571</v>
      </c>
      <c r="AA1" s="4" t="s">
        <v>1572</v>
      </c>
      <c r="AB1" s="4" t="s">
        <v>1573</v>
      </c>
      <c r="AC1" s="4" t="s">
        <v>1574</v>
      </c>
      <c r="AD1" s="4" t="s">
        <v>1575</v>
      </c>
      <c r="AE1" s="4" t="s">
        <v>1576</v>
      </c>
      <c r="AF1" s="4" t="s">
        <v>1577</v>
      </c>
      <c r="AG1" s="4" t="s">
        <v>1578</v>
      </c>
      <c r="AH1" s="4" t="s">
        <v>1579</v>
      </c>
      <c r="AI1" s="4" t="s">
        <v>1580</v>
      </c>
      <c r="AJ1" s="4" t="s">
        <v>1581</v>
      </c>
      <c r="AK1" s="4" t="s">
        <v>1582</v>
      </c>
      <c r="AL1" s="4" t="s">
        <v>1583</v>
      </c>
      <c r="AM1" s="4" t="s">
        <v>1584</v>
      </c>
      <c r="AN1" s="4" t="s">
        <v>1585</v>
      </c>
      <c r="AO1" s="4" t="s">
        <v>1586</v>
      </c>
      <c r="AP1" s="4" t="s">
        <v>1587</v>
      </c>
      <c r="AQ1" s="4" t="s">
        <v>1588</v>
      </c>
      <c r="AR1" s="4" t="s">
        <v>1589</v>
      </c>
      <c r="AS1" s="4" t="s">
        <v>1590</v>
      </c>
      <c r="AT1" s="4" t="s">
        <v>1591</v>
      </c>
      <c r="AU1" s="4" t="s">
        <v>1592</v>
      </c>
      <c r="AV1" s="4" t="s">
        <v>511</v>
      </c>
      <c r="AW1" s="4" t="s">
        <v>514</v>
      </c>
      <c r="AX1" s="4" t="s">
        <v>515</v>
      </c>
      <c r="AY1" s="4" t="s">
        <v>516</v>
      </c>
      <c r="AZ1" s="4" t="s">
        <v>519</v>
      </c>
      <c r="BA1" s="4" t="s">
        <v>521</v>
      </c>
      <c r="BB1" s="4" t="s">
        <v>522</v>
      </c>
      <c r="BC1" s="4" t="s">
        <v>1593</v>
      </c>
      <c r="BD1" s="4" t="s">
        <v>1594</v>
      </c>
      <c r="BE1" s="4" t="s">
        <v>1595</v>
      </c>
      <c r="BF1" s="4" t="s">
        <v>1596</v>
      </c>
      <c r="BG1" s="4" t="s">
        <v>1597</v>
      </c>
      <c r="BH1" s="4" t="s">
        <v>1598</v>
      </c>
      <c r="BI1" s="4" t="s">
        <v>1599</v>
      </c>
      <c r="BJ1" s="4" t="s">
        <v>1600</v>
      </c>
      <c r="BK1" s="4" t="s">
        <v>1601</v>
      </c>
      <c r="BL1" s="4" t="s">
        <v>1602</v>
      </c>
      <c r="BM1" s="4" t="s">
        <v>1603</v>
      </c>
      <c r="BN1" s="4" t="s">
        <v>1604</v>
      </c>
      <c r="BO1" s="4" t="s">
        <v>1605</v>
      </c>
      <c r="BP1" s="4" t="s">
        <v>1606</v>
      </c>
      <c r="BQ1" s="4" t="s">
        <v>1607</v>
      </c>
      <c r="BR1" s="4" t="s">
        <v>1608</v>
      </c>
      <c r="BS1" s="4" t="s">
        <v>1609</v>
      </c>
      <c r="BT1" s="4" t="s">
        <v>1610</v>
      </c>
      <c r="BU1" s="4" t="s">
        <v>1611</v>
      </c>
      <c r="BV1" s="4" t="s">
        <v>1132</v>
      </c>
    </row>
    <row r="2" spans="1:148" x14ac:dyDescent="0.3">
      <c r="A2" s="4" t="s">
        <v>1717</v>
      </c>
      <c r="B2" s="127" t="s">
        <v>1676</v>
      </c>
      <c r="C2">
        <v>2.6646889535711746E-2</v>
      </c>
      <c r="D2">
        <v>2.2601286653361976</v>
      </c>
      <c r="E2">
        <v>0.75468649351120143</v>
      </c>
      <c r="F2">
        <v>52.101186287370389</v>
      </c>
      <c r="G2">
        <v>0.53288456636490167</v>
      </c>
      <c r="H2">
        <v>1.4498567600207792E-4</v>
      </c>
      <c r="I2">
        <v>6.6915987489952946E-3</v>
      </c>
      <c r="J2">
        <v>6.4345940858901302E-2</v>
      </c>
      <c r="K2">
        <v>15.250100350107106</v>
      </c>
      <c r="L2">
        <v>4.2916302695849735</v>
      </c>
      <c r="M2">
        <v>2.3776357872514975</v>
      </c>
      <c r="N2">
        <v>0.31014125065049536</v>
      </c>
      <c r="O2">
        <v>0.6435428955269048</v>
      </c>
      <c r="P2">
        <v>4.1564017379532754E-2</v>
      </c>
      <c r="Q2">
        <v>9.659516123662849E-3</v>
      </c>
      <c r="R2">
        <v>34.348475958725686</v>
      </c>
      <c r="S2">
        <v>41.570131482756835</v>
      </c>
      <c r="T2">
        <v>8.4135920784096587</v>
      </c>
      <c r="U2">
        <v>0.24974914280276636</v>
      </c>
      <c r="V2">
        <v>0.34265342578504099</v>
      </c>
      <c r="W2">
        <v>9.6280175507926946E-2</v>
      </c>
      <c r="X2">
        <v>1.0772473012317745</v>
      </c>
      <c r="Y2">
        <v>4.4634950749032698E-3</v>
      </c>
      <c r="Z2">
        <v>2.6102452770552436E-2</v>
      </c>
      <c r="AA2">
        <v>8.3558391081880767</v>
      </c>
      <c r="AB2">
        <v>2.5235318720868678</v>
      </c>
      <c r="AC2">
        <v>9.4330923947733986E-2</v>
      </c>
      <c r="AD2">
        <v>0.71547775181382123</v>
      </c>
      <c r="AE2">
        <v>8.3413759983725946</v>
      </c>
      <c r="AF2">
        <v>3.6003096902257479</v>
      </c>
      <c r="AG2">
        <v>2.263131101380901</v>
      </c>
      <c r="AH2">
        <v>15.462999180916432</v>
      </c>
      <c r="AI2">
        <v>1.1856614214514192</v>
      </c>
      <c r="AJ2">
        <v>0.19826335726291255</v>
      </c>
      <c r="AK2">
        <v>3.446603945495514</v>
      </c>
      <c r="AL2">
        <v>40.459469014306443</v>
      </c>
      <c r="AM2">
        <v>0.33269420453612236</v>
      </c>
      <c r="AN2">
        <v>1.1354922217982577</v>
      </c>
      <c r="AO2">
        <v>26.821311492349725</v>
      </c>
      <c r="AP2">
        <v>0.40022090627255758</v>
      </c>
      <c r="AQ2">
        <v>0.49239408160711545</v>
      </c>
      <c r="AR2">
        <v>1.2358323535053177</v>
      </c>
      <c r="AS2">
        <v>0.98051156207317758</v>
      </c>
      <c r="AT2">
        <v>0.39311896069308416</v>
      </c>
      <c r="AU2">
        <v>0.36866247667520402</v>
      </c>
      <c r="AV2">
        <v>11.178577992874748</v>
      </c>
      <c r="AW2">
        <v>5.0960006195132141</v>
      </c>
      <c r="AX2">
        <v>2.0304288884948458E-3</v>
      </c>
      <c r="AY2">
        <v>9.0002628265338641E-3</v>
      </c>
      <c r="AZ2">
        <v>1.0288361961499117</v>
      </c>
      <c r="BA2">
        <v>9.3102374182438899E-2</v>
      </c>
      <c r="BB2">
        <v>0.10903465165012692</v>
      </c>
      <c r="BC2">
        <v>128.88883003143857</v>
      </c>
      <c r="BD2">
        <v>60.920220486810727</v>
      </c>
      <c r="BE2">
        <v>247.15233471444981</v>
      </c>
      <c r="BF2">
        <v>277.52696668012294</v>
      </c>
      <c r="BG2">
        <v>58.713305111032021</v>
      </c>
      <c r="BH2">
        <v>56.756664467372175</v>
      </c>
      <c r="BI2">
        <v>3.1316166410221324</v>
      </c>
      <c r="BJ2">
        <v>0.99780444129687962</v>
      </c>
      <c r="BK2">
        <v>19.872880481568501</v>
      </c>
      <c r="BL2">
        <v>78.113935154046885</v>
      </c>
      <c r="BM2">
        <v>20.609196225891559</v>
      </c>
      <c r="BN2">
        <v>1.951985839956262</v>
      </c>
      <c r="BO2">
        <v>5.2114649234598103</v>
      </c>
      <c r="BP2">
        <v>71.46819236568399</v>
      </c>
      <c r="BQ2">
        <v>2.9579942316866616</v>
      </c>
      <c r="BR2">
        <v>190.44565739751314</v>
      </c>
      <c r="BS2">
        <v>111.11669332139343</v>
      </c>
      <c r="BT2">
        <v>274.32517452196521</v>
      </c>
      <c r="BU2">
        <v>0.21001413709377523</v>
      </c>
      <c r="BV2">
        <v>9.2536183630035544E-5</v>
      </c>
    </row>
    <row r="3" spans="1:148" x14ac:dyDescent="0.3">
      <c r="A3" s="4" t="s">
        <v>1717</v>
      </c>
      <c r="B3" s="4" t="s">
        <v>1677</v>
      </c>
      <c r="C3">
        <v>6.015402294971303E-3</v>
      </c>
      <c r="D3">
        <v>0.51334262020685462</v>
      </c>
      <c r="E3">
        <v>0.16304659913731395</v>
      </c>
      <c r="F3">
        <v>15.386624409038506</v>
      </c>
      <c r="G3">
        <v>0.15574007939585249</v>
      </c>
      <c r="H3">
        <v>3.8360779515339964E-5</v>
      </c>
      <c r="I3">
        <v>1.4432035056409654E-3</v>
      </c>
      <c r="J3">
        <v>1.7069211343097961E-2</v>
      </c>
      <c r="K3">
        <v>3.5749318757017199</v>
      </c>
      <c r="L3">
        <v>0.99997159757221254</v>
      </c>
      <c r="M3">
        <v>0.57310912710218997</v>
      </c>
      <c r="N3">
        <v>7.6227865040009612E-2</v>
      </c>
      <c r="O3">
        <v>0.1361188071727816</v>
      </c>
      <c r="P3">
        <v>1.023756560150417E-2</v>
      </c>
      <c r="Q3">
        <v>3.3528394033257576E-3</v>
      </c>
      <c r="R3">
        <v>14.487245636511235</v>
      </c>
      <c r="S3">
        <v>17.561852271556248</v>
      </c>
      <c r="T3">
        <v>2.388033131206289</v>
      </c>
      <c r="U3">
        <v>0.10426602352027702</v>
      </c>
      <c r="V3">
        <v>0.14211570614150018</v>
      </c>
      <c r="W3">
        <v>3.6183493869899365E-2</v>
      </c>
      <c r="X3">
        <v>0.47928947988892667</v>
      </c>
      <c r="Y3">
        <v>1.9660289376981694E-3</v>
      </c>
      <c r="Z3">
        <v>1.0052838230501682E-2</v>
      </c>
      <c r="AA3">
        <v>4.0042710256222493</v>
      </c>
      <c r="AB3">
        <v>0.94710193728017578</v>
      </c>
      <c r="AC3">
        <v>6.5502855014935135E-2</v>
      </c>
      <c r="AD3">
        <v>0.63523583410951145</v>
      </c>
      <c r="AE3">
        <v>4.5125864469371022</v>
      </c>
      <c r="AF3">
        <v>1.1613291412883509</v>
      </c>
      <c r="AG3">
        <v>0.90946318141031535</v>
      </c>
      <c r="AH3">
        <v>4.8919034703255759</v>
      </c>
      <c r="AI3">
        <v>0.51251569094318528</v>
      </c>
      <c r="AJ3">
        <v>9.3685025642442604E-2</v>
      </c>
      <c r="AK3">
        <v>1.1963567938216959</v>
      </c>
      <c r="AL3">
        <v>11.215183491046471</v>
      </c>
      <c r="AM3">
        <v>0.11446477389573281</v>
      </c>
      <c r="AN3">
        <v>0.39426362637306084</v>
      </c>
      <c r="AO3">
        <v>7.4574710498491639</v>
      </c>
      <c r="AP3">
        <v>0.16468165797615703</v>
      </c>
      <c r="AQ3">
        <v>0.15309494105124977</v>
      </c>
      <c r="AR3">
        <v>0.46188919547563156</v>
      </c>
      <c r="AS3">
        <v>0.25659255666553382</v>
      </c>
      <c r="AT3">
        <v>0.12205394765456808</v>
      </c>
      <c r="AU3">
        <v>0.11862687126892088</v>
      </c>
      <c r="AV3">
        <v>8.500107543186239</v>
      </c>
      <c r="AW3">
        <v>3.8749609595796621</v>
      </c>
      <c r="AX3">
        <v>1.5439230215148236E-3</v>
      </c>
      <c r="AY3">
        <v>6.843732896191496E-3</v>
      </c>
      <c r="AZ3">
        <v>0.78231938956557134</v>
      </c>
      <c r="BA3">
        <v>7.0794352696838939E-2</v>
      </c>
      <c r="BB3">
        <v>8.2909137955711046E-2</v>
      </c>
      <c r="BC3">
        <v>38.249918457235644</v>
      </c>
      <c r="BD3">
        <v>16.14046577875293</v>
      </c>
      <c r="BE3">
        <v>47.550892552107648</v>
      </c>
      <c r="BF3">
        <v>143.76069754279581</v>
      </c>
      <c r="BG3">
        <v>39.438158386107844</v>
      </c>
      <c r="BH3">
        <v>13.320041522880384</v>
      </c>
      <c r="BI3">
        <v>1.3927965482496318</v>
      </c>
      <c r="BJ3">
        <v>0.5879342949379126</v>
      </c>
      <c r="BK3">
        <v>7.1178795039384033</v>
      </c>
      <c r="BL3">
        <v>36.259168263653926</v>
      </c>
      <c r="BM3">
        <v>17.000937903115844</v>
      </c>
      <c r="BN3">
        <v>1.4478720487727601</v>
      </c>
      <c r="BO3">
        <v>3.0574076592109174</v>
      </c>
      <c r="BP3">
        <v>38.329018888695366</v>
      </c>
      <c r="BQ3">
        <v>2.4694101498638394</v>
      </c>
      <c r="BR3">
        <v>135.70378121866767</v>
      </c>
      <c r="BS3">
        <v>156.2873959079057</v>
      </c>
      <c r="BT3">
        <v>382.62004140878605</v>
      </c>
      <c r="BU3">
        <v>7.5269906834903672E-2</v>
      </c>
      <c r="BV3">
        <v>1.1213839814337199E-4</v>
      </c>
    </row>
    <row r="4" spans="1:148" x14ac:dyDescent="0.3">
      <c r="A4" s="4" t="s">
        <v>1717</v>
      </c>
      <c r="B4" s="4" t="s">
        <v>1678</v>
      </c>
      <c r="C4">
        <v>0.89155274970845511</v>
      </c>
      <c r="D4">
        <v>75.481145395666317</v>
      </c>
      <c r="E4">
        <v>24.852976544252279</v>
      </c>
      <c r="F4">
        <v>1812.9267449486572</v>
      </c>
      <c r="G4">
        <v>18.233422888355978</v>
      </c>
      <c r="H4">
        <v>4.9094895901899511E-3</v>
      </c>
      <c r="I4">
        <v>0.2234675869740666</v>
      </c>
      <c r="J4">
        <v>2.2049483250287163</v>
      </c>
      <c r="K4">
        <v>520.33207165073907</v>
      </c>
      <c r="L4">
        <v>145.02633716320906</v>
      </c>
      <c r="M4">
        <v>77.61400600865548</v>
      </c>
      <c r="N4">
        <v>10.70921363929782</v>
      </c>
      <c r="O4">
        <v>21.64262146724365</v>
      </c>
      <c r="P4">
        <v>0.34334432139252336</v>
      </c>
      <c r="Q4">
        <v>2.2980892761171434E-2</v>
      </c>
      <c r="R4">
        <v>81.678644896877699</v>
      </c>
      <c r="S4">
        <v>97.29603638786142</v>
      </c>
      <c r="T4">
        <v>18.69717173744365</v>
      </c>
      <c r="U4">
        <v>1.5756187551884933</v>
      </c>
      <c r="V4">
        <v>2.1508419047153517</v>
      </c>
      <c r="W4">
        <v>0.60302248090108468</v>
      </c>
      <c r="X4">
        <v>6.8882180121135841</v>
      </c>
      <c r="Y4">
        <v>2.8497495520736726E-2</v>
      </c>
      <c r="Z4">
        <v>0.16549401311548248</v>
      </c>
      <c r="AA4">
        <v>55.332245412499702</v>
      </c>
      <c r="AB4">
        <v>16.407347357146008</v>
      </c>
      <c r="AC4">
        <v>0.64695689698329784</v>
      </c>
      <c r="AD4">
        <v>5.322217470748714</v>
      </c>
      <c r="AE4">
        <v>59.667872034967409</v>
      </c>
      <c r="AF4">
        <v>22.80949075096142</v>
      </c>
      <c r="AG4">
        <v>15.435662278880132</v>
      </c>
      <c r="AH4">
        <v>93.17144647112589</v>
      </c>
      <c r="AI4">
        <v>7.9901064081225064</v>
      </c>
      <c r="AJ4">
        <v>1.2711311279407298</v>
      </c>
      <c r="AK4">
        <v>21.721602992069364</v>
      </c>
      <c r="AL4">
        <v>310.03197431818984</v>
      </c>
      <c r="AM4">
        <v>2.3669563753406164</v>
      </c>
      <c r="AN4">
        <v>6.8775761663874739</v>
      </c>
      <c r="AO4">
        <v>170.10478247733718</v>
      </c>
      <c r="AP4">
        <v>2.6605728595006859</v>
      </c>
      <c r="AQ4">
        <v>3.0418700545532253</v>
      </c>
      <c r="AR4">
        <v>8.4148579142018871</v>
      </c>
      <c r="AS4">
        <v>6.2221510612069366</v>
      </c>
      <c r="AT4">
        <v>2.5302757216690885</v>
      </c>
      <c r="AU4">
        <v>2.2491534237215114</v>
      </c>
      <c r="AV4">
        <v>22.759199033380678</v>
      </c>
      <c r="AW4">
        <v>17.922417893236595</v>
      </c>
      <c r="AX4">
        <v>5.452467121322864E-3</v>
      </c>
      <c r="AY4">
        <v>3.1653542264617647E-2</v>
      </c>
      <c r="AZ4">
        <v>2.7275626709481946</v>
      </c>
      <c r="BA4">
        <v>0.24682507390865438</v>
      </c>
      <c r="BB4">
        <v>0.39428871122497194</v>
      </c>
      <c r="BC4">
        <v>252.53299738734853</v>
      </c>
      <c r="BD4">
        <v>119.32408870905689</v>
      </c>
      <c r="BE4">
        <v>2747.2220540674884</v>
      </c>
      <c r="BF4">
        <v>328.2551309984961</v>
      </c>
      <c r="BG4">
        <v>57.700896119562728</v>
      </c>
      <c r="BH4">
        <v>170.96475457998613</v>
      </c>
      <c r="BI4">
        <v>7.6623818860096309</v>
      </c>
      <c r="BJ4">
        <v>3.3863647821150549</v>
      </c>
      <c r="BK4">
        <v>45.888239052841207</v>
      </c>
      <c r="BL4">
        <v>183.38270909710303</v>
      </c>
      <c r="BM4">
        <v>5.5925270039051265</v>
      </c>
      <c r="BN4">
        <v>0.52058644274959109</v>
      </c>
      <c r="BO4">
        <v>2.202480733147433</v>
      </c>
      <c r="BP4">
        <v>27.614594378731127</v>
      </c>
      <c r="BQ4">
        <v>22.536369166925063</v>
      </c>
      <c r="BR4">
        <v>230.53004279603164</v>
      </c>
      <c r="BS4">
        <v>77.91550311554191</v>
      </c>
      <c r="BT4">
        <v>363.93357969043899</v>
      </c>
      <c r="BU4">
        <v>0.12271189901156331</v>
      </c>
      <c r="BV4">
        <v>1.2418253311205309E-4</v>
      </c>
    </row>
    <row r="5" spans="1:148" x14ac:dyDescent="0.3">
      <c r="A5" s="4" t="s">
        <v>1717</v>
      </c>
      <c r="B5" s="4" t="s">
        <v>1679</v>
      </c>
      <c r="C5">
        <v>0.10905306963956542</v>
      </c>
      <c r="D5">
        <v>9.8717454683581582</v>
      </c>
      <c r="E5">
        <v>3.1794307078773145</v>
      </c>
      <c r="F5">
        <v>254.94145549395679</v>
      </c>
      <c r="G5">
        <v>2.5392914842109029</v>
      </c>
      <c r="H5">
        <v>7.676052451326005E-4</v>
      </c>
      <c r="I5">
        <v>3.0131423462649298E-2</v>
      </c>
      <c r="J5">
        <v>0.33560046542505806</v>
      </c>
      <c r="K5">
        <v>72.071045158504432</v>
      </c>
      <c r="L5">
        <v>22.147788997499433</v>
      </c>
      <c r="M5">
        <v>10.86259178798532</v>
      </c>
      <c r="N5">
        <v>1.5012567131231711</v>
      </c>
      <c r="O5">
        <v>2.540631968469595</v>
      </c>
      <c r="P5">
        <v>4.5719235271767238E-2</v>
      </c>
      <c r="Q5" s="18">
        <v>2.5019990062498916E-3</v>
      </c>
      <c r="R5" s="18">
        <v>11.506703229458981</v>
      </c>
      <c r="S5">
        <v>12.283730065255494</v>
      </c>
      <c r="T5">
        <v>1.649076272839096</v>
      </c>
      <c r="U5">
        <v>0.27707218555323992</v>
      </c>
      <c r="V5">
        <v>0.38993758036283305</v>
      </c>
      <c r="W5">
        <v>8.5702073189105749E-2</v>
      </c>
      <c r="X5">
        <v>1.2786745393419894</v>
      </c>
      <c r="Y5">
        <v>5.1379801908270125E-3</v>
      </c>
      <c r="Z5">
        <v>2.578130009472426E-2</v>
      </c>
      <c r="AA5">
        <v>11.479584108465406</v>
      </c>
      <c r="AB5">
        <v>2.8921633755213332</v>
      </c>
      <c r="AC5">
        <v>0.229952254716069</v>
      </c>
      <c r="AD5">
        <v>2.1125089152040459</v>
      </c>
      <c r="AE5">
        <v>12.716209509769561</v>
      </c>
      <c r="AF5">
        <v>2.5025529942523499</v>
      </c>
      <c r="AG5">
        <v>2.9000611810765187</v>
      </c>
      <c r="AH5">
        <v>13.062228603290112</v>
      </c>
      <c r="AI5">
        <v>1.4927507542313208</v>
      </c>
      <c r="AJ5">
        <v>0.27901107828099142</v>
      </c>
      <c r="AK5">
        <v>2.7333570983838342</v>
      </c>
      <c r="AL5">
        <v>34.958248503531777</v>
      </c>
      <c r="AM5">
        <v>0.36211535474014839</v>
      </c>
      <c r="AN5">
        <v>0.9546989920277249</v>
      </c>
      <c r="AO5">
        <v>14.431799033664847</v>
      </c>
      <c r="AP5">
        <v>0.55858375675438254</v>
      </c>
      <c r="AQ5">
        <v>0.3632069225836288</v>
      </c>
      <c r="AR5">
        <v>1.0327963584191497</v>
      </c>
      <c r="AS5">
        <v>0.83800231765295319</v>
      </c>
      <c r="AT5">
        <v>0.30053910410511075</v>
      </c>
      <c r="AU5">
        <v>0.26451996899562591</v>
      </c>
      <c r="AV5">
        <v>4.130082748838519</v>
      </c>
      <c r="AW5">
        <v>3.2523582596103369</v>
      </c>
      <c r="AX5">
        <v>9.8945223702100378E-4</v>
      </c>
      <c r="AY5">
        <v>5.7441278427674625E-3</v>
      </c>
      <c r="AZ5">
        <v>0.49496731045484976</v>
      </c>
      <c r="BA5">
        <v>4.4791030573429695E-2</v>
      </c>
      <c r="BB5">
        <v>7.1551068291270087E-2</v>
      </c>
      <c r="BC5">
        <v>21.141221231109984</v>
      </c>
      <c r="BD5">
        <v>9.2744528071574415</v>
      </c>
      <c r="BE5">
        <v>102.35661258969279</v>
      </c>
      <c r="BF5">
        <v>71.164390811876103</v>
      </c>
      <c r="BG5">
        <v>19.266846691509635</v>
      </c>
      <c r="BH5">
        <v>6.0425109415695886</v>
      </c>
      <c r="BI5">
        <v>0.55351747162149845</v>
      </c>
      <c r="BJ5">
        <v>0.4566071338787635</v>
      </c>
      <c r="BK5">
        <v>2.7609084040595162</v>
      </c>
      <c r="BL5">
        <v>24.244533793738015</v>
      </c>
      <c r="BM5">
        <v>1.6024437840570069</v>
      </c>
      <c r="BN5">
        <v>0.12058369027372622</v>
      </c>
      <c r="BO5">
        <v>0.37021707270453719</v>
      </c>
      <c r="BP5">
        <v>4.8852178847216194</v>
      </c>
      <c r="BQ5">
        <v>10.690457203391404</v>
      </c>
      <c r="BR5">
        <v>37.578558423715677</v>
      </c>
      <c r="BS5">
        <v>30.003028197179393</v>
      </c>
      <c r="BT5">
        <v>185.57974243161348</v>
      </c>
      <c r="BU5">
        <v>2.1230818993090449E-2</v>
      </c>
      <c r="BV5">
        <v>1.8177153621916538E-4</v>
      </c>
      <c r="EI5" s="18"/>
      <c r="EJ5" s="18"/>
      <c r="EK5" s="18"/>
      <c r="EL5" s="18"/>
      <c r="EM5" s="18"/>
      <c r="EN5" s="18"/>
      <c r="EO5" s="18"/>
      <c r="EP5" s="18"/>
      <c r="EQ5" s="18"/>
      <c r="ER5" s="18"/>
    </row>
    <row r="6" spans="1:148" x14ac:dyDescent="0.3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</row>
    <row r="7" spans="1:148" x14ac:dyDescent="0.3">
      <c r="Q7" s="18"/>
      <c r="R7" s="18"/>
    </row>
    <row r="8" spans="1:148" x14ac:dyDescent="0.3">
      <c r="B8" s="19"/>
      <c r="Q8" s="18"/>
      <c r="R8" s="18"/>
    </row>
    <row r="10" spans="1:148" x14ac:dyDescent="0.3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</row>
    <row r="11" spans="1:148" x14ac:dyDescent="0.3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</row>
    <row r="12" spans="1:148" x14ac:dyDescent="0.3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</row>
    <row r="13" spans="1:148" x14ac:dyDescent="0.3">
      <c r="B13" s="22"/>
      <c r="C13" s="22"/>
      <c r="D13" s="22"/>
      <c r="E13" s="22"/>
      <c r="F13" s="22"/>
      <c r="G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</row>
    <row r="15" spans="1:148" x14ac:dyDescent="0.3">
      <c r="B15" s="2"/>
      <c r="C15" s="2"/>
      <c r="D15" s="2"/>
      <c r="E15" s="2"/>
      <c r="F15" s="2"/>
      <c r="G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</row>
    <row r="16" spans="1:148" x14ac:dyDescent="0.3">
      <c r="B16" s="2"/>
      <c r="C16" s="2"/>
      <c r="D16" s="2"/>
      <c r="E16" s="2"/>
      <c r="F16" s="2"/>
      <c r="G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</row>
    <row r="17" spans="2:75" x14ac:dyDescent="0.3">
      <c r="B17" s="2"/>
      <c r="C17" s="2"/>
      <c r="D17" s="2"/>
      <c r="E17" s="2"/>
      <c r="F17" s="2"/>
      <c r="G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</row>
    <row r="18" spans="2:75" x14ac:dyDescent="0.3">
      <c r="B18" s="2"/>
      <c r="C18" s="2"/>
      <c r="D18" s="2"/>
      <c r="E18" s="2"/>
      <c r="F18" s="2"/>
      <c r="G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</row>
    <row r="19" spans="2:75" x14ac:dyDescent="0.3">
      <c r="B19" s="2"/>
      <c r="C19" s="2"/>
      <c r="D19" s="2"/>
      <c r="E19" s="2"/>
      <c r="F19" s="2"/>
      <c r="G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22</vt:i4>
      </vt:variant>
      <vt:variant>
        <vt:lpstr>Benannte Bereiche</vt:lpstr>
      </vt:variant>
      <vt:variant>
        <vt:i4>1</vt:i4>
      </vt:variant>
    </vt:vector>
  </HeadingPairs>
  <TitlesOfParts>
    <vt:vector size="23" baseType="lpstr">
      <vt:lpstr>Dictionary</vt:lpstr>
      <vt:lpstr>Layout</vt:lpstr>
      <vt:lpstr>MACC</vt:lpstr>
      <vt:lpstr>sets</vt:lpstr>
      <vt:lpstr>maps</vt:lpstr>
      <vt:lpstr>PowerMix</vt:lpstr>
      <vt:lpstr>EmiInv</vt:lpstr>
      <vt:lpstr>mapK</vt:lpstr>
      <vt:lpstr>pnest</vt:lpstr>
      <vt:lpstr>defPar</vt:lpstr>
      <vt:lpstr>fmNest</vt:lpstr>
      <vt:lpstr>actPar</vt:lpstr>
      <vt:lpstr>comPar</vt:lpstr>
      <vt:lpstr>hohPar</vt:lpstr>
      <vt:lpstr>GDPComposition</vt:lpstr>
      <vt:lpstr>EnTech</vt:lpstr>
      <vt:lpstr>othPar</vt:lpstr>
      <vt:lpstr>GHGMitigation</vt:lpstr>
      <vt:lpstr>Energy</vt:lpstr>
      <vt:lpstr>Nutrients</vt:lpstr>
      <vt:lpstr>SAM</vt:lpstr>
      <vt:lpstr>Labor</vt:lpstr>
      <vt:lpstr>hhElas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van der Mensbrugghe</dc:creator>
  <cp:lastModifiedBy>Britz Wolfgang</cp:lastModifiedBy>
  <cp:lastPrinted>2012-09-24T12:18:17Z</cp:lastPrinted>
  <dcterms:created xsi:type="dcterms:W3CDTF">2012-09-21T14:15:22Z</dcterms:created>
  <dcterms:modified xsi:type="dcterms:W3CDTF">2025-01-05T15:06:30Z</dcterms:modified>
</cp:coreProperties>
</file>