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NG_WB_OS\dat\"/>
    </mc:Choice>
  </mc:AlternateContent>
  <xr:revisionPtr revIDLastSave="0" documentId="13_ncr:1_{B2B1D8BC-2F5C-4D99-A5B7-142A7555A88E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Dictionary" sheetId="27" r:id="rId1"/>
    <sheet name="Layout" sheetId="37" r:id="rId2"/>
    <sheet name="MACC" sheetId="77" r:id="rId3"/>
    <sheet name="sets" sheetId="38" r:id="rId4"/>
    <sheet name="maps" sheetId="39" r:id="rId5"/>
    <sheet name="EmiInv" sheetId="73" r:id="rId6"/>
    <sheet name="mapK" sheetId="71" r:id="rId7"/>
    <sheet name="pnest" sheetId="59" r:id="rId8"/>
    <sheet name="defPar" sheetId="9" r:id="rId9"/>
    <sheet name="fmNest" sheetId="74" r:id="rId10"/>
    <sheet name="actPar" sheetId="66" r:id="rId11"/>
    <sheet name="comPar" sheetId="67" r:id="rId12"/>
    <sheet name="hohPar" sheetId="68" r:id="rId13"/>
    <sheet name="GDPComposition" sheetId="78" r:id="rId14"/>
    <sheet name="EnTech" sheetId="79" r:id="rId15"/>
    <sheet name="othPar" sheetId="69" r:id="rId16"/>
    <sheet name="GHGMitigation" sheetId="75" r:id="rId17"/>
    <sheet name="Energy" sheetId="76" r:id="rId18"/>
    <sheet name="SAM" sheetId="72" r:id="rId19"/>
    <sheet name="Labor" sheetId="46" r:id="rId20"/>
  </sheets>
  <definedNames>
    <definedName name="ActLab">#REF!</definedName>
    <definedName name="ActLab0">#REF!</definedName>
    <definedName name="ActMap">#REF!</definedName>
    <definedName name="actProd">#REF!</definedName>
    <definedName name="AEEI">#REF!</definedName>
    <definedName name="BridgeFileName">#REF!</definedName>
    <definedName name="CommAgg">#REF!</definedName>
    <definedName name="CommElas">#REF!</definedName>
    <definedName name="CommLab">#REF!</definedName>
    <definedName name="CommLab0">#REF!</definedName>
    <definedName name="CommMap">#REF!</definedName>
    <definedName name="depr">#REF!</definedName>
    <definedName name="Description">#REF!</definedName>
    <definedName name="Dyntab">#REF!</definedName>
    <definedName name="EMICO2">#REF!</definedName>
    <definedName name="escale">#REF!</definedName>
    <definedName name="EXR">#REF!</definedName>
    <definedName name="fdComm">#REF!</definedName>
    <definedName name="fdCommMap">#REF!</definedName>
    <definedName name="GDDebt0">#REF!</definedName>
    <definedName name="GDPMod">#REF!</definedName>
    <definedName name="GDPScen">#REF!</definedName>
    <definedName name="GFDebt0">#REF!</definedName>
    <definedName name="hhElas">defPar!$B$12:$C$35</definedName>
    <definedName name="ifEnglish">#REF!</definedName>
    <definedName name="inscale">#REF!</definedName>
    <definedName name="KSAMA0">#REF!</definedName>
    <definedName name="Labvol">#REF!</definedName>
    <definedName name="Lang">#REF!</definedName>
    <definedName name="miscElas">defPar!#REF!</definedName>
    <definedName name="NRGPrice">#REF!</definedName>
    <definedName name="PFDebt0">#REF!</definedName>
    <definedName name="Pop">#REF!</definedName>
    <definedName name="popScen">#REF!</definedName>
    <definedName name="prodElas">#REF!</definedName>
    <definedName name="pscale">#REF!</definedName>
    <definedName name="RGDDebt0">#REF!</definedName>
    <definedName name="RGFDebt0">#REF!</definedName>
    <definedName name="RoR0">#REF!</definedName>
    <definedName name="RPFDebt0">#REF!</definedName>
    <definedName name="SAM0">#REF!</definedName>
    <definedName name="SAMFileName">#REF!</definedName>
    <definedName name="SAMLab">#REF!</definedName>
    <definedName name="SamLab0">#REF!</definedName>
    <definedName name="samMap">#REF!</definedName>
    <definedName name="SAMVAL">#REF!</definedName>
    <definedName name="scenFileName">#REF!</definedName>
    <definedName name="timeScen">#REF!</definedName>
    <definedName name="wDir">#REF!</definedName>
  </definedNames>
  <calcPr calcId="191029"/>
</workbook>
</file>

<file path=xl/calcChain.xml><?xml version="1.0" encoding="utf-8"?>
<calcChain xmlns="http://schemas.openxmlformats.org/spreadsheetml/2006/main">
  <c r="D30" i="37" l="1"/>
  <c r="V2" i="38"/>
  <c r="V3" i="38"/>
  <c r="D29" i="37"/>
  <c r="U3" i="38"/>
  <c r="U2" i="38"/>
  <c r="D4" i="75"/>
  <c r="E4" i="75" s="1"/>
  <c r="F4" i="75" s="1"/>
  <c r="G4" i="75" s="1"/>
  <c r="H4" i="75" s="1"/>
  <c r="I4" i="75" s="1"/>
  <c r="J4" i="75" s="1"/>
  <c r="K4" i="75" s="1"/>
  <c r="L4" i="75" s="1"/>
  <c r="M4" i="75" s="1"/>
  <c r="N4" i="75" s="1"/>
  <c r="O4" i="75" s="1"/>
  <c r="P4" i="75" s="1"/>
  <c r="Q4" i="75" s="1"/>
  <c r="R4" i="75" s="1"/>
  <c r="S4" i="75" s="1"/>
  <c r="T4" i="75" s="1"/>
  <c r="U4" i="75" s="1"/>
  <c r="V4" i="75" s="1"/>
  <c r="W4" i="75" s="1"/>
  <c r="X4" i="75" s="1"/>
  <c r="Y4" i="75" s="1"/>
  <c r="Z4" i="75" s="1"/>
  <c r="AA4" i="75" s="1"/>
  <c r="AB4" i="75" s="1"/>
  <c r="AC4" i="75" s="1"/>
  <c r="AD4" i="75" s="1"/>
  <c r="AE4" i="75" s="1"/>
  <c r="AF4" i="75" s="1"/>
  <c r="AG4" i="75" s="1"/>
  <c r="AH4" i="75" s="1"/>
  <c r="AI4" i="75" s="1"/>
  <c r="AJ4" i="75" s="1"/>
  <c r="AK4" i="75" s="1"/>
  <c r="AL4" i="75" s="1"/>
  <c r="AM4" i="75" s="1"/>
  <c r="AN4" i="75" s="1"/>
  <c r="AO4" i="75" s="1"/>
  <c r="AP4" i="75" s="1"/>
  <c r="AQ4" i="75" s="1"/>
  <c r="AR4" i="75" s="1"/>
  <c r="AS4" i="75" s="1"/>
  <c r="AT4" i="75" s="1"/>
  <c r="AU4" i="75" s="1"/>
  <c r="AV4" i="75" s="1"/>
  <c r="AW4" i="75" s="1"/>
  <c r="AX4" i="75" s="1"/>
  <c r="AY4" i="75" s="1"/>
  <c r="AZ4" i="75" s="1"/>
  <c r="BA4" i="75" s="1"/>
  <c r="BB4" i="75" s="1"/>
  <c r="BC4" i="75" s="1"/>
  <c r="BD4" i="75" s="1"/>
  <c r="BE4" i="75" s="1"/>
  <c r="BF4" i="75" s="1"/>
  <c r="BG4" i="75" s="1"/>
  <c r="BH4" i="75" s="1"/>
  <c r="BI4" i="75" s="1"/>
  <c r="BJ4" i="75" s="1"/>
  <c r="BK4" i="75" s="1"/>
  <c r="BL4" i="75" s="1"/>
  <c r="BM4" i="75" s="1"/>
  <c r="BN4" i="75" s="1"/>
  <c r="BO4" i="75" s="1"/>
  <c r="BP4" i="75" s="1"/>
  <c r="BQ4" i="75" s="1"/>
  <c r="BR4" i="75" s="1"/>
  <c r="BS4" i="75" s="1"/>
  <c r="BT4" i="75" s="1"/>
  <c r="BU4" i="75" s="1"/>
  <c r="BV4" i="75" s="1"/>
  <c r="BW4" i="75" s="1"/>
  <c r="BX4" i="75" s="1"/>
  <c r="BY4" i="75" s="1"/>
  <c r="BZ4" i="75" s="1"/>
  <c r="CA4" i="75" s="1"/>
  <c r="CB4" i="75" s="1"/>
  <c r="CC4" i="75" s="1"/>
  <c r="CD4" i="75" s="1"/>
  <c r="CE4" i="75" s="1"/>
  <c r="CF4" i="75" s="1"/>
  <c r="CG4" i="75" s="1"/>
  <c r="CH4" i="75" s="1"/>
  <c r="D3" i="75"/>
  <c r="E3" i="75" s="1"/>
  <c r="F3" i="75" s="1"/>
  <c r="G3" i="75" s="1"/>
  <c r="H3" i="75" s="1"/>
  <c r="I3" i="75" s="1"/>
  <c r="J3" i="75" s="1"/>
  <c r="K3" i="75" s="1"/>
  <c r="L3" i="75" s="1"/>
  <c r="M3" i="75" s="1"/>
  <c r="N3" i="75" s="1"/>
  <c r="O3" i="75" s="1"/>
  <c r="P3" i="75" s="1"/>
  <c r="Q3" i="75" s="1"/>
  <c r="R3" i="75" s="1"/>
  <c r="S3" i="75" s="1"/>
  <c r="T3" i="75" s="1"/>
  <c r="U3" i="75" s="1"/>
  <c r="V3" i="75" s="1"/>
  <c r="W3" i="75" s="1"/>
  <c r="X3" i="75" s="1"/>
  <c r="Y3" i="75" s="1"/>
  <c r="Z3" i="75" s="1"/>
  <c r="AA3" i="75" s="1"/>
  <c r="AB3" i="75" s="1"/>
  <c r="AC3" i="75" s="1"/>
  <c r="AD3" i="75" s="1"/>
  <c r="AE3" i="75" s="1"/>
  <c r="AF3" i="75" s="1"/>
  <c r="AG3" i="75" s="1"/>
  <c r="AH3" i="75" s="1"/>
  <c r="AI3" i="75" s="1"/>
  <c r="AJ3" i="75" s="1"/>
  <c r="AK3" i="75" s="1"/>
  <c r="AL3" i="75" s="1"/>
  <c r="AM3" i="75" s="1"/>
  <c r="AN3" i="75" s="1"/>
  <c r="AO3" i="75" s="1"/>
  <c r="AP3" i="75" s="1"/>
  <c r="AQ3" i="75" s="1"/>
  <c r="AR3" i="75" s="1"/>
  <c r="AS3" i="75" s="1"/>
  <c r="AT3" i="75" s="1"/>
  <c r="AU3" i="75" s="1"/>
  <c r="AV3" i="75" s="1"/>
  <c r="AW3" i="75" s="1"/>
  <c r="AX3" i="75" s="1"/>
  <c r="AY3" i="75" s="1"/>
  <c r="AZ3" i="75" s="1"/>
  <c r="BA3" i="75" s="1"/>
  <c r="BB3" i="75" s="1"/>
  <c r="BC3" i="75" s="1"/>
  <c r="BD3" i="75" s="1"/>
  <c r="BE3" i="75" s="1"/>
  <c r="BF3" i="75" s="1"/>
  <c r="BG3" i="75" s="1"/>
  <c r="BH3" i="75" s="1"/>
  <c r="BI3" i="75" s="1"/>
  <c r="BJ3" i="75" s="1"/>
  <c r="BK3" i="75" s="1"/>
  <c r="BL3" i="75" s="1"/>
  <c r="BM3" i="75" s="1"/>
  <c r="BN3" i="75" s="1"/>
  <c r="BO3" i="75" s="1"/>
  <c r="BP3" i="75" s="1"/>
  <c r="BQ3" i="75" s="1"/>
  <c r="BR3" i="75" s="1"/>
  <c r="BS3" i="75" s="1"/>
  <c r="BT3" i="75" s="1"/>
  <c r="BU3" i="75" s="1"/>
  <c r="BV3" i="75" s="1"/>
  <c r="BW3" i="75" s="1"/>
  <c r="BX3" i="75" s="1"/>
  <c r="BY3" i="75" s="1"/>
  <c r="BZ3" i="75" s="1"/>
  <c r="CA3" i="75" s="1"/>
  <c r="CB3" i="75" s="1"/>
  <c r="CC3" i="75" s="1"/>
  <c r="CD3" i="75" s="1"/>
  <c r="CE3" i="75" s="1"/>
  <c r="CF3" i="75" s="1"/>
  <c r="CG3" i="75" s="1"/>
  <c r="CH3" i="75" s="1"/>
  <c r="D2" i="75"/>
  <c r="E2" i="75" s="1"/>
  <c r="F2" i="75" s="1"/>
  <c r="G2" i="75" s="1"/>
  <c r="H2" i="75" s="1"/>
  <c r="I2" i="75" s="1"/>
  <c r="J2" i="75" s="1"/>
  <c r="K2" i="75" s="1"/>
  <c r="L2" i="75" s="1"/>
  <c r="M2" i="75" s="1"/>
  <c r="N2" i="75" s="1"/>
  <c r="O2" i="75" s="1"/>
  <c r="P2" i="75" s="1"/>
  <c r="Q2" i="75" s="1"/>
  <c r="R2" i="75" s="1"/>
  <c r="S2" i="75" s="1"/>
  <c r="T2" i="75" s="1"/>
  <c r="U2" i="75" s="1"/>
  <c r="V2" i="75" s="1"/>
  <c r="W2" i="75" s="1"/>
  <c r="X2" i="75" s="1"/>
  <c r="Y2" i="75" s="1"/>
  <c r="Z2" i="75" s="1"/>
  <c r="AA2" i="75" s="1"/>
  <c r="AB2" i="75" s="1"/>
  <c r="AC2" i="75" s="1"/>
  <c r="AD2" i="75" s="1"/>
  <c r="AE2" i="75" s="1"/>
  <c r="AF2" i="75" s="1"/>
  <c r="AG2" i="75" s="1"/>
  <c r="AH2" i="75" s="1"/>
  <c r="AI2" i="75" s="1"/>
  <c r="AJ2" i="75" s="1"/>
  <c r="AK2" i="75" s="1"/>
  <c r="AL2" i="75" s="1"/>
  <c r="AM2" i="75" s="1"/>
  <c r="AN2" i="75" s="1"/>
  <c r="AO2" i="75" s="1"/>
  <c r="AP2" i="75" s="1"/>
  <c r="AQ2" i="75" s="1"/>
  <c r="AR2" i="75" s="1"/>
  <c r="AS2" i="75" s="1"/>
  <c r="AT2" i="75" s="1"/>
  <c r="AU2" i="75" s="1"/>
  <c r="AV2" i="75" s="1"/>
  <c r="AW2" i="75" s="1"/>
  <c r="AX2" i="75" s="1"/>
  <c r="AY2" i="75" s="1"/>
  <c r="AZ2" i="75" s="1"/>
  <c r="BA2" i="75" s="1"/>
  <c r="BB2" i="75" s="1"/>
  <c r="BC2" i="75" s="1"/>
  <c r="BD2" i="75" s="1"/>
  <c r="BE2" i="75" s="1"/>
  <c r="BF2" i="75" s="1"/>
  <c r="BG2" i="75" s="1"/>
  <c r="BH2" i="75" s="1"/>
  <c r="BI2" i="75" s="1"/>
  <c r="BJ2" i="75" s="1"/>
  <c r="BK2" i="75" s="1"/>
  <c r="BL2" i="75" s="1"/>
  <c r="BM2" i="75" s="1"/>
  <c r="BN2" i="75" s="1"/>
  <c r="BO2" i="75" s="1"/>
  <c r="BP2" i="75" s="1"/>
  <c r="BQ2" i="75" s="1"/>
  <c r="BR2" i="75" s="1"/>
  <c r="BS2" i="75" s="1"/>
  <c r="BT2" i="75" s="1"/>
  <c r="BU2" i="75" s="1"/>
  <c r="BV2" i="75" s="1"/>
  <c r="BW2" i="75" s="1"/>
  <c r="BX2" i="75" s="1"/>
  <c r="BY2" i="75" s="1"/>
  <c r="BZ2" i="75" s="1"/>
  <c r="CA2" i="75" s="1"/>
  <c r="CB2" i="75" s="1"/>
  <c r="CC2" i="75" s="1"/>
  <c r="CD2" i="75" s="1"/>
  <c r="CE2" i="75" s="1"/>
  <c r="CF2" i="75" s="1"/>
  <c r="CG2" i="75" s="1"/>
  <c r="CH2" i="75" s="1"/>
  <c r="D1" i="75"/>
  <c r="E1" i="75" s="1"/>
  <c r="F1" i="75" s="1"/>
  <c r="G1" i="75" s="1"/>
  <c r="H1" i="75" s="1"/>
  <c r="I1" i="75" s="1"/>
  <c r="J1" i="75" s="1"/>
  <c r="K1" i="75" s="1"/>
  <c r="L1" i="75" s="1"/>
  <c r="M1" i="75" s="1"/>
  <c r="N1" i="75" s="1"/>
  <c r="O1" i="75" s="1"/>
  <c r="P1" i="75" s="1"/>
  <c r="Q1" i="75" s="1"/>
  <c r="R1" i="75" s="1"/>
  <c r="S1" i="75" s="1"/>
  <c r="T1" i="75" s="1"/>
  <c r="U1" i="75" s="1"/>
  <c r="V1" i="75" s="1"/>
  <c r="W1" i="75" s="1"/>
  <c r="X1" i="75" s="1"/>
  <c r="Y1" i="75" s="1"/>
  <c r="Z1" i="75" s="1"/>
  <c r="AA1" i="75" s="1"/>
  <c r="AB1" i="75" s="1"/>
  <c r="AC1" i="75" s="1"/>
  <c r="AD1" i="75" s="1"/>
  <c r="AE1" i="75" s="1"/>
  <c r="AF1" i="75" s="1"/>
  <c r="AG1" i="75" s="1"/>
  <c r="AH1" i="75" s="1"/>
  <c r="AI1" i="75" s="1"/>
  <c r="AJ1" i="75" s="1"/>
  <c r="AK1" i="75" s="1"/>
  <c r="AL1" i="75" s="1"/>
  <c r="AM1" i="75" s="1"/>
  <c r="AN1" i="75" s="1"/>
  <c r="AO1" i="75" s="1"/>
  <c r="AP1" i="75" s="1"/>
  <c r="AQ1" i="75" s="1"/>
  <c r="AR1" i="75" s="1"/>
  <c r="AS1" i="75" s="1"/>
  <c r="AT1" i="75" s="1"/>
  <c r="AU1" i="75" s="1"/>
  <c r="AV1" i="75" s="1"/>
  <c r="AW1" i="75" s="1"/>
  <c r="AX1" i="75" s="1"/>
  <c r="AY1" i="75" s="1"/>
  <c r="AZ1" i="75" s="1"/>
  <c r="BA1" i="75" s="1"/>
  <c r="BB1" i="75" s="1"/>
  <c r="BC1" i="75" s="1"/>
  <c r="BD1" i="75" s="1"/>
  <c r="BE1" i="75" s="1"/>
  <c r="BF1" i="75" s="1"/>
  <c r="BG1" i="75" s="1"/>
  <c r="BH1" i="75" s="1"/>
  <c r="BI1" i="75" s="1"/>
  <c r="BJ1" i="75" s="1"/>
  <c r="BK1" i="75" s="1"/>
  <c r="BL1" i="75" s="1"/>
  <c r="BM1" i="75" s="1"/>
  <c r="BN1" i="75" s="1"/>
  <c r="BO1" i="75" s="1"/>
  <c r="BP1" i="75" s="1"/>
  <c r="BQ1" i="75" s="1"/>
  <c r="BR1" i="75" s="1"/>
  <c r="BS1" i="75" s="1"/>
  <c r="BT1" i="75" s="1"/>
  <c r="BU1" i="75" s="1"/>
  <c r="BV1" i="75" s="1"/>
  <c r="BW1" i="75" s="1"/>
  <c r="BX1" i="75" s="1"/>
  <c r="BY1" i="75" s="1"/>
  <c r="BZ1" i="75" s="1"/>
  <c r="CA1" i="75" s="1"/>
  <c r="CB1" i="75" s="1"/>
  <c r="CC1" i="75" s="1"/>
  <c r="CD1" i="75" s="1"/>
  <c r="CE1" i="75" s="1"/>
  <c r="CF1" i="75" s="1"/>
  <c r="CG1" i="75" s="1"/>
  <c r="CH1" i="75" s="1"/>
  <c r="N3" i="39"/>
  <c r="M3" i="39"/>
  <c r="K3" i="39"/>
  <c r="J3" i="39"/>
  <c r="I3" i="39"/>
  <c r="H3" i="39"/>
  <c r="G3" i="39"/>
  <c r="F3" i="39"/>
  <c r="E3" i="39"/>
  <c r="D3" i="39"/>
  <c r="C3" i="39"/>
  <c r="B3" i="39"/>
  <c r="A3" i="39"/>
  <c r="N2" i="39"/>
  <c r="M2" i="39"/>
  <c r="K2" i="39"/>
  <c r="J2" i="39"/>
  <c r="I2" i="39"/>
  <c r="H2" i="39"/>
  <c r="G2" i="39"/>
  <c r="F2" i="39"/>
  <c r="E2" i="39"/>
  <c r="D2" i="39"/>
  <c r="C2" i="39"/>
  <c r="B2" i="39"/>
  <c r="A2" i="39"/>
  <c r="T3" i="38"/>
  <c r="S3" i="38"/>
  <c r="Q3" i="38"/>
  <c r="P3" i="38"/>
  <c r="O3" i="38"/>
  <c r="N3" i="38"/>
  <c r="M3" i="38"/>
  <c r="L3" i="38"/>
  <c r="K3" i="38"/>
  <c r="J3" i="38"/>
  <c r="I3" i="38"/>
  <c r="H3" i="38"/>
  <c r="G3" i="38"/>
  <c r="D3" i="38"/>
  <c r="C3" i="38"/>
  <c r="B3" i="38"/>
  <c r="T2" i="38"/>
  <c r="S2" i="38"/>
  <c r="Q2" i="38"/>
  <c r="P2" i="38"/>
  <c r="O2" i="38"/>
  <c r="N2" i="38"/>
  <c r="M2" i="38"/>
  <c r="L2" i="38"/>
  <c r="K2" i="38"/>
  <c r="J2" i="38"/>
  <c r="I2" i="38"/>
  <c r="H2" i="38"/>
  <c r="G2" i="38"/>
  <c r="D2" i="38"/>
  <c r="C2" i="38"/>
  <c r="B2" i="38"/>
  <c r="R4" i="27" l="1"/>
  <c r="R6" i="27"/>
  <c r="R5" i="27"/>
  <c r="R3" i="27"/>
  <c r="R2" i="27"/>
  <c r="D31" i="37" l="1"/>
  <c r="D7" i="37"/>
  <c r="D5" i="37"/>
  <c r="D24" i="37"/>
  <c r="D21" i="37"/>
  <c r="D20" i="37"/>
  <c r="D6" i="37"/>
  <c r="D19" i="37"/>
  <c r="D11" i="37"/>
  <c r="D18" i="37"/>
  <c r="D10" i="37"/>
  <c r="D9" i="37"/>
  <c r="D17" i="37"/>
  <c r="D16" i="37"/>
  <c r="D8" i="37"/>
  <c r="D14" i="37"/>
  <c r="D15" i="37"/>
  <c r="D13" i="37"/>
  <c r="D12" i="37"/>
</calcChain>
</file>

<file path=xl/sharedStrings.xml><?xml version="1.0" encoding="utf-8"?>
<sst xmlns="http://schemas.openxmlformats.org/spreadsheetml/2006/main" count="3409" uniqueCount="1399">
  <si>
    <t>inv</t>
  </si>
  <si>
    <t>Capital</t>
  </si>
  <si>
    <t>Government</t>
  </si>
  <si>
    <t>PLT15</t>
  </si>
  <si>
    <t>P1564</t>
  </si>
  <si>
    <t>P65UP</t>
  </si>
  <si>
    <t>PTOTL</t>
  </si>
  <si>
    <t>USD</t>
  </si>
  <si>
    <t>e</t>
  </si>
  <si>
    <t>Old</t>
  </si>
  <si>
    <t>New</t>
  </si>
  <si>
    <t>omegap0</t>
  </si>
  <si>
    <t>invElas0</t>
  </si>
  <si>
    <t>sigmam0</t>
  </si>
  <si>
    <t>sigmas0</t>
  </si>
  <si>
    <t>inf</t>
  </si>
  <si>
    <t>incElas0</t>
  </si>
  <si>
    <t>prcElas0</t>
  </si>
  <si>
    <t>sigmamg0</t>
  </si>
  <si>
    <t>cap</t>
  </si>
  <si>
    <t>is</t>
  </si>
  <si>
    <t>stb</t>
  </si>
  <si>
    <t>row</t>
  </si>
  <si>
    <t>ssb</t>
  </si>
  <si>
    <t>ptx</t>
  </si>
  <si>
    <t>psb</t>
  </si>
  <si>
    <t>dtx</t>
  </si>
  <si>
    <t>mtx</t>
  </si>
  <si>
    <t>etx</t>
  </si>
  <si>
    <t>omegam0</t>
  </si>
  <si>
    <t>etae0</t>
  </si>
  <si>
    <t>ctx</t>
  </si>
  <si>
    <t>GDP</t>
  </si>
  <si>
    <t>ginv</t>
  </si>
  <si>
    <t>stx</t>
  </si>
  <si>
    <t>Land</t>
  </si>
  <si>
    <t>Transport</t>
  </si>
  <si>
    <t>Enterprises</t>
  </si>
  <si>
    <t>Tariffs</t>
  </si>
  <si>
    <t>co2</t>
  </si>
  <si>
    <t>ch4</t>
  </si>
  <si>
    <t>fgas</t>
  </si>
  <si>
    <t>coa</t>
  </si>
  <si>
    <t>pdr</t>
  </si>
  <si>
    <t>gas</t>
  </si>
  <si>
    <t>p_c</t>
  </si>
  <si>
    <t>gdt</t>
  </si>
  <si>
    <t>wht</t>
  </si>
  <si>
    <t>gro</t>
  </si>
  <si>
    <t>v_f</t>
  </si>
  <si>
    <t>osd</t>
  </si>
  <si>
    <t>pfb</t>
  </si>
  <si>
    <t>ocr</t>
  </si>
  <si>
    <t>ctl</t>
  </si>
  <si>
    <t>oap</t>
  </si>
  <si>
    <t>rmk</t>
  </si>
  <si>
    <t>wol</t>
  </si>
  <si>
    <t>frs</t>
  </si>
  <si>
    <t>fsh</t>
  </si>
  <si>
    <t>oil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</si>
  <si>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</si>
  <si>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</si>
  <si>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</si>
  <si>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</si>
  <si>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</si>
  <si>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</si>
  <si>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</si>
  <si>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</si>
  <si>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</si>
  <si>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</si>
  <si>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</si>
  <si>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</si>
  <si>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</si>
  <si>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nmm</t>
  </si>
  <si>
    <t>nfm</t>
  </si>
  <si>
    <t>fmp</t>
  </si>
  <si>
    <t>mvh</t>
  </si>
  <si>
    <t>otn</t>
  </si>
  <si>
    <t>ele</t>
  </si>
  <si>
    <t>ome</t>
  </si>
  <si>
    <t>omf</t>
  </si>
  <si>
    <t>wtr</t>
  </si>
  <si>
    <t>cns</t>
  </si>
  <si>
    <t>trd</t>
  </si>
  <si>
    <t>otp</t>
  </si>
  <si>
    <t>wtp</t>
  </si>
  <si>
    <t>atp</t>
  </si>
  <si>
    <t>cmn</t>
  </si>
  <si>
    <t>ofi</t>
  </si>
  <si>
    <t>obs</t>
  </si>
  <si>
    <t>ros</t>
  </si>
  <si>
    <t>osg</t>
  </si>
  <si>
    <t>dwe</t>
  </si>
  <si>
    <t>n2o</t>
  </si>
  <si>
    <t>lnd</t>
  </si>
  <si>
    <t>LAYOUT</t>
  </si>
  <si>
    <t>Data Type</t>
  </si>
  <si>
    <t>Name</t>
  </si>
  <si>
    <t>Location</t>
  </si>
  <si>
    <t>Row dimension</t>
  </si>
  <si>
    <t>Column dimension</t>
  </si>
  <si>
    <t>Total dimension</t>
  </si>
  <si>
    <t>rdim</t>
  </si>
  <si>
    <t>cdim</t>
  </si>
  <si>
    <t>dim</t>
  </si>
  <si>
    <t>par</t>
  </si>
  <si>
    <t>mapaGTAP</t>
  </si>
  <si>
    <t>Model Specific Sets</t>
  </si>
  <si>
    <t>Maps</t>
  </si>
  <si>
    <t>mapcGTAP</t>
  </si>
  <si>
    <t>set</t>
  </si>
  <si>
    <t>eps</t>
  </si>
  <si>
    <t>Rest of the World</t>
  </si>
  <si>
    <t>SAM0</t>
  </si>
  <si>
    <t>dset</t>
  </si>
  <si>
    <t>cohorts</t>
  </si>
  <si>
    <t>mapis</t>
  </si>
  <si>
    <t>h+f</t>
  </si>
  <si>
    <t>l</t>
  </si>
  <si>
    <t>sigmaf0</t>
  </si>
  <si>
    <t>inscale</t>
  </si>
  <si>
    <t>pscale</t>
  </si>
  <si>
    <t>escale</t>
  </si>
  <si>
    <t>Manu</t>
  </si>
  <si>
    <t>Ener</t>
  </si>
  <si>
    <t>Serv</t>
  </si>
  <si>
    <t>Tran</t>
  </si>
  <si>
    <t>g-govt</t>
  </si>
  <si>
    <t>c_b</t>
  </si>
  <si>
    <t>i_s</t>
  </si>
  <si>
    <t>manu</t>
  </si>
  <si>
    <t>serv</t>
  </si>
  <si>
    <t>DebtStkD0</t>
  </si>
  <si>
    <t>DebtStkF0</t>
  </si>
  <si>
    <t>i-ginv</t>
  </si>
  <si>
    <t>adpinv</t>
  </si>
  <si>
    <t>c-frs</t>
  </si>
  <si>
    <t>c-gas</t>
  </si>
  <si>
    <t>c-oxt</t>
  </si>
  <si>
    <t>c-b_t</t>
  </si>
  <si>
    <t>c-tex</t>
  </si>
  <si>
    <t>c-p_c</t>
  </si>
  <si>
    <t>c-chm</t>
  </si>
  <si>
    <t>c-bph</t>
  </si>
  <si>
    <t>c-omf</t>
  </si>
  <si>
    <t>c-gdt</t>
  </si>
  <si>
    <t>c-wtr</t>
  </si>
  <si>
    <t>c-cns</t>
  </si>
  <si>
    <t>c-trd</t>
  </si>
  <si>
    <t>c-afs</t>
  </si>
  <si>
    <t>c-otp</t>
  </si>
  <si>
    <t>c-wtp</t>
  </si>
  <si>
    <t>c-atp</t>
  </si>
  <si>
    <t>c-cmn</t>
  </si>
  <si>
    <t>c-ofi</t>
  </si>
  <si>
    <t>c-ins</t>
  </si>
  <si>
    <t>c-osg</t>
  </si>
  <si>
    <t>c-edu</t>
  </si>
  <si>
    <t>c-hht</t>
  </si>
  <si>
    <t>f-Land</t>
  </si>
  <si>
    <t>e-ent</t>
  </si>
  <si>
    <t>f-Capital</t>
  </si>
  <si>
    <t>t-tmm_world</t>
  </si>
  <si>
    <t>t-PRODTAX</t>
  </si>
  <si>
    <t>t-DIRTAX</t>
  </si>
  <si>
    <t>w-ww_world</t>
  </si>
  <si>
    <t>c-ely</t>
  </si>
  <si>
    <t>c-fod</t>
  </si>
  <si>
    <t>c-wod</t>
  </si>
  <si>
    <t>c-osr</t>
  </si>
  <si>
    <t>t-tss</t>
  </si>
  <si>
    <t>t-vat</t>
  </si>
  <si>
    <t>DebtIntD0</t>
  </si>
  <si>
    <t>DebtIntF0</t>
  </si>
  <si>
    <t>h-Dec1</t>
  </si>
  <si>
    <t>h-Dec2</t>
  </si>
  <si>
    <t>h-Dec3</t>
  </si>
  <si>
    <t>h-Dec4</t>
  </si>
  <si>
    <t>h-Dec5</t>
  </si>
  <si>
    <t>h-Dec6</t>
  </si>
  <si>
    <t>h-Dec7</t>
  </si>
  <si>
    <t>h-Dec8</t>
  </si>
  <si>
    <t>h-Dec9</t>
  </si>
  <si>
    <t>h-DecX</t>
  </si>
  <si>
    <t>t-Land</t>
  </si>
  <si>
    <t>t-Capital</t>
  </si>
  <si>
    <t>t-NatlRes</t>
  </si>
  <si>
    <t>Electricity</t>
  </si>
  <si>
    <t>Construction</t>
  </si>
  <si>
    <t>Trade</t>
  </si>
  <si>
    <t>Education</t>
  </si>
  <si>
    <t>Activities</t>
  </si>
  <si>
    <t>Commodities</t>
  </si>
  <si>
    <t>Unskilled Formal Labor</t>
  </si>
  <si>
    <t>Quintile 1 (poorest)</t>
  </si>
  <si>
    <t>Quintile 2</t>
  </si>
  <si>
    <t>Quintile 3</t>
  </si>
  <si>
    <t>Quintile 4</t>
  </si>
  <si>
    <t>Quintile 5</t>
  </si>
  <si>
    <t>Quintile 6</t>
  </si>
  <si>
    <t>Quintile 7</t>
  </si>
  <si>
    <t>Quintile 8</t>
  </si>
  <si>
    <t>Quintile 9</t>
  </si>
  <si>
    <t>Quintile 10 (richest)</t>
  </si>
  <si>
    <t>Factors</t>
  </si>
  <si>
    <t>Households</t>
  </si>
  <si>
    <t>Institutions</t>
  </si>
  <si>
    <t>Taxes</t>
  </si>
  <si>
    <t>Production tax</t>
  </si>
  <si>
    <t>Diret tax</t>
  </si>
  <si>
    <t>Excise tax</t>
  </si>
  <si>
    <t>Value added tax</t>
  </si>
  <si>
    <t>Textiles</t>
  </si>
  <si>
    <t>debt</t>
  </si>
  <si>
    <t>oxt</t>
  </si>
  <si>
    <t>chm</t>
  </si>
  <si>
    <t>bph</t>
  </si>
  <si>
    <t>ins</t>
  </si>
  <si>
    <t>Forestry</t>
  </si>
  <si>
    <t>Indu</t>
  </si>
  <si>
    <t>Elec</t>
  </si>
  <si>
    <t>Wast</t>
  </si>
  <si>
    <t>a-crp</t>
  </si>
  <si>
    <t>a-coa</t>
  </si>
  <si>
    <t>a-trd</t>
  </si>
  <si>
    <t>a-NuclearP</t>
  </si>
  <si>
    <t>c-crp</t>
  </si>
  <si>
    <t>c-coa</t>
  </si>
  <si>
    <t>i-CGDS</t>
  </si>
  <si>
    <t>a-lvs</t>
  </si>
  <si>
    <t>a-oil</t>
  </si>
  <si>
    <t>a-afs</t>
  </si>
  <si>
    <t>a-CoalP</t>
  </si>
  <si>
    <t>c-lvs</t>
  </si>
  <si>
    <t>c-oil</t>
  </si>
  <si>
    <t>a-frs</t>
  </si>
  <si>
    <t>a-gas</t>
  </si>
  <si>
    <t>a-otp</t>
  </si>
  <si>
    <t>a-GasP</t>
  </si>
  <si>
    <t>a-oxt</t>
  </si>
  <si>
    <t>a-wtp</t>
  </si>
  <si>
    <t>a-p_c</t>
  </si>
  <si>
    <t>a-WindP</t>
  </si>
  <si>
    <t>a-fod</t>
  </si>
  <si>
    <t>a-atp</t>
  </si>
  <si>
    <t>a-HydroP</t>
  </si>
  <si>
    <t>a-b_t</t>
  </si>
  <si>
    <t>a-cmn</t>
  </si>
  <si>
    <t>a-OtherP</t>
  </si>
  <si>
    <t>a-tex</t>
  </si>
  <si>
    <t>a-ofi</t>
  </si>
  <si>
    <t>a-SolarP</t>
  </si>
  <si>
    <t>a-wod</t>
  </si>
  <si>
    <t>a-ins</t>
  </si>
  <si>
    <t>a-osr</t>
  </si>
  <si>
    <t>a-chm</t>
  </si>
  <si>
    <t>a-osg</t>
  </si>
  <si>
    <t>a-bph</t>
  </si>
  <si>
    <t>a-edu</t>
  </si>
  <si>
    <t>a-hht</t>
  </si>
  <si>
    <t>a-i_s</t>
  </si>
  <si>
    <t>c-i_s</t>
  </si>
  <si>
    <t>a-nfm</t>
  </si>
  <si>
    <t>c-nfm</t>
  </si>
  <si>
    <t>a-fmp</t>
  </si>
  <si>
    <t>c-fmp</t>
  </si>
  <si>
    <t>a-ele</t>
  </si>
  <si>
    <t>c-ele</t>
  </si>
  <si>
    <t>a-mvh</t>
  </si>
  <si>
    <t>c-mvh</t>
  </si>
  <si>
    <t>a-omf</t>
  </si>
  <si>
    <t>a-TnD</t>
  </si>
  <si>
    <t>c-TnD</t>
  </si>
  <si>
    <t>a-wtr</t>
  </si>
  <si>
    <t>a-cns</t>
  </si>
  <si>
    <t>rpp</t>
  </si>
  <si>
    <t>eeq</t>
  </si>
  <si>
    <t>afs</t>
  </si>
  <si>
    <t>whs</t>
  </si>
  <si>
    <t>rsa</t>
  </si>
  <si>
    <t>edu</t>
  </si>
  <si>
    <t>hht</t>
  </si>
  <si>
    <t>ener</t>
  </si>
  <si>
    <t>Fugi</t>
  </si>
  <si>
    <t>LUCF</t>
  </si>
  <si>
    <t>Crop Production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</si>
  <si>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</si>
  <si>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</si>
  <si>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</si>
  <si>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</si>
  <si>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</si>
  <si>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</si>
  <si>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</si>
  <si>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</si>
  <si>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</si>
  <si>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</si>
  <si>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</si>
  <si>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</si>
  <si>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Fishing</t>
  </si>
  <si>
    <t>Coal</t>
  </si>
  <si>
    <t>Oil</t>
  </si>
  <si>
    <t>Gas</t>
  </si>
  <si>
    <t>Beverages and tobacco products</t>
  </si>
  <si>
    <t>Petroleum, coal products</t>
  </si>
  <si>
    <t>Chemical products</t>
  </si>
  <si>
    <t>Basic pharmaceutical products</t>
  </si>
  <si>
    <t>Mineral products nec</t>
  </si>
  <si>
    <t>Ferrous metals</t>
  </si>
  <si>
    <t>Metals nec</t>
  </si>
  <si>
    <t>Metal products</t>
  </si>
  <si>
    <t>Motor vehicles and parts</t>
  </si>
  <si>
    <t>Manufactures nec</t>
  </si>
  <si>
    <t>ely</t>
  </si>
  <si>
    <t>Accommodation, Food and service activities</t>
  </si>
  <si>
    <t>Water transport</t>
  </si>
  <si>
    <t>Air transport</t>
  </si>
  <si>
    <t>Communication</t>
  </si>
  <si>
    <t>Financial services nec</t>
  </si>
  <si>
    <t>Insurance (formerly isr)</t>
  </si>
  <si>
    <t>Business services nec</t>
  </si>
  <si>
    <t>Public Administration and defense</t>
  </si>
  <si>
    <t>Human health and social work activities</t>
  </si>
  <si>
    <t>Livestock production</t>
  </si>
  <si>
    <t>Other Extraction</t>
  </si>
  <si>
    <t>Food products</t>
  </si>
  <si>
    <t>Wood products and paper</t>
  </si>
  <si>
    <t>Electrical equipment, electronics, machinery and equipment</t>
  </si>
  <si>
    <t>Electricity transmission and distribution</t>
  </si>
  <si>
    <t>Nuvlear Power</t>
  </si>
  <si>
    <t>Coal Power</t>
  </si>
  <si>
    <t>Gas Power</t>
  </si>
  <si>
    <t>Wind Power</t>
  </si>
  <si>
    <t>Hydro Power</t>
  </si>
  <si>
    <t>Other Power</t>
  </si>
  <si>
    <t>Solar Power</t>
  </si>
  <si>
    <t>Water, waste and utilities</t>
  </si>
  <si>
    <t>Gas distribution</t>
  </si>
  <si>
    <t>labus</t>
  </si>
  <si>
    <t>labsk</t>
  </si>
  <si>
    <t>va</t>
  </si>
  <si>
    <t>nd</t>
  </si>
  <si>
    <t>f-top</t>
  </si>
  <si>
    <t>pnest</t>
  </si>
  <si>
    <t>na</t>
  </si>
  <si>
    <t>tran</t>
  </si>
  <si>
    <t>agri</t>
  </si>
  <si>
    <t>cons</t>
  </si>
  <si>
    <t>mine</t>
  </si>
  <si>
    <t>t-labSk</t>
  </si>
  <si>
    <t>t-labUs</t>
  </si>
  <si>
    <t>f-FrSkl</t>
  </si>
  <si>
    <t>f-FrNsk</t>
  </si>
  <si>
    <t>f-InNsk</t>
  </si>
  <si>
    <t>f-NatlRes</t>
  </si>
  <si>
    <t>Natural Resources</t>
  </si>
  <si>
    <t>Skilled formal Labor</t>
  </si>
  <si>
    <t>Unskilled formal Labor</t>
  </si>
  <si>
    <t>a-nmm</t>
  </si>
  <si>
    <t>c-nmm</t>
  </si>
  <si>
    <t>hema</t>
  </si>
  <si>
    <t>wast</t>
  </si>
  <si>
    <t>trad</t>
  </si>
  <si>
    <t>GrDomProd</t>
  </si>
  <si>
    <t>GrDomProdGro</t>
  </si>
  <si>
    <t>allIndustry</t>
  </si>
  <si>
    <t>allServices</t>
  </si>
  <si>
    <t>mapaagr</t>
  </si>
  <si>
    <t>aagr</t>
  </si>
  <si>
    <t>agriculture</t>
  </si>
  <si>
    <t>All industry</t>
  </si>
  <si>
    <t>mining</t>
  </si>
  <si>
    <t>manufacturing</t>
  </si>
  <si>
    <t>energy</t>
  </si>
  <si>
    <t>construction</t>
  </si>
  <si>
    <t>All services</t>
  </si>
  <si>
    <t>Waste and water</t>
  </si>
  <si>
    <t>services</t>
  </si>
  <si>
    <t>GDP Growth</t>
  </si>
  <si>
    <t>epsRor0</t>
  </si>
  <si>
    <t>PhiPcInv0</t>
  </si>
  <si>
    <t>depr0</t>
  </si>
  <si>
    <t>capoutRate0</t>
  </si>
  <si>
    <t>AirpolEff0</t>
  </si>
  <si>
    <t>heavy manufacturin</t>
  </si>
  <si>
    <t>Comment</t>
  </si>
  <si>
    <t>maptax</t>
  </si>
  <si>
    <t>labor0</t>
  </si>
  <si>
    <t>labor quantities for initial SAM, aggregated to model SAM dimensions in base.inc</t>
  </si>
  <si>
    <t>natres</t>
  </si>
  <si>
    <t>vat</t>
  </si>
  <si>
    <t>omegaSav0</t>
  </si>
  <si>
    <t>omegaSavEntr0</t>
  </si>
  <si>
    <t>omegaFund0</t>
  </si>
  <si>
    <t>omegax0</t>
  </si>
  <si>
    <t>epsRorE0</t>
  </si>
  <si>
    <t>Elasticity between savings and total consumption</t>
  </si>
  <si>
    <t>Elasticity between savings and transfers to HHs</t>
  </si>
  <si>
    <t>Elasticity between government and private bonds</t>
  </si>
  <si>
    <t>Depreciation rate</t>
  </si>
  <si>
    <t>Capital stock GDP ratio</t>
  </si>
  <si>
    <t>Elasticity of labor productivity to air pollution</t>
  </si>
  <si>
    <t>Elasticity between exports and domestic supply</t>
  </si>
  <si>
    <t>Elasticity among commodities when an activity produces multiple commodities</t>
  </si>
  <si>
    <t>Disinvestment Elasticity for declining sectors</t>
  </si>
  <si>
    <t>Elasticity among activities when a commodity is produced by multiple activities</t>
  </si>
  <si>
    <t>Elasticity between imports and domestic demand</t>
  </si>
  <si>
    <t>Elasticity between margin commodities</t>
  </si>
  <si>
    <t>Import supply Elasticity</t>
  </si>
  <si>
    <t>Export demand Elasticity</t>
  </si>
  <si>
    <t>Elasticity of capital supply to capital stock</t>
  </si>
  <si>
    <t>Elasticity of expected return on capital to capital stock</t>
  </si>
  <si>
    <t xml:space="preserve">Share of investment that is not added to capital stock </t>
  </si>
  <si>
    <t>Explanation</t>
  </si>
  <si>
    <t>parameter</t>
  </si>
  <si>
    <t>value</t>
  </si>
  <si>
    <t>eta10</t>
  </si>
  <si>
    <t>eta20</t>
  </si>
  <si>
    <t>eta1a0</t>
  </si>
  <si>
    <t>eta2a0</t>
  </si>
  <si>
    <t>omegasavf0</t>
  </si>
  <si>
    <t>rhosavf0</t>
  </si>
  <si>
    <t>riskPrem0</t>
  </si>
  <si>
    <t>retrow0</t>
  </si>
  <si>
    <t>ggdppcrow0</t>
  </si>
  <si>
    <t>efficiency param. returns</t>
  </si>
  <si>
    <t>efficiency param. GDP p.c. growth</t>
  </si>
  <si>
    <t xml:space="preserve">Country risk premium </t>
  </si>
  <si>
    <t>expected return rate in the row</t>
  </si>
  <si>
    <t>expected per capita GDP growth rate in the row</t>
  </si>
  <si>
    <t>Elasticity of foreign new public debt to interest rate</t>
  </si>
  <si>
    <t>Threshold after which gov consumption is dampended</t>
  </si>
  <si>
    <t>debtGdpTgt0</t>
  </si>
  <si>
    <t>sigmaFInt0</t>
  </si>
  <si>
    <t>Foreign Debt Stock</t>
  </si>
  <si>
    <t>Domestic Debt Stock</t>
  </si>
  <si>
    <t>Interest on foreign debt</t>
  </si>
  <si>
    <t>Interest on domestic debt</t>
  </si>
  <si>
    <t>SAM scale factor</t>
  </si>
  <si>
    <t>Population Scale factor</t>
  </si>
  <si>
    <t>Emissions scale factor</t>
  </si>
  <si>
    <t>Exchange rate Dom Currency per USD</t>
  </si>
  <si>
    <t>actPar</t>
  </si>
  <si>
    <t>actPar!A1</t>
  </si>
  <si>
    <t>exceptions in activity parameters</t>
  </si>
  <si>
    <t>exceptions in commodity parameters</t>
  </si>
  <si>
    <t>exceptions in HH parameters</t>
  </si>
  <si>
    <t>default parameter values</t>
  </si>
  <si>
    <t>Initial SAM</t>
  </si>
  <si>
    <t>exceptions inother parameters</t>
  </si>
  <si>
    <t>othpar</t>
  </si>
  <si>
    <t>othPar!A1</t>
  </si>
  <si>
    <t>comPar</t>
  </si>
  <si>
    <t>hohPar</t>
  </si>
  <si>
    <t>comPar!A1</t>
  </si>
  <si>
    <t>defPar</t>
  </si>
  <si>
    <t>defPar!B2</t>
  </si>
  <si>
    <t>mapkNestShr</t>
  </si>
  <si>
    <t>sigmacNest0</t>
  </si>
  <si>
    <t>Substitutional elasticities in demand nests</t>
  </si>
  <si>
    <t>tranEner</t>
  </si>
  <si>
    <t>TranRest</t>
  </si>
  <si>
    <t xml:space="preserve"> </t>
  </si>
  <si>
    <t>a-pdr_0</t>
  </si>
  <si>
    <t>a-wht_0</t>
  </si>
  <si>
    <t>a-gro_0</t>
  </si>
  <si>
    <t>a-v_f_0</t>
  </si>
  <si>
    <t>a-osd_0</t>
  </si>
  <si>
    <t>a-c_b_0</t>
  </si>
  <si>
    <t>a-pfb_0</t>
  </si>
  <si>
    <t>a-ocr_0</t>
  </si>
  <si>
    <t>a-ctl_0</t>
  </si>
  <si>
    <t>a-oap_0</t>
  </si>
  <si>
    <t>a-rmk_0</t>
  </si>
  <si>
    <t>a-wol_0</t>
  </si>
  <si>
    <t>a-frs_0</t>
  </si>
  <si>
    <t>a-fsh_0</t>
  </si>
  <si>
    <t>a-coa_0</t>
  </si>
  <si>
    <t>a-oil_0</t>
  </si>
  <si>
    <t>a-gas_0</t>
  </si>
  <si>
    <t>a-cmt_0</t>
  </si>
  <si>
    <t>a-omt_0</t>
  </si>
  <si>
    <t>a-vol_0</t>
  </si>
  <si>
    <t>a-mil_0</t>
  </si>
  <si>
    <t>a-pcr_0</t>
  </si>
  <si>
    <t>a-sgr_0</t>
  </si>
  <si>
    <t>a-ofd_0</t>
  </si>
  <si>
    <t>a-b_t_0</t>
  </si>
  <si>
    <t>a-tex_0</t>
  </si>
  <si>
    <t>a-wap_0</t>
  </si>
  <si>
    <t>a-lea_0</t>
  </si>
  <si>
    <t>a-lum_0</t>
  </si>
  <si>
    <t>a-ppp_0</t>
  </si>
  <si>
    <t>a-p_c_0</t>
  </si>
  <si>
    <t>a-nmm_0</t>
  </si>
  <si>
    <t>a-i_s_0</t>
  </si>
  <si>
    <t>a-nfm_0</t>
  </si>
  <si>
    <t>a-fmp_0</t>
  </si>
  <si>
    <t>a-ele_0</t>
  </si>
  <si>
    <t>a-ome_0</t>
  </si>
  <si>
    <t>a-mvh_0</t>
  </si>
  <si>
    <t>a-otn_0</t>
  </si>
  <si>
    <t>a-omf_0</t>
  </si>
  <si>
    <t>a-gdt_0</t>
  </si>
  <si>
    <t>a-wtr_0</t>
  </si>
  <si>
    <t>a-cns_0</t>
  </si>
  <si>
    <t>a-trd_0</t>
  </si>
  <si>
    <t>a-otp_0</t>
  </si>
  <si>
    <t>a-wtp_0</t>
  </si>
  <si>
    <t>a-atp_0</t>
  </si>
  <si>
    <t>a-cmn_0</t>
  </si>
  <si>
    <t>a-ofi_0</t>
  </si>
  <si>
    <t>a-obs_0</t>
  </si>
  <si>
    <t>a-ros_0</t>
  </si>
  <si>
    <t>a-osg_0</t>
  </si>
  <si>
    <t>a-dwe_0</t>
  </si>
  <si>
    <t>c-pdr_0</t>
  </si>
  <si>
    <t>c-wht_0</t>
  </si>
  <si>
    <t>c-gro_0</t>
  </si>
  <si>
    <t>c-v_f_0</t>
  </si>
  <si>
    <t>c-osd_0</t>
  </si>
  <si>
    <t>c-c_b_0</t>
  </si>
  <si>
    <t>c-pfb_0</t>
  </si>
  <si>
    <t>c-ocr_0</t>
  </si>
  <si>
    <t>c-ctl_0</t>
  </si>
  <si>
    <t>c-oap_0</t>
  </si>
  <si>
    <t>c-rmk_0</t>
  </si>
  <si>
    <t>c-wol_0</t>
  </si>
  <si>
    <t>c-frs_0</t>
  </si>
  <si>
    <t>c-fsh_0</t>
  </si>
  <si>
    <t>c-coa_0</t>
  </si>
  <si>
    <t>c-oil_0</t>
  </si>
  <si>
    <t>c-gas_0</t>
  </si>
  <si>
    <t>c-cmt_0</t>
  </si>
  <si>
    <t>c-omt_0</t>
  </si>
  <si>
    <t>c-vol_0</t>
  </si>
  <si>
    <t>c-mil_0</t>
  </si>
  <si>
    <t>c-pcr_0</t>
  </si>
  <si>
    <t>c-sgr_0</t>
  </si>
  <si>
    <t>c-ofd_0</t>
  </si>
  <si>
    <t>c-b_t_0</t>
  </si>
  <si>
    <t>c-tex_0</t>
  </si>
  <si>
    <t>c-wap_0</t>
  </si>
  <si>
    <t>c-lea_0</t>
  </si>
  <si>
    <t>c-lum_0</t>
  </si>
  <si>
    <t>c-ppp_0</t>
  </si>
  <si>
    <t>c-p_c_0</t>
  </si>
  <si>
    <t>c-nmm_0</t>
  </si>
  <si>
    <t>c-i_s_0</t>
  </si>
  <si>
    <t>c-nfm_0</t>
  </si>
  <si>
    <t>c-fmp_0</t>
  </si>
  <si>
    <t>c-ele_0</t>
  </si>
  <si>
    <t>c-ome_0</t>
  </si>
  <si>
    <t>c-mvh_0</t>
  </si>
  <si>
    <t>c-otn_0</t>
  </si>
  <si>
    <t>c-omf_0</t>
  </si>
  <si>
    <t>c-gdt_0</t>
  </si>
  <si>
    <t>c-wtr_0</t>
  </si>
  <si>
    <t>c-cns_0</t>
  </si>
  <si>
    <t>c-trd_0</t>
  </si>
  <si>
    <t>c-otp_0</t>
  </si>
  <si>
    <t>c-wtp_0</t>
  </si>
  <si>
    <t>c-atp_0</t>
  </si>
  <si>
    <t>c-cmn_0</t>
  </si>
  <si>
    <t>c-ofi_0</t>
  </si>
  <si>
    <t>c-obs_0</t>
  </si>
  <si>
    <t>c-ros_0</t>
  </si>
  <si>
    <t>c-osg_0</t>
  </si>
  <si>
    <t>c-dwe_0</t>
  </si>
  <si>
    <t>m-otp_0</t>
  </si>
  <si>
    <t>m-wtp_0</t>
  </si>
  <si>
    <t>m-atp_0</t>
  </si>
  <si>
    <t>f-Land_0</t>
  </si>
  <si>
    <t>f-tech_aspros_0</t>
  </si>
  <si>
    <t>f-clerks_0</t>
  </si>
  <si>
    <t>f-service_shop_0</t>
  </si>
  <si>
    <t>f-off_mgr_pros_0</t>
  </si>
  <si>
    <t>f-ag_othlowsk_0</t>
  </si>
  <si>
    <t>f-Capital_0</t>
  </si>
  <si>
    <t>f-NatlRes_0</t>
  </si>
  <si>
    <t>h-hhold_0</t>
  </si>
  <si>
    <t>g-govt_0</t>
  </si>
  <si>
    <t>e-ent_0</t>
  </si>
  <si>
    <t>debt_0</t>
  </si>
  <si>
    <t>i-ginv_0</t>
  </si>
  <si>
    <t>i-CGDS_0</t>
  </si>
  <si>
    <t>w-ww_world_0</t>
  </si>
  <si>
    <t>a-pdr</t>
  </si>
  <si>
    <t>a-wht</t>
  </si>
  <si>
    <t>a-gro</t>
  </si>
  <si>
    <t>a-v_f</t>
  </si>
  <si>
    <t>a-osd</t>
  </si>
  <si>
    <t>a-c_b</t>
  </si>
  <si>
    <t>a-pfb</t>
  </si>
  <si>
    <t>a-ocr</t>
  </si>
  <si>
    <t>a-ctl</t>
  </si>
  <si>
    <t>a-oap</t>
  </si>
  <si>
    <t>a-rmk</t>
  </si>
  <si>
    <t>a-wol</t>
  </si>
  <si>
    <t>a-fsh</t>
  </si>
  <si>
    <t>a-cmt</t>
  </si>
  <si>
    <t>a-omt</t>
  </si>
  <si>
    <t>a-vol</t>
  </si>
  <si>
    <t>a-mil</t>
  </si>
  <si>
    <t>a-pcr</t>
  </si>
  <si>
    <t>a-sgr</t>
  </si>
  <si>
    <t>a-ofd</t>
  </si>
  <si>
    <t>a-wap</t>
  </si>
  <si>
    <t>a-lea</t>
  </si>
  <si>
    <t>a-lum</t>
  </si>
  <si>
    <t>a-ppp</t>
  </si>
  <si>
    <t>a-ome</t>
  </si>
  <si>
    <t>a-otn</t>
  </si>
  <si>
    <t>a-NuclearBL</t>
  </si>
  <si>
    <t>a-CoalBL</t>
  </si>
  <si>
    <t>a-GasBL</t>
  </si>
  <si>
    <t>a-WindBL</t>
  </si>
  <si>
    <t>a-HydroBL</t>
  </si>
  <si>
    <t>a-OilBL</t>
  </si>
  <si>
    <t>a-OtherBL</t>
  </si>
  <si>
    <t>a-OilP</t>
  </si>
  <si>
    <t>a-gdt</t>
  </si>
  <si>
    <t>a-obs</t>
  </si>
  <si>
    <t>a-ros</t>
  </si>
  <si>
    <t>a-dwe</t>
  </si>
  <si>
    <t>c-pdr</t>
  </si>
  <si>
    <t>c-wht</t>
  </si>
  <si>
    <t>c-gro</t>
  </si>
  <si>
    <t>c-v_f</t>
  </si>
  <si>
    <t>c-osd</t>
  </si>
  <si>
    <t>c-c_b</t>
  </si>
  <si>
    <t>c-pfb</t>
  </si>
  <si>
    <t>c-ocr</t>
  </si>
  <si>
    <t>c-ctl</t>
  </si>
  <si>
    <t>c-oap</t>
  </si>
  <si>
    <t>c-rmk</t>
  </si>
  <si>
    <t>c-wol</t>
  </si>
  <si>
    <t>c-fsh</t>
  </si>
  <si>
    <t>c-cmt</t>
  </si>
  <si>
    <t>c-omt</t>
  </si>
  <si>
    <t>c-vol</t>
  </si>
  <si>
    <t>c-mil</t>
  </si>
  <si>
    <t>c-pcr</t>
  </si>
  <si>
    <t>c-sgr</t>
  </si>
  <si>
    <t>c-ofd</t>
  </si>
  <si>
    <t>c-wap</t>
  </si>
  <si>
    <t>c-lea</t>
  </si>
  <si>
    <t>c-lum</t>
  </si>
  <si>
    <t>c-ppp</t>
  </si>
  <si>
    <t>c-rpp</t>
  </si>
  <si>
    <t>c-ome</t>
  </si>
  <si>
    <t>c-otn</t>
  </si>
  <si>
    <t>c-obs</t>
  </si>
  <si>
    <t>c-ros</t>
  </si>
  <si>
    <t>c-dwe</t>
  </si>
  <si>
    <t>m-otp</t>
  </si>
  <si>
    <t>m-wtp</t>
  </si>
  <si>
    <t>m-atp</t>
  </si>
  <si>
    <t>f-tech_aspros</t>
  </si>
  <si>
    <t>f-clerks</t>
  </si>
  <si>
    <t>f-service_shop</t>
  </si>
  <si>
    <t>f-off_mgr_pros</t>
  </si>
  <si>
    <t>f-ag_othlowsk</t>
  </si>
  <si>
    <t>h-hhold</t>
  </si>
  <si>
    <t>GHGs</t>
  </si>
  <si>
    <t>Acid</t>
  </si>
  <si>
    <t xml:space="preserve"> TOFP</t>
  </si>
  <si>
    <t xml:space="preserve"> PMTn</t>
  </si>
  <si>
    <t xml:space="preserve"> PMTF</t>
  </si>
  <si>
    <t xml:space="preserve"> AirT </t>
  </si>
  <si>
    <t>SAM!A1</t>
  </si>
  <si>
    <t>Official Emission inventory - combustion</t>
  </si>
  <si>
    <t>emiInventory_OFF</t>
  </si>
  <si>
    <t>emiinv!A2</t>
  </si>
  <si>
    <t>cap_labSk</t>
  </si>
  <si>
    <t>cap_labsk</t>
  </si>
  <si>
    <t>wtr_land</t>
  </si>
  <si>
    <t>cap_natlres</t>
  </si>
  <si>
    <t>cap_ener</t>
  </si>
  <si>
    <t>ely_tnd</t>
  </si>
  <si>
    <t>gas_gdt</t>
  </si>
  <si>
    <t>ener_gasoil</t>
  </si>
  <si>
    <t>ener_fossil</t>
  </si>
  <si>
    <t>crops</t>
  </si>
  <si>
    <t>anim_meat</t>
  </si>
  <si>
    <t>Paddy rice production</t>
  </si>
  <si>
    <t>Wheat production</t>
  </si>
  <si>
    <t>Coarse grains production</t>
  </si>
  <si>
    <t>Fruits and vegetable production</t>
  </si>
  <si>
    <t>Oilseeds production</t>
  </si>
  <si>
    <t>Sugar cane and beet production</t>
  </si>
  <si>
    <t>Production of plant based fibres</t>
  </si>
  <si>
    <t>Production of other crops</t>
  </si>
  <si>
    <t>Ruminants for meat</t>
  </si>
  <si>
    <t>Other animal production</t>
  </si>
  <si>
    <t>Raw milk production</t>
  </si>
  <si>
    <t>Wool production</t>
  </si>
  <si>
    <t>Forestry production</t>
  </si>
  <si>
    <t>Fisheries</t>
  </si>
  <si>
    <t>Coal extraction</t>
  </si>
  <si>
    <t>Oil extraction</t>
  </si>
  <si>
    <t>Gas extraction</t>
  </si>
  <si>
    <t>Other extraction</t>
  </si>
  <si>
    <t>Cattle meat production</t>
  </si>
  <si>
    <t>Other meat production</t>
  </si>
  <si>
    <t>Vegetable oil and cake production</t>
  </si>
  <si>
    <t>Dairies</t>
  </si>
  <si>
    <t>Rice processing</t>
  </si>
  <si>
    <t>Sugar processing</t>
  </si>
  <si>
    <t>Other food industries</t>
  </si>
  <si>
    <t>Beverages and tobacco production</t>
  </si>
  <si>
    <t>Textile production</t>
  </si>
  <si>
    <t>Production of wearing apparel</t>
  </si>
  <si>
    <t>Production of leather</t>
  </si>
  <si>
    <t>Production of wood products</t>
  </si>
  <si>
    <t>Paper and publishing industries</t>
  </si>
  <si>
    <t>Raffineries</t>
  </si>
  <si>
    <t>Chemical industries</t>
  </si>
  <si>
    <t>Non-metal mineral industries</t>
  </si>
  <si>
    <t>Produciton of iron and steel</t>
  </si>
  <si>
    <t>Production of other metals</t>
  </si>
  <si>
    <t>Gas distribution industry</t>
  </si>
  <si>
    <t>Water and waste treatment industry</t>
  </si>
  <si>
    <t>Construction services</t>
  </si>
  <si>
    <t>Water transport industry</t>
  </si>
  <si>
    <t>Other financial services</t>
  </si>
  <si>
    <t>Insurance services</t>
  </si>
  <si>
    <t>Imputed rents</t>
  </si>
  <si>
    <t>Coarse grains</t>
  </si>
  <si>
    <t>Fruits and vegetables</t>
  </si>
  <si>
    <t>Oilseeds</t>
  </si>
  <si>
    <t>Sugar cane and beet</t>
  </si>
  <si>
    <t>Plant base fibres</t>
  </si>
  <si>
    <t>Other crops</t>
  </si>
  <si>
    <t xml:space="preserve">Other animal products </t>
  </si>
  <si>
    <t>Wool</t>
  </si>
  <si>
    <t>Forestry products</t>
  </si>
  <si>
    <t>Fishery products</t>
  </si>
  <si>
    <t>Other extracted products</t>
  </si>
  <si>
    <t>Cattle meat</t>
  </si>
  <si>
    <t>Other meat</t>
  </si>
  <si>
    <t>Vegetable oils and cakes</t>
  </si>
  <si>
    <t>Dairy products</t>
  </si>
  <si>
    <t>Processed rice</t>
  </si>
  <si>
    <t>Sugar</t>
  </si>
  <si>
    <t>Other food products</t>
  </si>
  <si>
    <t>Beverages and tobacco</t>
  </si>
  <si>
    <t>Wearing apparel</t>
  </si>
  <si>
    <t>Leather</t>
  </si>
  <si>
    <t>Wood products</t>
  </si>
  <si>
    <t>Paper and publishing</t>
  </si>
  <si>
    <t>Petroleum and coke</t>
  </si>
  <si>
    <t>Non-metal minerals</t>
  </si>
  <si>
    <t>Iron and steel</t>
  </si>
  <si>
    <t>Other metals</t>
  </si>
  <si>
    <t>Electrical equipment</t>
  </si>
  <si>
    <t>Electricity and heat</t>
  </si>
  <si>
    <t>Water and waste treatment</t>
  </si>
  <si>
    <t>Other transport services</t>
  </si>
  <si>
    <t>Water transport services</t>
  </si>
  <si>
    <t>Air transport services</t>
  </si>
  <si>
    <t>Air transport industry</t>
  </si>
  <si>
    <t>Clerks</t>
  </si>
  <si>
    <t>Natural ressources</t>
  </si>
  <si>
    <t>Other transport margin</t>
  </si>
  <si>
    <t>Water transport margin</t>
  </si>
  <si>
    <t>Air transport margin</t>
  </si>
  <si>
    <t>Debt</t>
  </si>
  <si>
    <t>Government investment</t>
  </si>
  <si>
    <t>Land taxes</t>
  </si>
  <si>
    <t>Capital taxes</t>
  </si>
  <si>
    <t>Natural ressource taxes</t>
  </si>
  <si>
    <t>Export taxes</t>
  </si>
  <si>
    <t>Import taxes</t>
  </si>
  <si>
    <t>Production taxes</t>
  </si>
  <si>
    <t>Direct taxes</t>
  </si>
  <si>
    <t>Rest-of-the-World</t>
  </si>
  <si>
    <t>Computer, electronic and optical production</t>
  </si>
  <si>
    <t>Production of other equipment</t>
  </si>
  <si>
    <t>Production of motor vehicles</t>
  </si>
  <si>
    <t>Produciton of other transport equipment</t>
  </si>
  <si>
    <t>Other manufacturing</t>
  </si>
  <si>
    <t>Wholesale and retail trade</t>
  </si>
  <si>
    <t>Communication and information services</t>
  </si>
  <si>
    <t>Other busines services</t>
  </si>
  <si>
    <t>Recreation services</t>
  </si>
  <si>
    <t>Public adminstration</t>
  </si>
  <si>
    <t>Other machinery</t>
  </si>
  <si>
    <t>Motor vehicles</t>
  </si>
  <si>
    <t>Other transport equipment</t>
  </si>
  <si>
    <t>Other manufactues</t>
  </si>
  <si>
    <t>Communication and information</t>
  </si>
  <si>
    <t>Insurance</t>
  </si>
  <si>
    <t>Labor taxes, clerks</t>
  </si>
  <si>
    <t>Agricultural and other low skiled labor</t>
  </si>
  <si>
    <t>Labor taxes, agriculture and other low skilled</t>
  </si>
  <si>
    <t xml:space="preserve">Technicians and associate professionals </t>
  </si>
  <si>
    <t>Service and shop workers</t>
  </si>
  <si>
    <t xml:space="preserve">Labor taxes, Technicians and associate professionals </t>
  </si>
  <si>
    <t>Labor taxes, Service and shop workers</t>
  </si>
  <si>
    <t>Senior officials and managers, professionals</t>
  </si>
  <si>
    <t>Labor taxes,  Senior officials and managers, professionals</t>
  </si>
  <si>
    <t>Savings/Investments</t>
  </si>
  <si>
    <t>Sales taxes</t>
  </si>
  <si>
    <t>Unskilled labor bundle</t>
  </si>
  <si>
    <t>Skilled labor bundle</t>
  </si>
  <si>
    <t>Capital-natural resources bundle</t>
  </si>
  <si>
    <t>Capital-skilled labor bundle</t>
  </si>
  <si>
    <t>Energy</t>
  </si>
  <si>
    <t>Gas-oil bundle</t>
  </si>
  <si>
    <t>Gas-oil-coal bundle</t>
  </si>
  <si>
    <t>Capital-energy bundle</t>
  </si>
  <si>
    <t>Water-land bundle</t>
  </si>
  <si>
    <t>Value added</t>
  </si>
  <si>
    <t>Crops bundle</t>
  </si>
  <si>
    <t>Animal products and meat bundle</t>
  </si>
  <si>
    <t>Intermediate bundle</t>
  </si>
  <si>
    <t>Total production bundle</t>
  </si>
  <si>
    <t>Elasticity of stock changes with regard to relative delta in expected price</t>
  </si>
  <si>
    <t>rhoPDelSt0</t>
  </si>
  <si>
    <t>Elasticity of stock changes to targeted stock over production</t>
  </si>
  <si>
    <t>rhoXDelSt0</t>
  </si>
  <si>
    <t>Target stock over production level</t>
  </si>
  <si>
    <t>alphaSt0</t>
  </si>
  <si>
    <t>alphaST0</t>
  </si>
  <si>
    <t>Default income elasticity for aggregate commodity group (overwritten by hohpar)</t>
  </si>
  <si>
    <t>Default price elasticity for aggregate commodity group (overwritten by hohpar)</t>
  </si>
  <si>
    <t>cropLand</t>
  </si>
  <si>
    <t>agrLand</t>
  </si>
  <si>
    <t>agrLab</t>
  </si>
  <si>
    <t>manuLab</t>
  </si>
  <si>
    <t>restLab</t>
  </si>
  <si>
    <t>additive</t>
  </si>
  <si>
    <t>omegaCET</t>
  </si>
  <si>
    <t>factSupElas</t>
  </si>
  <si>
    <t>RestLab</t>
  </si>
  <si>
    <t>Factor market nestings</t>
  </si>
  <si>
    <t>fmNest</t>
  </si>
  <si>
    <t>fmNest!B2</t>
  </si>
  <si>
    <t>f-capital</t>
  </si>
  <si>
    <t>f-land</t>
  </si>
  <si>
    <t>f-natlRes</t>
  </si>
  <si>
    <t>grasLand</t>
  </si>
  <si>
    <t>Maping from activities to GTAP</t>
  </si>
  <si>
    <t>Maping from products to GTAP</t>
  </si>
  <si>
    <t>All accounts (plus nests)</t>
  </si>
  <si>
    <t>Energy products</t>
  </si>
  <si>
    <t>Debt account</t>
  </si>
  <si>
    <t>Labor accounts</t>
  </si>
  <si>
    <t>Capital account</t>
  </si>
  <si>
    <t>Land accounts</t>
  </si>
  <si>
    <t>All investment account</t>
  </si>
  <si>
    <t>Government investment account</t>
  </si>
  <si>
    <t>Adaptive investment account</t>
  </si>
  <si>
    <t>Stoch changes account</t>
  </si>
  <si>
    <t>Maps from tax types to tax accounts</t>
  </si>
  <si>
    <t>Aggregation from proto to final SAM</t>
  </si>
  <si>
    <t>Demand bundle composition</t>
  </si>
  <si>
    <t>Map from aggregated to single sectors</t>
  </si>
  <si>
    <t>Production nesting</t>
  </si>
  <si>
    <t>subselas</t>
  </si>
  <si>
    <t>Age cohotrs</t>
  </si>
  <si>
    <t>Elasticity between demand bundles other final  Demand</t>
  </si>
  <si>
    <t>debt to gdp default threshhold, used in specific savf closure</t>
  </si>
  <si>
    <t>positive scaling parameter, used in specific savf closure</t>
  </si>
  <si>
    <t>Parameters for factor market nests</t>
  </si>
  <si>
    <t>fmNestPar</t>
  </si>
  <si>
    <t>Substitution elasticities for production nests</t>
  </si>
  <si>
    <t>mapk!B5</t>
  </si>
  <si>
    <t>t-exp</t>
  </si>
  <si>
    <t>t-imp</t>
  </si>
  <si>
    <t>t-stx</t>
  </si>
  <si>
    <t>t-tech_aspros</t>
  </si>
  <si>
    <t>t-clerks</t>
  </si>
  <si>
    <t>t-service_shop</t>
  </si>
  <si>
    <t>t-off_mgr_pros</t>
  </si>
  <si>
    <t>t-ag_othlowsk</t>
  </si>
  <si>
    <t>t-prodtax</t>
  </si>
  <si>
    <t>t-dirtax</t>
  </si>
  <si>
    <t>t-tech_aspros_0</t>
  </si>
  <si>
    <t>t-clerks_0</t>
  </si>
  <si>
    <t>t-service_shop_0</t>
  </si>
  <si>
    <t>t-off_mgr_pros_0</t>
  </si>
  <si>
    <t>t-ag_othlowsk_0</t>
  </si>
  <si>
    <t>t-Capital_0</t>
  </si>
  <si>
    <t>t-Land_0</t>
  </si>
  <si>
    <t>t-NatlRes_0</t>
  </si>
  <si>
    <t>t-exp_0</t>
  </si>
  <si>
    <t>t-imp_0</t>
  </si>
  <si>
    <t>t-prodtax_0</t>
  </si>
  <si>
    <t>t-dirtax_0</t>
  </si>
  <si>
    <t>t-stx_0</t>
  </si>
  <si>
    <t>Power mix</t>
  </si>
  <si>
    <t>powerMix</t>
  </si>
  <si>
    <t>powerMix!A1</t>
  </si>
  <si>
    <t>carbonTax</t>
  </si>
  <si>
    <t>GHG mitigation</t>
  </si>
  <si>
    <t>GHGMitigation</t>
  </si>
  <si>
    <t>GHGMitigation!A1</t>
  </si>
  <si>
    <t>BAU</t>
  </si>
  <si>
    <t>ceilingBench</t>
  </si>
  <si>
    <t>ceilingBaseline</t>
  </si>
  <si>
    <t>ceilingAbsolute</t>
  </si>
  <si>
    <t xml:space="preserve">par </t>
  </si>
  <si>
    <t>nrgfac</t>
  </si>
  <si>
    <t>nrgFac</t>
  </si>
  <si>
    <t>Energy shifter nest</t>
  </si>
  <si>
    <t>Energy projections</t>
  </si>
  <si>
    <t>energyProj</t>
  </si>
  <si>
    <t>Energy!A1</t>
  </si>
  <si>
    <t>MeatDairy</t>
  </si>
  <si>
    <t>FoodOther</t>
  </si>
  <si>
    <t>f-AEZ1_0</t>
  </si>
  <si>
    <t>f-AEZ2_0</t>
  </si>
  <si>
    <t>f-AEZ3_0</t>
  </si>
  <si>
    <t>f-AEZ4_0</t>
  </si>
  <si>
    <t>f-AEZ5_0</t>
  </si>
  <si>
    <t>f-AEZ6_0</t>
  </si>
  <si>
    <t>f-AEZ7_0</t>
  </si>
  <si>
    <t>f-AEZ8_0</t>
  </si>
  <si>
    <t>f-AEZ9_0</t>
  </si>
  <si>
    <t>f-AEZ10_0</t>
  </si>
  <si>
    <t>f-AEZ11_0</t>
  </si>
  <si>
    <t>f-AEZ12_0</t>
  </si>
  <si>
    <t>f-AEZ13_0</t>
  </si>
  <si>
    <t>f-AEZ14_0</t>
  </si>
  <si>
    <t>f-AEZ15_0</t>
  </si>
  <si>
    <t>f-AEZ16_0</t>
  </si>
  <si>
    <t>f-AEZ17_0</t>
  </si>
  <si>
    <t>f-AEZ18_0</t>
  </si>
  <si>
    <t>f-AEZ1</t>
  </si>
  <si>
    <t>f-AEZ2</t>
  </si>
  <si>
    <t>f-AEZ3</t>
  </si>
  <si>
    <t>f-AEZ4</t>
  </si>
  <si>
    <t>f-AEZ5</t>
  </si>
  <si>
    <t>f-AEZ6</t>
  </si>
  <si>
    <t>f-AEZ7</t>
  </si>
  <si>
    <t>f-AEZ8</t>
  </si>
  <si>
    <t>f-AEZ9</t>
  </si>
  <si>
    <t>f-AEZ10</t>
  </si>
  <si>
    <t>f-AEZ11</t>
  </si>
  <si>
    <t>f-AEZ12</t>
  </si>
  <si>
    <t>f-AEZ13</t>
  </si>
  <si>
    <t>f-AEZ14</t>
  </si>
  <si>
    <t>f-AEZ15</t>
  </si>
  <si>
    <t>f-AEZ16</t>
  </si>
  <si>
    <t>f-AEZ17</t>
  </si>
  <si>
    <t>f-AEZ18</t>
  </si>
  <si>
    <t>t-AEZ2_0</t>
  </si>
  <si>
    <t>t-AEZ3_0</t>
  </si>
  <si>
    <t>t-AEZ4_0</t>
  </si>
  <si>
    <t>t-AEZ5_0</t>
  </si>
  <si>
    <t>t-AEZ6_0</t>
  </si>
  <si>
    <t>t-AEZ7_0</t>
  </si>
  <si>
    <t>t-AEZ8_0</t>
  </si>
  <si>
    <t>t-AEZ9_0</t>
  </si>
  <si>
    <t>t-AEZ10_0</t>
  </si>
  <si>
    <t>t-AEZ11_0</t>
  </si>
  <si>
    <t>t-AEZ12_0</t>
  </si>
  <si>
    <t>t-AEZ13_0</t>
  </si>
  <si>
    <t>t-AEZ14_0</t>
  </si>
  <si>
    <t>t-AEZ15_0</t>
  </si>
  <si>
    <t>t-AEZ16_0</t>
  </si>
  <si>
    <t>t-AEZ17_0</t>
  </si>
  <si>
    <t>t-AEZ18_0</t>
  </si>
  <si>
    <t>t-AEZ2</t>
  </si>
  <si>
    <t>t-AEZ3</t>
  </si>
  <si>
    <t>t-AEZ4</t>
  </si>
  <si>
    <t>t-AEZ5</t>
  </si>
  <si>
    <t>t-AEZ6</t>
  </si>
  <si>
    <t>t-AEZ7</t>
  </si>
  <si>
    <t>t-AEZ8</t>
  </si>
  <si>
    <t>t-AEZ9</t>
  </si>
  <si>
    <t>t-AEZ10</t>
  </si>
  <si>
    <t>t-AEZ11</t>
  </si>
  <si>
    <t>t-AEZ12</t>
  </si>
  <si>
    <t>t-AEZ13</t>
  </si>
  <si>
    <t>t-AEZ14</t>
  </si>
  <si>
    <t>t-AEZ15</t>
  </si>
  <si>
    <t>t-AEZ16</t>
  </si>
  <si>
    <t>t-AEZ17</t>
  </si>
  <si>
    <t>t-AEZ18</t>
  </si>
  <si>
    <t>t-AEZ1</t>
  </si>
  <si>
    <t>aez_land</t>
  </si>
  <si>
    <t xml:space="preserve">AEZ1_cropLand </t>
  </si>
  <si>
    <t xml:space="preserve">AEZ2_cropLand </t>
  </si>
  <si>
    <t xml:space="preserve">AEZ3_cropLand </t>
  </si>
  <si>
    <t xml:space="preserve">AEZ4_cropLand </t>
  </si>
  <si>
    <t xml:space="preserve">AEZ5_cropLand </t>
  </si>
  <si>
    <t xml:space="preserve">AEZ6_cropLand </t>
  </si>
  <si>
    <t xml:space="preserve">AEZ7_cropLand </t>
  </si>
  <si>
    <t xml:space="preserve">AEZ8_cropLand </t>
  </si>
  <si>
    <t xml:space="preserve">AEZ9_cropLand </t>
  </si>
  <si>
    <t>AEZ10_cropLand</t>
  </si>
  <si>
    <t>AEZ11_cropLand</t>
  </si>
  <si>
    <t>AEZ12_cropLand</t>
  </si>
  <si>
    <t>AEZ13_cropLand</t>
  </si>
  <si>
    <t>AEZ14_cropLand</t>
  </si>
  <si>
    <t>AEZ15_cropLand</t>
  </si>
  <si>
    <t>AEZ16_cropLand</t>
  </si>
  <si>
    <t>AEZ17_cropLand</t>
  </si>
  <si>
    <t>AEZ18_cropLand</t>
  </si>
  <si>
    <t xml:space="preserve">AEZ1_agrLand </t>
  </si>
  <si>
    <t xml:space="preserve">AEZ2_agrLand </t>
  </si>
  <si>
    <t xml:space="preserve">AEZ3_agrLand </t>
  </si>
  <si>
    <t xml:space="preserve">AEZ4_agrLand </t>
  </si>
  <si>
    <t xml:space="preserve">AEZ5_agrLand </t>
  </si>
  <si>
    <t xml:space="preserve">AEZ6_agrLand </t>
  </si>
  <si>
    <t xml:space="preserve">AEZ7_agrLand </t>
  </si>
  <si>
    <t xml:space="preserve">AEZ8_agrLand </t>
  </si>
  <si>
    <t xml:space="preserve">AEZ9_agrLand </t>
  </si>
  <si>
    <t>AEZ10_agrLand</t>
  </si>
  <si>
    <t>AEZ11_agrLand</t>
  </si>
  <si>
    <t>AEZ12_agrLand</t>
  </si>
  <si>
    <t>AEZ13_agrLand</t>
  </si>
  <si>
    <t>AEZ14_agrLand</t>
  </si>
  <si>
    <t>AEZ15_agrLand</t>
  </si>
  <si>
    <t>AEZ16_agrLand</t>
  </si>
  <si>
    <t>AEZ17_agrLand</t>
  </si>
  <si>
    <t>AEZ18_agrLand</t>
  </si>
  <si>
    <t xml:space="preserve">AEZ1_grasLand </t>
  </si>
  <si>
    <t xml:space="preserve">AEZ2_grasLand </t>
  </si>
  <si>
    <t xml:space="preserve">AEZ3_grasLand </t>
  </si>
  <si>
    <t xml:space="preserve">AEZ4_grasLand </t>
  </si>
  <si>
    <t xml:space="preserve">AEZ5_grasLand </t>
  </si>
  <si>
    <t xml:space="preserve">AEZ6_grasLand </t>
  </si>
  <si>
    <t xml:space="preserve">AEZ7_grasLand </t>
  </si>
  <si>
    <t xml:space="preserve">AEZ8_grasLand </t>
  </si>
  <si>
    <t xml:space="preserve">AEZ9_grasLand </t>
  </si>
  <si>
    <t>AEZ10_grasLand</t>
  </si>
  <si>
    <t>AEZ11_grasLand</t>
  </si>
  <si>
    <t>AEZ12_grasLand</t>
  </si>
  <si>
    <t>AEZ13_grasLand</t>
  </si>
  <si>
    <t>AEZ14_grasLand</t>
  </si>
  <si>
    <t>AEZ15_grasLand</t>
  </si>
  <si>
    <t>AEZ16_grasLand</t>
  </si>
  <si>
    <t>AEZ17_grasLand</t>
  </si>
  <si>
    <t>AEZ18_grasLand</t>
  </si>
  <si>
    <t>t-AEZ1_0</t>
  </si>
  <si>
    <t>Nutrient contents</t>
  </si>
  <si>
    <t>nutCont</t>
  </si>
  <si>
    <t>Nutrients!A1</t>
  </si>
  <si>
    <t>rest</t>
  </si>
  <si>
    <t>a-pbf</t>
  </si>
  <si>
    <t>Points on Marginal Abatement Cost Curves</t>
  </si>
  <si>
    <t>macc</t>
  </si>
  <si>
    <t>macc!A1</t>
  </si>
  <si>
    <t>a-macc</t>
  </si>
  <si>
    <t>Marginal abatement</t>
  </si>
  <si>
    <t>c-macc</t>
  </si>
  <si>
    <t>a-macc_0</t>
  </si>
  <si>
    <t>c-macc_0</t>
  </si>
  <si>
    <t>Crops</t>
  </si>
  <si>
    <t>Clothing</t>
  </si>
  <si>
    <t>Hot_Rest</t>
  </si>
  <si>
    <t>enerEle</t>
  </si>
  <si>
    <t>EnerEle</t>
  </si>
  <si>
    <t>enerFossil</t>
  </si>
  <si>
    <t>Hot_Trad</t>
  </si>
  <si>
    <t>incp</t>
  </si>
  <si>
    <t>constant</t>
  </si>
  <si>
    <t>logGdp</t>
  </si>
  <si>
    <t>subP</t>
  </si>
  <si>
    <t>Estimated regresion function for GTAP incp and subp parameters of CDE demand system as a function of log(GDP)</t>
  </si>
  <si>
    <t>Regression parameter to render CDE income dependent</t>
  </si>
  <si>
    <t>regparIncomeCDE</t>
  </si>
  <si>
    <t>hohPar!A3</t>
  </si>
  <si>
    <t>hohPar!B9</t>
  </si>
  <si>
    <t>GDP composition (for targeting)</t>
  </si>
  <si>
    <t>GDPComposition!A1</t>
  </si>
  <si>
    <t>GDPComp</t>
  </si>
  <si>
    <t>t-F_skl</t>
  </si>
  <si>
    <t>t-M_skl</t>
  </si>
  <si>
    <t>t-F_nsk</t>
  </si>
  <si>
    <t>t-M_nsk</t>
  </si>
  <si>
    <t>t-F_skl_0</t>
  </si>
  <si>
    <t>t-M_skl_0</t>
  </si>
  <si>
    <t>t-F_nsk_0</t>
  </si>
  <si>
    <t>t-M_nsk_0</t>
  </si>
  <si>
    <t>f-m_skl</t>
  </si>
  <si>
    <t>f-f_skl</t>
  </si>
  <si>
    <t>f-m_nsk</t>
  </si>
  <si>
    <t>f-f_nsk</t>
  </si>
  <si>
    <t>Male skilled labor</t>
  </si>
  <si>
    <t>Female skilled labor</t>
  </si>
  <si>
    <t>Male low skilled labor</t>
  </si>
  <si>
    <t>Female low skilled labor</t>
  </si>
  <si>
    <t>f-F_skl</t>
  </si>
  <si>
    <t>f-M_skl</t>
  </si>
  <si>
    <t>f-F_nsk</t>
  </si>
  <si>
    <t>f-M_nsk</t>
  </si>
  <si>
    <t>f-F_skl_0</t>
  </si>
  <si>
    <t>f-M_skl_0</t>
  </si>
  <si>
    <t>f-F_nsk_0</t>
  </si>
  <si>
    <t>f-M_nsk_0</t>
  </si>
  <si>
    <t>a-ctlRais</t>
  </si>
  <si>
    <t>Cattle raising</t>
  </si>
  <si>
    <t>Cattle for meat</t>
  </si>
  <si>
    <t>c-ctlRais</t>
  </si>
  <si>
    <t>a-ctlRais_0</t>
  </si>
  <si>
    <t>c-ctlRais_0</t>
  </si>
  <si>
    <t>pnest!C2</t>
  </si>
  <si>
    <t>subsElas</t>
  </si>
  <si>
    <t>a-otpEle</t>
  </si>
  <si>
    <t>Road transport standard</t>
  </si>
  <si>
    <t xml:space="preserve">Electrified road transport </t>
  </si>
  <si>
    <t>c-otpEle</t>
  </si>
  <si>
    <t>Road transport standard electrified</t>
  </si>
  <si>
    <t>Other transport industry standard</t>
  </si>
  <si>
    <t>Other transport industry standard, electrified</t>
  </si>
  <si>
    <t>a-otpEle_0</t>
  </si>
  <si>
    <t>c-otpEle_0</t>
  </si>
  <si>
    <t>depr</t>
  </si>
  <si>
    <t>enerGas</t>
  </si>
  <si>
    <t>HousEner</t>
  </si>
  <si>
    <t>Only used if AEZ not found</t>
  </si>
  <si>
    <t>Immobile; Numbers for activities are activity specific factor supply elasticities</t>
  </si>
  <si>
    <t>All activities not in agrLab and manulab, automatically assigned to not listed activities</t>
  </si>
  <si>
    <t>All activities, automatically assigned to all actibitiy as no entry</t>
  </si>
  <si>
    <t>All labor categories have the segments defined agrLab, manuLab, restLab</t>
  </si>
  <si>
    <t>Gender differentiated labor and the 5 skill levels are never active simultaneously</t>
  </si>
  <si>
    <t>cropLand by AEZ</t>
  </si>
  <si>
    <t>grassland by AEZ</t>
  </si>
  <si>
    <t>agrland by AEZ</t>
  </si>
  <si>
    <t>Total land by AEZ, aggregated to aez_land (total land) in production function</t>
  </si>
  <si>
    <t>f-water_0</t>
  </si>
  <si>
    <t>f-water</t>
  </si>
  <si>
    <t>t-water</t>
  </si>
  <si>
    <t>Water as primary factor</t>
  </si>
  <si>
    <t>Land in AEZ1</t>
  </si>
  <si>
    <t>Land in AEZ2</t>
  </si>
  <si>
    <t>Land in AEZ3</t>
  </si>
  <si>
    <t>Land in AEZ4</t>
  </si>
  <si>
    <t>Land in AEZ5</t>
  </si>
  <si>
    <t>Land in AEZ6</t>
  </si>
  <si>
    <t>Land in AEZ7</t>
  </si>
  <si>
    <t>Land in AEZ8</t>
  </si>
  <si>
    <t>Land in AEZ9</t>
  </si>
  <si>
    <t>Land in AEZ10</t>
  </si>
  <si>
    <t>Land in AEZ11</t>
  </si>
  <si>
    <t>Land in AEZ12</t>
  </si>
  <si>
    <t>Land in AEZ13</t>
  </si>
  <si>
    <t>Land in AEZ14</t>
  </si>
  <si>
    <t>Land in AEZ15</t>
  </si>
  <si>
    <t>Land in AEZ16</t>
  </si>
  <si>
    <t>Land in AEZ17</t>
  </si>
  <si>
    <t>Land in AEZ18</t>
  </si>
  <si>
    <t>Land taxes in AEZ1</t>
  </si>
  <si>
    <t>Land taxes in AEZ2</t>
  </si>
  <si>
    <t>Land taxes in AEZ3</t>
  </si>
  <si>
    <t>Land taxes in AEZ4</t>
  </si>
  <si>
    <t>Land taxes in AEZ5</t>
  </si>
  <si>
    <t>Land taxes in AEZ6</t>
  </si>
  <si>
    <t>Land taxes in AEZ7</t>
  </si>
  <si>
    <t>Land taxes in AEZ8</t>
  </si>
  <si>
    <t>Land taxes in AEZ9</t>
  </si>
  <si>
    <t>Land taxes in AEZ10</t>
  </si>
  <si>
    <t>Land taxes in AEZ11</t>
  </si>
  <si>
    <t>Land taxes in AEZ12</t>
  </si>
  <si>
    <t>Land taxes in AEZ13</t>
  </si>
  <si>
    <t>Land taxes in AEZ14</t>
  </si>
  <si>
    <t>Land taxes in AEZ15</t>
  </si>
  <si>
    <t>Land taxes in AEZ16</t>
  </si>
  <si>
    <t>Land taxes in AEZ17</t>
  </si>
  <si>
    <t>Land taxes in AEZ18</t>
  </si>
  <si>
    <t>Water factor taxes</t>
  </si>
  <si>
    <t>Labor taxes, female skilled</t>
  </si>
  <si>
    <t>Labor taxes, male skilled</t>
  </si>
  <si>
    <t>Labor taxes, female low skilled</t>
  </si>
  <si>
    <t>Labor taxes, male low skilled</t>
  </si>
  <si>
    <t>t-water_0</t>
  </si>
  <si>
    <t>mapk!C2</t>
  </si>
  <si>
    <t>labor!B1</t>
  </si>
  <si>
    <t>original: 17.5</t>
  </si>
  <si>
    <t>pnest!B6</t>
  </si>
  <si>
    <t>all</t>
  </si>
  <si>
    <t>cap_labsk_ener</t>
  </si>
  <si>
    <t>labsk_labus</t>
  </si>
  <si>
    <t>physProd</t>
  </si>
  <si>
    <t/>
  </si>
  <si>
    <t>a-PDR</t>
  </si>
  <si>
    <t>a-WHT</t>
  </si>
  <si>
    <t>a-GRO</t>
  </si>
  <si>
    <t>a-V_F</t>
  </si>
  <si>
    <t>a-OSD</t>
  </si>
  <si>
    <t>a-C_B</t>
  </si>
  <si>
    <t>a-PFB</t>
  </si>
  <si>
    <t>a-OCR</t>
  </si>
  <si>
    <t>a-CTL</t>
  </si>
  <si>
    <t>a-OAP</t>
  </si>
  <si>
    <t>a-RMK</t>
  </si>
  <si>
    <t>a-WOL</t>
  </si>
  <si>
    <t>a-FRS</t>
  </si>
  <si>
    <t>a-FSH</t>
  </si>
  <si>
    <t>a-COA</t>
  </si>
  <si>
    <t>a-OIL</t>
  </si>
  <si>
    <t>a-GAS</t>
  </si>
  <si>
    <t>a-OXT</t>
  </si>
  <si>
    <t>a-CMT</t>
  </si>
  <si>
    <t>a-OMT</t>
  </si>
  <si>
    <t>a-VOL</t>
  </si>
  <si>
    <t>a-MIL</t>
  </si>
  <si>
    <t>a-PCR</t>
  </si>
  <si>
    <t>a-SGR</t>
  </si>
  <si>
    <t>a-OFD</t>
  </si>
  <si>
    <t>a-B_T</t>
  </si>
  <si>
    <t>a-TEX</t>
  </si>
  <si>
    <t>a-WAP</t>
  </si>
  <si>
    <t>a-LEA</t>
  </si>
  <si>
    <t>a-LUM</t>
  </si>
  <si>
    <t>a-PPP</t>
  </si>
  <si>
    <t>a-P_C</t>
  </si>
  <si>
    <t>a-CHM</t>
  </si>
  <si>
    <t>a-BPH</t>
  </si>
  <si>
    <t>a-RPP</t>
  </si>
  <si>
    <t>a-NMM</t>
  </si>
  <si>
    <t>a-I_S</t>
  </si>
  <si>
    <t>a-NFM</t>
  </si>
  <si>
    <t>a-FMP</t>
  </si>
  <si>
    <t>a-ELE</t>
  </si>
  <si>
    <t>a-EEQ</t>
  </si>
  <si>
    <t>a-OME</t>
  </si>
  <si>
    <t>a-MVH</t>
  </si>
  <si>
    <t>a-OTN</t>
  </si>
  <si>
    <t>a-OMF</t>
  </si>
  <si>
    <t>a-GDT</t>
  </si>
  <si>
    <t>a-WTR</t>
  </si>
  <si>
    <t>a-CNS</t>
  </si>
  <si>
    <t>a-TRD</t>
  </si>
  <si>
    <t>a-AFS</t>
  </si>
  <si>
    <t>a-OTP</t>
  </si>
  <si>
    <t>Eps</t>
  </si>
  <si>
    <t>a-WTP</t>
  </si>
  <si>
    <t>a-ATP</t>
  </si>
  <si>
    <t>a-WHS</t>
  </si>
  <si>
    <t>a-CMN</t>
  </si>
  <si>
    <t>a-OFI</t>
  </si>
  <si>
    <t>a-INS</t>
  </si>
  <si>
    <t>a-RSA</t>
  </si>
  <si>
    <t>a-OBS</t>
  </si>
  <si>
    <t>a-ROS</t>
  </si>
  <si>
    <t>a-OSG</t>
  </si>
  <si>
    <t>a-EDU</t>
  </si>
  <si>
    <t>a-HHT</t>
  </si>
  <si>
    <t>a-DWE</t>
  </si>
  <si>
    <t>nd_wtr_land</t>
  </si>
  <si>
    <t>crops_land</t>
  </si>
  <si>
    <t>Factor supply distribution across institutions</t>
  </si>
  <si>
    <t>xfmSupDistrInst</t>
  </si>
  <si>
    <t>hohPar!B15</t>
  </si>
  <si>
    <t>Trans</t>
  </si>
  <si>
    <t>privTrs</t>
  </si>
  <si>
    <t>privTrsEner</t>
  </si>
  <si>
    <t>privTrsRest</t>
  </si>
  <si>
    <t>f-m_tech_aspros</t>
  </si>
  <si>
    <t>f-m_service_shop</t>
  </si>
  <si>
    <t>f-m_off_mgr_pros</t>
  </si>
  <si>
    <t>f-m_ag_othlowsk</t>
  </si>
  <si>
    <t>Technicians and associate professionals, male</t>
  </si>
  <si>
    <t>Clerks, male</t>
  </si>
  <si>
    <t>Service and shop workers, male</t>
  </si>
  <si>
    <t>Senior officials and managers, professionals, male</t>
  </si>
  <si>
    <t>Agricultural and other low skiled labor, male</t>
  </si>
  <si>
    <t>f-f_tech_aspros</t>
  </si>
  <si>
    <t>f-f_service_shop</t>
  </si>
  <si>
    <t>f-f_off_mgr_pros</t>
  </si>
  <si>
    <t>f-f_ag_othlowsk</t>
  </si>
  <si>
    <t>Technicians and associate professionals, female</t>
  </si>
  <si>
    <t>Clerks, female</t>
  </si>
  <si>
    <t>Service and shop workers, female</t>
  </si>
  <si>
    <t>Senior officials and managers, professionals, female</t>
  </si>
  <si>
    <t>Agricultural and other low skiled labor, female</t>
  </si>
  <si>
    <t>f-m_clerks</t>
  </si>
  <si>
    <t>Labor taxes, Clerks, male</t>
  </si>
  <si>
    <t>Labor taxes, Service and shop workers, male</t>
  </si>
  <si>
    <t>Labor taxes, Senior officials and managers, professionals, male</t>
  </si>
  <si>
    <t>Labor taxes, Agricultural and other low skiled labor, male</t>
  </si>
  <si>
    <t>Labor taxes, Technicians and associate professionals, female</t>
  </si>
  <si>
    <t>Labor taxes, Clerks, female</t>
  </si>
  <si>
    <t>Labor taxes, Service and shop workers, female</t>
  </si>
  <si>
    <t>Labor taxes, Senior officials and managers, professionals, female</t>
  </si>
  <si>
    <t>Labor taxes, Agricultural and other low skiled labor, female</t>
  </si>
  <si>
    <t>t-m_tech_aspros</t>
  </si>
  <si>
    <t>t-m_clerks</t>
  </si>
  <si>
    <t>t-m_service_shop</t>
  </si>
  <si>
    <t>t-m_off_mgr_pros</t>
  </si>
  <si>
    <t>t-m_ag_othlowsk</t>
  </si>
  <si>
    <t>t-f_tech_aspros</t>
  </si>
  <si>
    <t>t-f_service_shop</t>
  </si>
  <si>
    <t>t-f_off_mgr_pros</t>
  </si>
  <si>
    <t>t-f_ag_othlowsk</t>
  </si>
  <si>
    <t>f-m_tech_aspros_0</t>
  </si>
  <si>
    <t>f-m_clerks_0</t>
  </si>
  <si>
    <t>f-m_service_shop_0</t>
  </si>
  <si>
    <t>f-m_off_mgr_pros_0</t>
  </si>
  <si>
    <t>f-m_ag_othlowsk_0</t>
  </si>
  <si>
    <t>f-f_tech_aspros_0</t>
  </si>
  <si>
    <t>f-f_service_shop_0</t>
  </si>
  <si>
    <t>f-f_off_mgr_pros_0</t>
  </si>
  <si>
    <t>t-m_tech_aspros_0</t>
  </si>
  <si>
    <t>t-m_clerks_0</t>
  </si>
  <si>
    <t>t-m_service_shop_0</t>
  </si>
  <si>
    <t>t-m_off_mgr_pros_0</t>
  </si>
  <si>
    <t>t-m_ag_othlowsk_0</t>
  </si>
  <si>
    <t>t-f_tech_aspros_0</t>
  </si>
  <si>
    <t>t-f_service_shop_0</t>
  </si>
  <si>
    <t>t-f_off_mgr_pros_0</t>
  </si>
  <si>
    <t>f-f_clerks</t>
  </si>
  <si>
    <t>f-f_clerks_0</t>
  </si>
  <si>
    <t>t-f_clerks</t>
  </si>
  <si>
    <t>Labor taxes, Technicians and associate professionals, male</t>
  </si>
  <si>
    <t>t-f_clerks_0</t>
  </si>
  <si>
    <t>f-f_ag_othlowsk_0</t>
  </si>
  <si>
    <t>t-f_ag_othlowsk_0</t>
  </si>
  <si>
    <t>Age lt 15</t>
  </si>
  <si>
    <t>Age 15-64</t>
  </si>
  <si>
    <t>Age gt 64</t>
  </si>
  <si>
    <t>All ages</t>
  </si>
  <si>
    <t>PhiRDtoes</t>
  </si>
  <si>
    <t>Supfgrowth</t>
  </si>
  <si>
    <t>Varia</t>
  </si>
  <si>
    <t>rhoEn</t>
  </si>
  <si>
    <t>sigmaxpvt</t>
  </si>
  <si>
    <t>obsol</t>
  </si>
  <si>
    <t>fgrowthDef</t>
  </si>
  <si>
    <t>interestRD</t>
  </si>
  <si>
    <t xml:space="preserve">size of stepping on toes effect </t>
  </si>
  <si>
    <t>larger value = smaller R&amp;D response to change in revenue; 1 = no response; no value = R&amp;D mechanism is switched off</t>
  </si>
  <si>
    <t>supernormal growth</t>
  </si>
  <si>
    <t>difference between the productivity growth of the sector and the balanced growth path of the economy; 0 = the sector does not grow faster</t>
  </si>
  <si>
    <t>PrvRD</t>
  </si>
  <si>
    <t>Private R&amp;D share of GDP</t>
  </si>
  <si>
    <t>fraction of innovations that go to inventions (inventions are not bounded by the frontier)</t>
  </si>
  <si>
    <t>elasticity of substitution between processes</t>
  </si>
  <si>
    <t>baseyear obsolescence rate</t>
  </si>
  <si>
    <t>interest rate considered by the R&amp;D firms</t>
  </si>
  <si>
    <t>growth of the frontier</t>
  </si>
  <si>
    <t>endogenous tech change parameters</t>
  </si>
  <si>
    <t>EnTPar</t>
  </si>
  <si>
    <t>stepping on toes effect</t>
  </si>
  <si>
    <t>supernormal growth of sectors</t>
  </si>
  <si>
    <t>EnTech!D5</t>
  </si>
  <si>
    <t>EnTech!A5</t>
  </si>
  <si>
    <t>EnTech!G5</t>
  </si>
  <si>
    <t>capital</t>
  </si>
  <si>
    <t>labor</t>
  </si>
  <si>
    <t>intensMargElas</t>
  </si>
  <si>
    <t>omegaCETShort</t>
  </si>
  <si>
    <t>factSupElasShort</t>
  </si>
  <si>
    <t>fmNest!B9</t>
  </si>
  <si>
    <t>a-OMN</t>
  </si>
  <si>
    <t>a-ELY</t>
  </si>
  <si>
    <t>a-ISR</t>
  </si>
  <si>
    <t>a-CRP</t>
  </si>
  <si>
    <t>a-omn</t>
  </si>
  <si>
    <t>a-ely</t>
  </si>
  <si>
    <t>a-isr</t>
  </si>
  <si>
    <t>c-omn</t>
  </si>
  <si>
    <t>Chemicals, rubber, plastics</t>
  </si>
  <si>
    <t>c-isr</t>
  </si>
  <si>
    <t>omn</t>
  </si>
  <si>
    <t>a-omn_0</t>
  </si>
  <si>
    <t>crp</t>
  </si>
  <si>
    <t>a-crp_0</t>
  </si>
  <si>
    <t>a-ely_0</t>
  </si>
  <si>
    <t>c-ely_0</t>
  </si>
  <si>
    <t>isr</t>
  </si>
  <si>
    <t>a-isr_0</t>
  </si>
  <si>
    <t>c-isr_0</t>
  </si>
  <si>
    <t>c-omn_0</t>
  </si>
  <si>
    <t>c-crp_0</t>
  </si>
  <si>
    <t>GTAPVersion</t>
  </si>
  <si>
    <t>GTAPData9</t>
  </si>
  <si>
    <t>BaseYear</t>
  </si>
  <si>
    <t>c-care</t>
  </si>
  <si>
    <t>Care economy</t>
  </si>
  <si>
    <t>a-care</t>
  </si>
  <si>
    <t>a-care_0</t>
  </si>
  <si>
    <t>c-care_0</t>
  </si>
  <si>
    <t>care_hht</t>
  </si>
  <si>
    <t>c-eeq</t>
  </si>
  <si>
    <t>c-whs</t>
  </si>
  <si>
    <t>c-rsa</t>
  </si>
  <si>
    <t>f-f_tech_aspros_rest</t>
  </si>
  <si>
    <t>f-f_service_shop_rest</t>
  </si>
  <si>
    <t>f-f_off_mgr_pros_rest</t>
  </si>
  <si>
    <t>f-f_ag_othlowsk_rest</t>
  </si>
  <si>
    <t>f-f_clerks_rest</t>
  </si>
  <si>
    <t>f-f_skl_rest</t>
  </si>
  <si>
    <t>f-f_nsk_rest</t>
  </si>
  <si>
    <t>f-f_tech_aspros_care</t>
  </si>
  <si>
    <t>f-f_service_shop_care</t>
  </si>
  <si>
    <t>f-f_off_mgr_pros_care</t>
  </si>
  <si>
    <t>f-f_ag_othlowsk_care</t>
  </si>
  <si>
    <t>f-f_clerks_care</t>
  </si>
  <si>
    <t>f-f_skl_care</t>
  </si>
  <si>
    <t>f-f_nsk_care</t>
  </si>
  <si>
    <t>a-eeq</t>
  </si>
  <si>
    <t>a-whs</t>
  </si>
  <si>
    <t>a-rsa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</si>
</sst>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rgb="FF007400"/>
      <name val="Consolas"/>
      <family val="3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6"/>
      <name val="Calibri"/>
      <family val="2"/>
      <scheme val="minor"/>
    </font>
    <font>
      <b/>
      <sz val="22"/>
      <name val="Cambria"/>
      <family val="2"/>
      <scheme val="major"/>
    </font>
    <font>
      <sz val="11"/>
      <color theme="3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onsolas"/>
      <family val="3"/>
    </font>
    <font>
      <sz val="11"/>
      <color theme="9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8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7" borderId="0" applyNumberFormat="0" applyAlignment="0" applyProtection="0">
      <alignment vertical="center"/>
    </xf>
    <xf numFmtId="0" fontId="14" fillId="0" borderId="0" applyNumberFormat="0" applyAlignment="0" applyProtection="0"/>
    <xf numFmtId="0" fontId="13" fillId="0" borderId="1" applyNumberFormat="0" applyAlignment="0" applyProtection="0"/>
    <xf numFmtId="0" fontId="11" fillId="14" borderId="0" applyNumberFormat="0" applyAlignment="0" applyProtection="0">
      <alignment vertical="center"/>
    </xf>
    <xf numFmtId="0" fontId="20" fillId="0" borderId="0" applyNumberFormat="0" applyAlignment="0" applyProtection="0">
      <alignment vertical="center"/>
    </xf>
    <xf numFmtId="0" fontId="1" fillId="16" borderId="0" applyNumberFormat="0" applyAlignment="0" applyProtection="0">
      <alignment vertical="center"/>
    </xf>
    <xf numFmtId="0" fontId="15" fillId="3" borderId="0" applyNumberFormat="0" applyBorder="0" applyAlignment="0" applyProtection="0"/>
    <xf numFmtId="0" fontId="18" fillId="0" borderId="0" applyNumberFormat="0" applyAlignment="0" applyProtection="0"/>
    <xf numFmtId="0" fontId="13" fillId="15" borderId="0" applyNumberFormat="0" applyAlignment="0" applyProtection="0">
      <alignment vertical="center"/>
    </xf>
    <xf numFmtId="0" fontId="13" fillId="0" borderId="2" applyNumberFormat="0" applyAlignment="0" applyProtection="0"/>
    <xf numFmtId="0" fontId="16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0" borderId="0" applyNumberFormat="0" applyAlignment="0" applyProtection="0">
      <alignment vertical="center"/>
    </xf>
    <xf numFmtId="0" fontId="21" fillId="0" borderId="0" applyNumberFormat="0" applyAlignment="0" applyProtection="0">
      <alignment vertical="center"/>
    </xf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right"/>
    </xf>
    <xf numFmtId="11" fontId="0" fillId="0" borderId="0" xfId="0" applyNumberForma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43" fontId="0" fillId="0" borderId="0" xfId="0" applyNumberFormat="1"/>
    <xf numFmtId="0" fontId="10" fillId="0" borderId="0" xfId="0" applyFont="1" applyAlignment="1">
      <alignment vertical="center"/>
    </xf>
    <xf numFmtId="0" fontId="0" fillId="4" borderId="0" xfId="0" applyFill="1"/>
    <xf numFmtId="0" fontId="1" fillId="5" borderId="0" xfId="4"/>
    <xf numFmtId="0" fontId="1" fillId="5" borderId="0" xfId="4" applyAlignment="1">
      <alignment horizontal="right"/>
    </xf>
    <xf numFmtId="0" fontId="1" fillId="5" borderId="0" xfId="4" applyAlignment="1">
      <alignment vertical="center"/>
    </xf>
    <xf numFmtId="0" fontId="1" fillId="6" borderId="0" xfId="5"/>
    <xf numFmtId="0" fontId="1" fillId="7" borderId="0" xfId="6" applyAlignment="1">
      <alignment horizontal="left"/>
    </xf>
    <xf numFmtId="2" fontId="1" fillId="7" borderId="0" xfId="6" applyNumberFormat="1"/>
    <xf numFmtId="0" fontId="1" fillId="7" borderId="0" xfId="6"/>
    <xf numFmtId="0" fontId="1" fillId="7" borderId="0" xfId="6" applyAlignment="1">
      <alignment horizontal="right"/>
    </xf>
    <xf numFmtId="0" fontId="1" fillId="8" borderId="0" xfId="7" applyAlignment="1">
      <alignment horizontal="left"/>
    </xf>
    <xf numFmtId="0" fontId="1" fillId="8" borderId="0" xfId="7"/>
    <xf numFmtId="0" fontId="1" fillId="8" borderId="0" xfId="7" applyAlignment="1">
      <alignment horizontal="right"/>
    </xf>
    <xf numFmtId="0" fontId="1" fillId="9" borderId="0" xfId="8"/>
    <xf numFmtId="0" fontId="1" fillId="9" borderId="0" xfId="8" applyAlignment="1">
      <alignment vertical="center"/>
    </xf>
    <xf numFmtId="0" fontId="1" fillId="10" borderId="0" xfId="9"/>
    <xf numFmtId="0" fontId="1" fillId="11" borderId="0" xfId="10"/>
    <xf numFmtId="165" fontId="1" fillId="11" borderId="0" xfId="10" applyNumberFormat="1"/>
    <xf numFmtId="164" fontId="1" fillId="11" borderId="0" xfId="10" applyNumberFormat="1"/>
    <xf numFmtId="11" fontId="1" fillId="11" borderId="0" xfId="10" applyNumberFormat="1"/>
    <xf numFmtId="0" fontId="16" fillId="0" borderId="0" xfId="0" applyFont="1"/>
    <xf numFmtId="0" fontId="16" fillId="18" borderId="0" xfId="3" applyFont="1" applyFill="1"/>
    <xf numFmtId="0" fontId="0" fillId="18" borderId="0" xfId="0" applyFill="1"/>
    <xf numFmtId="0" fontId="1" fillId="5" borderId="0" xfId="4" quotePrefix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23" fillId="2" borderId="0" xfId="0" applyFont="1" applyFill="1"/>
    <xf numFmtId="0" fontId="16" fillId="2" borderId="0" xfId="0" applyFont="1" applyFill="1"/>
    <xf numFmtId="0" fontId="24" fillId="22" borderId="0" xfId="0" applyFont="1" applyFill="1"/>
    <xf numFmtId="0" fontId="16" fillId="22" borderId="0" xfId="0" applyFont="1" applyFill="1"/>
    <xf numFmtId="0" fontId="16" fillId="20" borderId="0" xfId="0" applyFont="1" applyFill="1"/>
    <xf numFmtId="0" fontId="25" fillId="20" borderId="0" xfId="0" applyFont="1" applyFill="1"/>
    <xf numFmtId="0" fontId="24" fillId="20" borderId="0" xfId="0" applyFont="1" applyFill="1"/>
    <xf numFmtId="0" fontId="12" fillId="20" borderId="0" xfId="0" applyFont="1" applyFill="1"/>
    <xf numFmtId="0" fontId="16" fillId="23" borderId="0" xfId="0" applyFont="1" applyFill="1"/>
    <xf numFmtId="0" fontId="0" fillId="24" borderId="0" xfId="0" applyFill="1"/>
    <xf numFmtId="0" fontId="0" fillId="25" borderId="0" xfId="0" applyFill="1"/>
    <xf numFmtId="0" fontId="16" fillId="25" borderId="0" xfId="0" applyFont="1" applyFill="1"/>
    <xf numFmtId="0" fontId="0" fillId="26" borderId="0" xfId="0" applyFill="1"/>
    <xf numFmtId="0" fontId="0" fillId="27" borderId="0" xfId="0" applyFill="1"/>
    <xf numFmtId="0" fontId="12" fillId="19" borderId="0" xfId="0" applyFont="1" applyFill="1"/>
    <xf numFmtId="0" fontId="25" fillId="19" borderId="0" xfId="0" applyFont="1" applyFill="1"/>
    <xf numFmtId="0" fontId="24" fillId="21" borderId="0" xfId="0" applyFont="1" applyFill="1"/>
    <xf numFmtId="0" fontId="12" fillId="21" borderId="0" xfId="0" applyFont="1" applyFill="1"/>
    <xf numFmtId="0" fontId="25" fillId="21" borderId="0" xfId="0" applyFont="1" applyFill="1"/>
    <xf numFmtId="0" fontId="24" fillId="24" borderId="0" xfId="0" applyFont="1" applyFill="1"/>
    <xf numFmtId="0" fontId="12" fillId="24" borderId="0" xfId="0" applyFont="1" applyFill="1"/>
    <xf numFmtId="0" fontId="25" fillId="24" borderId="0" xfId="0" applyFont="1" applyFill="1"/>
    <xf numFmtId="0" fontId="0" fillId="28" borderId="0" xfId="0" applyFill="1"/>
    <xf numFmtId="0" fontId="12" fillId="28" borderId="0" xfId="0" applyFont="1" applyFill="1"/>
    <xf numFmtId="0" fontId="25" fillId="28" borderId="0" xfId="0" applyFont="1" applyFill="1"/>
    <xf numFmtId="0" fontId="0" fillId="29" borderId="0" xfId="0" applyFill="1"/>
    <xf numFmtId="0" fontId="0" fillId="30" borderId="0" xfId="0" applyFill="1"/>
    <xf numFmtId="0" fontId="12" fillId="31" borderId="0" xfId="0" applyFont="1" applyFill="1"/>
    <xf numFmtId="0" fontId="16" fillId="31" borderId="0" xfId="0" applyFont="1" applyFill="1"/>
    <xf numFmtId="0" fontId="26" fillId="28" borderId="0" xfId="0" applyFont="1" applyFill="1"/>
    <xf numFmtId="0" fontId="16" fillId="28" borderId="0" xfId="0" applyFont="1" applyFill="1"/>
    <xf numFmtId="0" fontId="0" fillId="32" borderId="0" xfId="0" applyFill="1"/>
    <xf numFmtId="0" fontId="26" fillId="32" borderId="0" xfId="0" applyFont="1" applyFill="1"/>
    <xf numFmtId="0" fontId="10" fillId="0" borderId="0" xfId="0" quotePrefix="1" applyFont="1" applyAlignment="1">
      <alignment vertical="center"/>
    </xf>
    <xf numFmtId="0" fontId="0" fillId="33" borderId="0" xfId="0" applyFill="1"/>
    <xf numFmtId="0" fontId="0" fillId="34" borderId="0" xfId="0" applyFill="1"/>
    <xf numFmtId="166" fontId="0" fillId="34" borderId="0" xfId="0" applyNumberFormat="1" applyFill="1"/>
    <xf numFmtId="166" fontId="0" fillId="24" borderId="0" xfId="0" applyNumberFormat="1" applyFill="1"/>
    <xf numFmtId="0" fontId="0" fillId="35" borderId="0" xfId="0" applyFill="1"/>
    <xf numFmtId="166" fontId="0" fillId="36" borderId="0" xfId="0" applyNumberForma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23" borderId="0" xfId="0" applyFill="1"/>
    <xf numFmtId="0" fontId="0" fillId="31" borderId="0" xfId="0" applyFill="1"/>
    <xf numFmtId="0" fontId="0" fillId="21" borderId="0" xfId="0" quotePrefix="1" applyFill="1"/>
    <xf numFmtId="0" fontId="0" fillId="41" borderId="0" xfId="0" quotePrefix="1" applyFill="1"/>
    <xf numFmtId="0" fontId="0" fillId="41" borderId="0" xfId="0" applyFill="1"/>
    <xf numFmtId="166" fontId="0" fillId="2" borderId="0" xfId="0" applyNumberFormat="1" applyFill="1"/>
    <xf numFmtId="0" fontId="12" fillId="41" borderId="0" xfId="0" applyFont="1" applyFill="1"/>
    <xf numFmtId="0" fontId="25" fillId="41" borderId="0" xfId="0" applyFont="1" applyFill="1"/>
    <xf numFmtId="0" fontId="0" fillId="22" borderId="0" xfId="0" applyFill="1"/>
    <xf numFmtId="0" fontId="0" fillId="0" borderId="0" xfId="0" applyAlignment="1">
      <alignment vertical="top" wrapText="1"/>
    </xf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2" borderId="0" xfId="0" quotePrefix="1" applyFill="1"/>
    <xf numFmtId="0" fontId="0" fillId="44" borderId="0" xfId="0" quotePrefix="1" applyFill="1"/>
    <xf numFmtId="4" fontId="0" fillId="45" borderId="0" xfId="1" applyNumberFormat="1" applyFont="1" applyFill="1"/>
    <xf numFmtId="0" fontId="0" fillId="39" borderId="0" xfId="0" quotePrefix="1" applyFill="1"/>
    <xf numFmtId="0" fontId="22" fillId="0" borderId="0" xfId="0" quotePrefix="1" applyFont="1" applyAlignment="1">
      <alignment vertical="center"/>
    </xf>
    <xf numFmtId="0" fontId="16" fillId="0" borderId="0" xfId="0" quotePrefix="1" applyFont="1"/>
    <xf numFmtId="4" fontId="0" fillId="0" borderId="0" xfId="1" quotePrefix="1" applyNumberFormat="1" applyFont="1"/>
    <xf numFmtId="0" fontId="16" fillId="37" borderId="0" xfId="0" applyFont="1" applyFill="1"/>
    <xf numFmtId="0" fontId="0" fillId="17" borderId="0" xfId="0" applyFill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top" wrapText="1"/>
    </xf>
  </cellXfs>
  <cellStyles count="29">
    <cellStyle name="20 % - Akzent1" xfId="4" builtinId="30"/>
    <cellStyle name="20 % - Akzent2" xfId="5" builtinId="34"/>
    <cellStyle name="20 % - Akzent3" xfId="7" builtinId="38"/>
    <cellStyle name="20 % - Akzent4" xfId="8" builtinId="42"/>
    <cellStyle name="20 % - Akzent5" xfId="9" builtinId="46"/>
    <cellStyle name="20 % - Akzent6" xfId="10" builtinId="50"/>
    <cellStyle name="40 % - Akzent2" xfId="6" builtinId="35"/>
    <cellStyle name="Accent4 2" xfId="25" xr:uid="{00000000-0005-0000-0000-000007000000}"/>
    <cellStyle name="Accent6 2" xfId="26" xr:uid="{00000000-0005-0000-0000-000008000000}"/>
    <cellStyle name="Bad 2" xfId="17" xr:uid="{00000000-0005-0000-0000-000009000000}"/>
    <cellStyle name="Calculation 2" xfId="21" xr:uid="{00000000-0005-0000-0000-00000A000000}"/>
    <cellStyle name="Comma 2" xfId="28" xr:uid="{00000000-0005-0000-0000-00000B000000}"/>
    <cellStyle name="Comma 3" xfId="27" xr:uid="{00000000-0005-0000-0000-00000C000000}"/>
    <cellStyle name="Heading 1 2" xfId="12" xr:uid="{00000000-0005-0000-0000-00000D000000}"/>
    <cellStyle name="Heading 2 2" xfId="13" xr:uid="{00000000-0005-0000-0000-00000E000000}"/>
    <cellStyle name="Heading 3 2" xfId="14" xr:uid="{00000000-0005-0000-0000-00000F000000}"/>
    <cellStyle name="Heading 4 2" xfId="19" xr:uid="{00000000-0005-0000-0000-000010000000}"/>
    <cellStyle name="Komma" xfId="1" builtinId="3"/>
    <cellStyle name="Link" xfId="22" xr:uid="{00000000-0005-0000-0000-000012000000}"/>
    <cellStyle name="Normal 2" xfId="2" xr:uid="{00000000-0005-0000-0000-000013000000}"/>
    <cellStyle name="Notes" xfId="24" xr:uid="{00000000-0005-0000-0000-000014000000}"/>
    <cellStyle name="Output 2" xfId="11" xr:uid="{00000000-0005-0000-0000-000015000000}"/>
    <cellStyle name="Raw Data" xfId="15" xr:uid="{00000000-0005-0000-0000-000017000000}"/>
    <cellStyle name="Schlecht" xfId="3" builtinId="27"/>
    <cellStyle name="Standard" xfId="0" builtinId="0"/>
    <cellStyle name="Title 2" xfId="18" xr:uid="{00000000-0005-0000-0000-00001A000000}"/>
    <cellStyle name="Total 2" xfId="20" xr:uid="{00000000-0005-0000-0000-00001B000000}"/>
    <cellStyle name="Variables" xfId="16" xr:uid="{00000000-0005-0000-0000-00001C000000}"/>
    <cellStyle name="Warning" xfId="23" xr:uid="{00000000-0005-0000-0000-00001D000000}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TableStyleMedium9" defaultPivotStyle="PivotStyleLight16">
    <tableStyle name="Firm Table 1" pivot="0" count="3" xr9:uid="{00000000-0011-0000-FFFF-FFFF00000000}">
      <tableStyleElement type="wholeTable" dxfId="17"/>
      <tableStyleElement type="headerRow" dxfId="16"/>
      <tableStyleElement type="firstColumn" dxfId="15"/>
    </tableStyle>
    <tableStyle name="Firm Table 2" pivot="0" count="2" xr9:uid="{00000000-0011-0000-FFFF-FFFF01000000}">
      <tableStyleElement type="headerRow" dxfId="14"/>
      <tableStyleElement type="firstColumn" dxfId="13"/>
    </tableStyle>
    <tableStyle name="Firm Table 3" pivot="0" count="2" xr9:uid="{00000000-0011-0000-FFFF-FFFF02000000}">
      <tableStyleElement type="headerRow" dxfId="12"/>
      <tableStyleElement type="firstColumn" dxfId="11"/>
    </tableStyle>
    <tableStyle name="Firm Table 4" pivot="0" count="3" xr9:uid="{00000000-0011-0000-FFFF-FFFF03000000}">
      <tableStyleElement type="wholeTable" dxfId="10"/>
      <tableStyleElement type="headerRow" dxfId="9"/>
      <tableStyleElement type="firstColumn" dxfId="8"/>
    </tableStyle>
    <tableStyle name="Firm Table 5" pivot="0" count="2" xr9:uid="{00000000-0011-0000-FFFF-FFFF04000000}">
      <tableStyleElement type="headerRow" dxfId="7"/>
      <tableStyleElement type="firstColumn" dxfId="6"/>
    </tableStyle>
    <tableStyle name="Firm Table 6" pivot="0" count="3" xr9:uid="{00000000-0011-0000-FFFF-FFFF05000000}">
      <tableStyleElement type="wholeTable" dxfId="5"/>
      <tableStyleElement type="headerRow" dxfId="4"/>
      <tableStyleElement type="firstColumn" dxfId="3"/>
    </tableStyle>
    <tableStyle name="Firm Table 7" pivot="0" count="3" xr9:uid="{00000000-0011-0000-FFFF-FFFF06000000}">
      <tableStyleElement type="headerRow" dxfId="2"/>
      <tableStyleElement type="fir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7"/>
  <dimension ref="A1:V148"/>
  <sheetViews>
    <sheetView topLeftCell="A7" workbookViewId="0">
      <selection activeCell="C38" sqref="C38"/>
    </sheetView>
  </sheetViews>
  <sheetFormatPr baseColWidth="10" defaultColWidth="8.88671875" defaultRowHeight="14.4" x14ac:dyDescent="0.3"/>
  <cols>
    <col min="1" max="1" width="13.6640625" bestFit="1" customWidth="1"/>
    <col min="2" max="2" width="13.6640625" customWidth="1"/>
    <col min="3" max="3" width="56.88671875" customWidth="1"/>
    <col min="9" max="9" width="23" bestFit="1" customWidth="1"/>
    <col min="12" max="12" width="18.88671875" bestFit="1" customWidth="1"/>
    <col min="15" max="15" width="16.5546875" bestFit="1" customWidth="1"/>
    <col min="18" max="18" width="32" bestFit="1" customWidth="1"/>
  </cols>
  <sheetData>
    <row r="1" spans="1:22" x14ac:dyDescent="0.3">
      <c r="A1" t="s">
        <v>191</v>
      </c>
      <c r="D1" t="s">
        <v>192</v>
      </c>
      <c r="H1" t="s">
        <v>204</v>
      </c>
      <c r="K1" t="s">
        <v>205</v>
      </c>
      <c r="N1" t="s">
        <v>206</v>
      </c>
      <c r="Q1" t="s">
        <v>207</v>
      </c>
    </row>
    <row r="2" spans="1:22" x14ac:dyDescent="0.3">
      <c r="A2" s="18" t="s">
        <v>222</v>
      </c>
      <c r="B2" s="18" t="s">
        <v>285</v>
      </c>
      <c r="D2" t="s">
        <v>226</v>
      </c>
      <c r="E2" s="18" t="s">
        <v>285</v>
      </c>
      <c r="H2" t="s">
        <v>159</v>
      </c>
      <c r="I2" t="s">
        <v>35</v>
      </c>
      <c r="K2" s="4" t="s">
        <v>174</v>
      </c>
      <c r="L2" t="s">
        <v>194</v>
      </c>
      <c r="N2" s="9" t="s">
        <v>160</v>
      </c>
      <c r="O2" t="s">
        <v>37</v>
      </c>
      <c r="Q2" t="s">
        <v>184</v>
      </c>
      <c r="R2" t="str">
        <f>+I2&amp;" factor tax"</f>
        <v>Land factor tax</v>
      </c>
      <c r="T2">
        <v>1</v>
      </c>
      <c r="U2" t="s">
        <v>43</v>
      </c>
      <c r="V2" t="s">
        <v>286</v>
      </c>
    </row>
    <row r="3" spans="1:22" x14ac:dyDescent="0.3">
      <c r="A3" s="18" t="s">
        <v>229</v>
      </c>
      <c r="B3" s="18" t="s">
        <v>322</v>
      </c>
      <c r="D3" t="s">
        <v>233</v>
      </c>
      <c r="E3" s="18" t="s">
        <v>322</v>
      </c>
      <c r="H3" t="s">
        <v>350</v>
      </c>
      <c r="I3" t="s">
        <v>355</v>
      </c>
      <c r="K3" t="s">
        <v>175</v>
      </c>
      <c r="L3" t="s">
        <v>195</v>
      </c>
      <c r="N3" s="4" t="s">
        <v>127</v>
      </c>
      <c r="O3" t="s">
        <v>2</v>
      </c>
      <c r="Q3" t="s">
        <v>348</v>
      </c>
      <c r="R3" t="str">
        <f>+I3&amp;" factor tax"</f>
        <v>Skilled formal Labor factor tax</v>
      </c>
      <c r="T3">
        <v>2</v>
      </c>
      <c r="U3" t="s">
        <v>47</v>
      </c>
      <c r="V3" t="s">
        <v>287</v>
      </c>
    </row>
    <row r="4" spans="1:22" x14ac:dyDescent="0.3">
      <c r="A4" s="18" t="s">
        <v>235</v>
      </c>
      <c r="B4" s="18" t="s">
        <v>218</v>
      </c>
      <c r="D4" t="s">
        <v>136</v>
      </c>
      <c r="E4" s="18" t="s">
        <v>218</v>
      </c>
      <c r="H4" t="s">
        <v>351</v>
      </c>
      <c r="I4" t="s">
        <v>356</v>
      </c>
      <c r="K4" t="s">
        <v>176</v>
      </c>
      <c r="L4" t="s">
        <v>196</v>
      </c>
      <c r="N4" s="4" t="s">
        <v>165</v>
      </c>
      <c r="O4" t="s">
        <v>112</v>
      </c>
      <c r="Q4" t="s">
        <v>349</v>
      </c>
      <c r="R4" t="str">
        <f>+I4&amp;" factor tax"</f>
        <v>Unskilled formal Labor factor tax</v>
      </c>
      <c r="T4">
        <v>3</v>
      </c>
      <c r="U4" t="s">
        <v>48</v>
      </c>
      <c r="V4" t="s">
        <v>288</v>
      </c>
    </row>
    <row r="5" spans="1:22" x14ac:dyDescent="0.3">
      <c r="A5" s="18" t="s">
        <v>223</v>
      </c>
      <c r="B5" t="s">
        <v>299</v>
      </c>
      <c r="D5" t="s">
        <v>227</v>
      </c>
      <c r="E5" t="s">
        <v>299</v>
      </c>
      <c r="H5" t="s">
        <v>352</v>
      </c>
      <c r="I5" t="s">
        <v>193</v>
      </c>
      <c r="K5" t="s">
        <v>177</v>
      </c>
      <c r="L5" t="s">
        <v>197</v>
      </c>
      <c r="Q5" t="s">
        <v>185</v>
      </c>
      <c r="R5" t="str">
        <f>+I6&amp;" factor tax"</f>
        <v>Capital factor tax</v>
      </c>
      <c r="T5">
        <v>4</v>
      </c>
      <c r="U5" t="s">
        <v>49</v>
      </c>
      <c r="V5" t="s">
        <v>289</v>
      </c>
    </row>
    <row r="6" spans="1:22" x14ac:dyDescent="0.3">
      <c r="A6" s="18" t="s">
        <v>230</v>
      </c>
      <c r="B6" t="s">
        <v>300</v>
      </c>
      <c r="D6" t="s">
        <v>234</v>
      </c>
      <c r="E6" t="s">
        <v>300</v>
      </c>
      <c r="H6" s="4" t="s">
        <v>161</v>
      </c>
      <c r="I6" t="s">
        <v>1</v>
      </c>
      <c r="K6" t="s">
        <v>178</v>
      </c>
      <c r="L6" t="s">
        <v>198</v>
      </c>
      <c r="Q6" t="s">
        <v>186</v>
      </c>
      <c r="R6" t="str">
        <f>+I7&amp;" factor tax"</f>
        <v>Natural Resources factor tax</v>
      </c>
      <c r="T6">
        <v>5</v>
      </c>
      <c r="U6" t="s">
        <v>50</v>
      </c>
      <c r="V6" t="s">
        <v>290</v>
      </c>
    </row>
    <row r="7" spans="1:22" x14ac:dyDescent="0.3">
      <c r="A7" s="18" t="s">
        <v>236</v>
      </c>
      <c r="B7" t="s">
        <v>301</v>
      </c>
      <c r="D7" t="s">
        <v>137</v>
      </c>
      <c r="E7" t="s">
        <v>301</v>
      </c>
      <c r="H7" s="21" t="s">
        <v>353</v>
      </c>
      <c r="I7" t="s">
        <v>354</v>
      </c>
      <c r="K7" t="s">
        <v>179</v>
      </c>
      <c r="L7" t="s">
        <v>199</v>
      </c>
      <c r="Q7" t="s">
        <v>162</v>
      </c>
      <c r="R7" t="s">
        <v>38</v>
      </c>
      <c r="T7">
        <v>6</v>
      </c>
      <c r="U7" t="s">
        <v>128</v>
      </c>
      <c r="V7" t="s">
        <v>291</v>
      </c>
    </row>
    <row r="8" spans="1:22" x14ac:dyDescent="0.3">
      <c r="A8" s="18" t="s">
        <v>239</v>
      </c>
      <c r="B8" t="s">
        <v>323</v>
      </c>
      <c r="D8" t="s">
        <v>138</v>
      </c>
      <c r="E8" t="s">
        <v>323</v>
      </c>
      <c r="K8" t="s">
        <v>180</v>
      </c>
      <c r="L8" t="s">
        <v>200</v>
      </c>
      <c r="Q8" t="s">
        <v>163</v>
      </c>
      <c r="R8" t="s">
        <v>208</v>
      </c>
      <c r="T8">
        <v>7</v>
      </c>
      <c r="U8" t="s">
        <v>51</v>
      </c>
      <c r="V8" t="s">
        <v>292</v>
      </c>
    </row>
    <row r="9" spans="1:22" x14ac:dyDescent="0.3">
      <c r="A9" s="18" t="s">
        <v>243</v>
      </c>
      <c r="B9" t="s">
        <v>324</v>
      </c>
      <c r="D9" t="s">
        <v>167</v>
      </c>
      <c r="E9" t="s">
        <v>324</v>
      </c>
      <c r="K9" s="9" t="s">
        <v>181</v>
      </c>
      <c r="L9" t="s">
        <v>201</v>
      </c>
      <c r="Q9" t="s">
        <v>164</v>
      </c>
      <c r="R9" t="s">
        <v>209</v>
      </c>
      <c r="T9">
        <v>8</v>
      </c>
      <c r="U9" t="s">
        <v>52</v>
      </c>
      <c r="V9" t="s">
        <v>293</v>
      </c>
    </row>
    <row r="10" spans="1:22" x14ac:dyDescent="0.3">
      <c r="A10" s="18" t="s">
        <v>246</v>
      </c>
      <c r="B10" t="s">
        <v>302</v>
      </c>
      <c r="D10" t="s">
        <v>139</v>
      </c>
      <c r="E10" t="s">
        <v>302</v>
      </c>
      <c r="K10" s="9" t="s">
        <v>182</v>
      </c>
      <c r="L10" t="s">
        <v>202</v>
      </c>
      <c r="Q10" t="s">
        <v>170</v>
      </c>
      <c r="R10" t="s">
        <v>210</v>
      </c>
      <c r="T10">
        <v>9</v>
      </c>
      <c r="U10" t="s">
        <v>53</v>
      </c>
      <c r="V10" t="s">
        <v>294</v>
      </c>
    </row>
    <row r="11" spans="1:22" x14ac:dyDescent="0.3">
      <c r="A11" s="18" t="s">
        <v>249</v>
      </c>
      <c r="B11" t="s">
        <v>212</v>
      </c>
      <c r="D11" t="s">
        <v>140</v>
      </c>
      <c r="E11" t="s">
        <v>212</v>
      </c>
      <c r="K11" s="9" t="s">
        <v>183</v>
      </c>
      <c r="L11" t="s">
        <v>203</v>
      </c>
      <c r="Q11" t="s">
        <v>171</v>
      </c>
      <c r="R11" t="s">
        <v>211</v>
      </c>
      <c r="T11">
        <v>10</v>
      </c>
      <c r="U11" t="s">
        <v>54</v>
      </c>
      <c r="V11" t="s">
        <v>295</v>
      </c>
    </row>
    <row r="12" spans="1:22" x14ac:dyDescent="0.3">
      <c r="A12" s="18" t="s">
        <v>252</v>
      </c>
      <c r="B12" t="s">
        <v>325</v>
      </c>
      <c r="D12" t="s">
        <v>168</v>
      </c>
      <c r="E12" t="s">
        <v>325</v>
      </c>
      <c r="T12">
        <v>11</v>
      </c>
      <c r="U12" t="s">
        <v>55</v>
      </c>
      <c r="V12" t="s">
        <v>296</v>
      </c>
    </row>
    <row r="13" spans="1:22" x14ac:dyDescent="0.3">
      <c r="A13" s="18" t="s">
        <v>241</v>
      </c>
      <c r="B13" t="s">
        <v>303</v>
      </c>
      <c r="D13" t="s">
        <v>141</v>
      </c>
      <c r="E13" t="s">
        <v>303</v>
      </c>
      <c r="T13">
        <v>12</v>
      </c>
      <c r="U13" t="s">
        <v>56</v>
      </c>
      <c r="V13" t="s">
        <v>297</v>
      </c>
    </row>
    <row r="14" spans="1:22" x14ac:dyDescent="0.3">
      <c r="A14" s="18" t="s">
        <v>255</v>
      </c>
      <c r="B14" t="s">
        <v>304</v>
      </c>
      <c r="D14" t="s">
        <v>142</v>
      </c>
      <c r="E14" t="s">
        <v>304</v>
      </c>
      <c r="T14">
        <v>13</v>
      </c>
      <c r="U14" t="s">
        <v>57</v>
      </c>
      <c r="V14" t="s">
        <v>218</v>
      </c>
    </row>
    <row r="15" spans="1:22" x14ac:dyDescent="0.3">
      <c r="A15" s="18" t="s">
        <v>257</v>
      </c>
      <c r="B15" t="s">
        <v>305</v>
      </c>
      <c r="D15" t="s">
        <v>143</v>
      </c>
      <c r="E15" t="s">
        <v>305</v>
      </c>
      <c r="T15">
        <v>14</v>
      </c>
      <c r="U15" t="s">
        <v>58</v>
      </c>
      <c r="V15" t="s">
        <v>298</v>
      </c>
    </row>
    <row r="16" spans="1:22" x14ac:dyDescent="0.3">
      <c r="A16" s="18" t="s">
        <v>357</v>
      </c>
      <c r="B16" t="s">
        <v>306</v>
      </c>
      <c r="D16" t="s">
        <v>358</v>
      </c>
      <c r="E16" t="s">
        <v>306</v>
      </c>
      <c r="T16">
        <v>15</v>
      </c>
      <c r="U16" t="s">
        <v>42</v>
      </c>
    </row>
    <row r="17" spans="1:21" x14ac:dyDescent="0.3">
      <c r="A17" s="18" t="s">
        <v>260</v>
      </c>
      <c r="B17" t="s">
        <v>307</v>
      </c>
      <c r="D17" t="s">
        <v>261</v>
      </c>
      <c r="E17" t="s">
        <v>307</v>
      </c>
      <c r="T17">
        <v>16</v>
      </c>
      <c r="U17" t="s">
        <v>59</v>
      </c>
    </row>
    <row r="18" spans="1:21" x14ac:dyDescent="0.3">
      <c r="A18" s="18" t="s">
        <v>262</v>
      </c>
      <c r="B18" t="s">
        <v>308</v>
      </c>
      <c r="D18" t="s">
        <v>263</v>
      </c>
      <c r="E18" t="s">
        <v>308</v>
      </c>
      <c r="T18">
        <v>17</v>
      </c>
      <c r="U18" t="s">
        <v>44</v>
      </c>
    </row>
    <row r="19" spans="1:21" x14ac:dyDescent="0.3">
      <c r="A19" s="18" t="s">
        <v>264</v>
      </c>
      <c r="B19" t="s">
        <v>309</v>
      </c>
      <c r="D19" t="s">
        <v>265</v>
      </c>
      <c r="E19" t="s">
        <v>309</v>
      </c>
      <c r="T19">
        <v>18</v>
      </c>
      <c r="U19" t="s">
        <v>214</v>
      </c>
    </row>
    <row r="20" spans="1:21" x14ac:dyDescent="0.3">
      <c r="A20" s="18" t="s">
        <v>266</v>
      </c>
      <c r="B20" t="s">
        <v>326</v>
      </c>
      <c r="D20" t="s">
        <v>267</v>
      </c>
      <c r="E20" t="s">
        <v>326</v>
      </c>
      <c r="T20">
        <v>19</v>
      </c>
      <c r="U20" t="s">
        <v>60</v>
      </c>
    </row>
    <row r="21" spans="1:21" x14ac:dyDescent="0.3">
      <c r="A21" s="18" t="s">
        <v>268</v>
      </c>
      <c r="B21" t="s">
        <v>310</v>
      </c>
      <c r="D21" t="s">
        <v>269</v>
      </c>
      <c r="E21" t="s">
        <v>310</v>
      </c>
      <c r="T21">
        <v>20</v>
      </c>
      <c r="U21" t="s">
        <v>61</v>
      </c>
    </row>
    <row r="22" spans="1:21" x14ac:dyDescent="0.3">
      <c r="A22" s="18" t="s">
        <v>270</v>
      </c>
      <c r="B22" t="s">
        <v>311</v>
      </c>
      <c r="D22" t="s">
        <v>144</v>
      </c>
      <c r="E22" t="s">
        <v>311</v>
      </c>
      <c r="T22">
        <v>21</v>
      </c>
      <c r="U22" t="s">
        <v>62</v>
      </c>
    </row>
    <row r="23" spans="1:21" x14ac:dyDescent="0.3">
      <c r="A23" s="18" t="s">
        <v>271</v>
      </c>
      <c r="B23" t="s">
        <v>327</v>
      </c>
      <c r="D23" t="s">
        <v>272</v>
      </c>
      <c r="E23" t="s">
        <v>327</v>
      </c>
      <c r="T23">
        <v>22</v>
      </c>
      <c r="U23" t="s">
        <v>63</v>
      </c>
    </row>
    <row r="24" spans="1:21" x14ac:dyDescent="0.3">
      <c r="A24" s="18" t="s">
        <v>225</v>
      </c>
      <c r="B24" t="s">
        <v>328</v>
      </c>
      <c r="D24" t="s">
        <v>166</v>
      </c>
      <c r="E24" t="s">
        <v>187</v>
      </c>
      <c r="T24">
        <v>23</v>
      </c>
      <c r="U24" t="s">
        <v>64</v>
      </c>
    </row>
    <row r="25" spans="1:21" x14ac:dyDescent="0.3">
      <c r="A25" s="18" t="s">
        <v>232</v>
      </c>
      <c r="B25" t="s">
        <v>329</v>
      </c>
      <c r="D25" t="s">
        <v>145</v>
      </c>
      <c r="E25" t="s">
        <v>336</v>
      </c>
      <c r="T25">
        <v>24</v>
      </c>
      <c r="U25" t="s">
        <v>65</v>
      </c>
    </row>
    <row r="26" spans="1:21" x14ac:dyDescent="0.3">
      <c r="A26" s="18" t="s">
        <v>238</v>
      </c>
      <c r="B26" t="s">
        <v>330</v>
      </c>
      <c r="D26" t="s">
        <v>146</v>
      </c>
      <c r="E26" t="s">
        <v>335</v>
      </c>
      <c r="T26">
        <v>25</v>
      </c>
      <c r="U26" t="s">
        <v>66</v>
      </c>
    </row>
    <row r="27" spans="1:21" x14ac:dyDescent="0.3">
      <c r="A27" s="18" t="s">
        <v>242</v>
      </c>
      <c r="B27" t="s">
        <v>331</v>
      </c>
      <c r="D27" t="s">
        <v>147</v>
      </c>
      <c r="E27" t="s">
        <v>188</v>
      </c>
      <c r="T27">
        <v>26</v>
      </c>
      <c r="U27" t="s">
        <v>67</v>
      </c>
    </row>
    <row r="28" spans="1:21" x14ac:dyDescent="0.3">
      <c r="A28" s="18" t="s">
        <v>245</v>
      </c>
      <c r="B28" t="s">
        <v>332</v>
      </c>
      <c r="D28" t="s">
        <v>148</v>
      </c>
      <c r="E28" t="s">
        <v>189</v>
      </c>
      <c r="T28">
        <v>27</v>
      </c>
      <c r="U28" t="s">
        <v>68</v>
      </c>
    </row>
    <row r="29" spans="1:21" x14ac:dyDescent="0.3">
      <c r="A29" s="18" t="s">
        <v>248</v>
      </c>
      <c r="B29" t="s">
        <v>333</v>
      </c>
      <c r="D29" t="s">
        <v>149</v>
      </c>
      <c r="E29" t="s">
        <v>313</v>
      </c>
      <c r="T29">
        <v>28</v>
      </c>
      <c r="U29" t="s">
        <v>69</v>
      </c>
    </row>
    <row r="30" spans="1:21" x14ac:dyDescent="0.3">
      <c r="A30" s="18" t="s">
        <v>251</v>
      </c>
      <c r="B30" t="s">
        <v>334</v>
      </c>
      <c r="D30" t="s">
        <v>150</v>
      </c>
      <c r="E30" t="s">
        <v>1103</v>
      </c>
      <c r="T30">
        <v>29</v>
      </c>
      <c r="U30" t="s">
        <v>70</v>
      </c>
    </row>
    <row r="31" spans="1:21" x14ac:dyDescent="0.3">
      <c r="A31" s="18" t="s">
        <v>273</v>
      </c>
      <c r="B31" t="s">
        <v>335</v>
      </c>
      <c r="D31" t="s">
        <v>1105</v>
      </c>
      <c r="E31" t="s">
        <v>1106</v>
      </c>
      <c r="T31">
        <v>30</v>
      </c>
      <c r="U31" t="s">
        <v>71</v>
      </c>
    </row>
    <row r="32" spans="1:21" x14ac:dyDescent="0.3">
      <c r="A32" s="18" t="s">
        <v>274</v>
      </c>
      <c r="B32" t="s">
        <v>188</v>
      </c>
      <c r="D32" t="s">
        <v>151</v>
      </c>
      <c r="E32" t="s">
        <v>314</v>
      </c>
      <c r="T32">
        <v>31</v>
      </c>
      <c r="U32" t="s">
        <v>72</v>
      </c>
    </row>
    <row r="33" spans="1:21" x14ac:dyDescent="0.3">
      <c r="A33" s="18" t="s">
        <v>224</v>
      </c>
      <c r="B33" t="s">
        <v>189</v>
      </c>
      <c r="D33" t="s">
        <v>152</v>
      </c>
      <c r="E33" t="s">
        <v>315</v>
      </c>
      <c r="T33">
        <v>32</v>
      </c>
      <c r="U33" t="s">
        <v>45</v>
      </c>
    </row>
    <row r="34" spans="1:21" x14ac:dyDescent="0.3">
      <c r="A34" s="18" t="s">
        <v>231</v>
      </c>
      <c r="B34" t="s">
        <v>313</v>
      </c>
      <c r="D34" t="s">
        <v>153</v>
      </c>
      <c r="E34" t="s">
        <v>316</v>
      </c>
      <c r="T34">
        <v>33</v>
      </c>
      <c r="U34" t="s">
        <v>215</v>
      </c>
    </row>
    <row r="35" spans="1:21" x14ac:dyDescent="0.3">
      <c r="A35" s="18" t="s">
        <v>237</v>
      </c>
      <c r="B35" t="s">
        <v>1103</v>
      </c>
      <c r="D35" s="5" t="s">
        <v>154</v>
      </c>
      <c r="E35" t="s">
        <v>317</v>
      </c>
      <c r="T35">
        <v>34</v>
      </c>
      <c r="U35" t="s">
        <v>216</v>
      </c>
    </row>
    <row r="36" spans="1:21" x14ac:dyDescent="0.3">
      <c r="A36" s="18" t="s">
        <v>1102</v>
      </c>
      <c r="B36" t="s">
        <v>1104</v>
      </c>
      <c r="D36" t="s">
        <v>155</v>
      </c>
      <c r="E36" t="s">
        <v>318</v>
      </c>
      <c r="T36">
        <v>35</v>
      </c>
      <c r="U36" t="s">
        <v>275</v>
      </c>
    </row>
    <row r="37" spans="1:21" x14ac:dyDescent="0.3">
      <c r="A37" s="18" t="s">
        <v>240</v>
      </c>
      <c r="B37" t="s">
        <v>314</v>
      </c>
      <c r="D37" t="s">
        <v>169</v>
      </c>
      <c r="E37" t="s">
        <v>319</v>
      </c>
      <c r="T37">
        <v>36</v>
      </c>
      <c r="U37" t="s">
        <v>73</v>
      </c>
    </row>
    <row r="38" spans="1:21" x14ac:dyDescent="0.3">
      <c r="A38" s="18" t="s">
        <v>244</v>
      </c>
      <c r="B38" t="s">
        <v>315</v>
      </c>
      <c r="D38" t="s">
        <v>156</v>
      </c>
      <c r="E38" t="s">
        <v>320</v>
      </c>
      <c r="T38">
        <v>37</v>
      </c>
      <c r="U38" t="s">
        <v>129</v>
      </c>
    </row>
    <row r="39" spans="1:21" x14ac:dyDescent="0.3">
      <c r="A39" s="18" t="s">
        <v>247</v>
      </c>
      <c r="B39" t="s">
        <v>316</v>
      </c>
      <c r="D39" t="s">
        <v>157</v>
      </c>
      <c r="E39" t="s">
        <v>190</v>
      </c>
      <c r="T39">
        <v>38</v>
      </c>
      <c r="U39" t="s">
        <v>74</v>
      </c>
    </row>
    <row r="40" spans="1:21" x14ac:dyDescent="0.3">
      <c r="A40" s="18" t="s">
        <v>250</v>
      </c>
      <c r="B40" t="s">
        <v>317</v>
      </c>
      <c r="D40" t="s">
        <v>158</v>
      </c>
      <c r="E40" t="s">
        <v>321</v>
      </c>
      <c r="T40">
        <v>39</v>
      </c>
      <c r="U40" t="s">
        <v>75</v>
      </c>
    </row>
    <row r="41" spans="1:21" x14ac:dyDescent="0.3">
      <c r="A41" s="18" t="s">
        <v>253</v>
      </c>
      <c r="B41" t="s">
        <v>318</v>
      </c>
      <c r="T41">
        <v>40</v>
      </c>
      <c r="U41" t="s">
        <v>78</v>
      </c>
    </row>
    <row r="42" spans="1:21" x14ac:dyDescent="0.3">
      <c r="A42" s="18" t="s">
        <v>254</v>
      </c>
      <c r="B42" t="s">
        <v>319</v>
      </c>
      <c r="T42">
        <v>41</v>
      </c>
      <c r="U42" t="s">
        <v>276</v>
      </c>
    </row>
    <row r="43" spans="1:21" x14ac:dyDescent="0.3">
      <c r="A43" s="18" t="s">
        <v>256</v>
      </c>
      <c r="B43" t="s">
        <v>320</v>
      </c>
      <c r="T43">
        <v>42</v>
      </c>
      <c r="U43" t="s">
        <v>79</v>
      </c>
    </row>
    <row r="44" spans="1:21" x14ac:dyDescent="0.3">
      <c r="A44" s="18" t="s">
        <v>258</v>
      </c>
      <c r="B44" t="s">
        <v>190</v>
      </c>
      <c r="T44">
        <v>43</v>
      </c>
      <c r="U44" t="s">
        <v>76</v>
      </c>
    </row>
    <row r="45" spans="1:21" x14ac:dyDescent="0.3">
      <c r="A45" s="18" t="s">
        <v>259</v>
      </c>
      <c r="B45" t="s">
        <v>321</v>
      </c>
      <c r="T45">
        <v>44</v>
      </c>
      <c r="U45" t="s">
        <v>77</v>
      </c>
    </row>
    <row r="46" spans="1:21" x14ac:dyDescent="0.3">
      <c r="A46" s="18"/>
      <c r="T46">
        <v>45</v>
      </c>
      <c r="U46" t="s">
        <v>80</v>
      </c>
    </row>
    <row r="47" spans="1:21" x14ac:dyDescent="0.3">
      <c r="A47" s="18"/>
      <c r="T47">
        <v>46</v>
      </c>
      <c r="U47" t="s">
        <v>312</v>
      </c>
    </row>
    <row r="48" spans="1:21" x14ac:dyDescent="0.3">
      <c r="A48" s="18"/>
      <c r="T48">
        <v>47</v>
      </c>
      <c r="U48" t="s">
        <v>46</v>
      </c>
    </row>
    <row r="49" spans="1:21" x14ac:dyDescent="0.3">
      <c r="A49" s="18"/>
      <c r="B49" s="18"/>
      <c r="T49">
        <v>48</v>
      </c>
      <c r="U49" t="s">
        <v>81</v>
      </c>
    </row>
    <row r="50" spans="1:21" x14ac:dyDescent="0.3">
      <c r="A50" s="18"/>
      <c r="B50" s="18"/>
      <c r="T50">
        <v>49</v>
      </c>
      <c r="U50" t="s">
        <v>82</v>
      </c>
    </row>
    <row r="51" spans="1:21" x14ac:dyDescent="0.3">
      <c r="A51" s="18"/>
      <c r="B51" s="18"/>
      <c r="T51">
        <v>50</v>
      </c>
      <c r="U51" t="s">
        <v>83</v>
      </c>
    </row>
    <row r="52" spans="1:21" x14ac:dyDescent="0.3">
      <c r="A52" s="18"/>
      <c r="B52" s="18"/>
      <c r="T52">
        <v>51</v>
      </c>
      <c r="U52" t="s">
        <v>277</v>
      </c>
    </row>
    <row r="53" spans="1:21" x14ac:dyDescent="0.3">
      <c r="A53" s="18"/>
      <c r="B53" s="18"/>
      <c r="T53">
        <v>52</v>
      </c>
      <c r="U53" t="s">
        <v>84</v>
      </c>
    </row>
    <row r="54" spans="1:21" x14ac:dyDescent="0.3">
      <c r="A54" s="18"/>
      <c r="B54" s="18"/>
      <c r="T54">
        <v>53</v>
      </c>
      <c r="U54" t="s">
        <v>85</v>
      </c>
    </row>
    <row r="55" spans="1:21" x14ac:dyDescent="0.3">
      <c r="A55" s="18"/>
      <c r="B55" s="18"/>
      <c r="T55">
        <v>54</v>
      </c>
      <c r="U55" t="s">
        <v>86</v>
      </c>
    </row>
    <row r="56" spans="1:21" x14ac:dyDescent="0.3">
      <c r="A56" s="18"/>
      <c r="B56" s="18"/>
      <c r="T56">
        <v>55</v>
      </c>
      <c r="U56" t="s">
        <v>278</v>
      </c>
    </row>
    <row r="57" spans="1:21" x14ac:dyDescent="0.3">
      <c r="A57" s="18"/>
      <c r="B57" s="18"/>
      <c r="T57">
        <v>56</v>
      </c>
      <c r="U57" t="s">
        <v>87</v>
      </c>
    </row>
    <row r="58" spans="1:21" x14ac:dyDescent="0.3">
      <c r="A58" s="18"/>
      <c r="B58" s="18"/>
      <c r="T58">
        <v>57</v>
      </c>
      <c r="U58" t="s">
        <v>88</v>
      </c>
    </row>
    <row r="59" spans="1:21" x14ac:dyDescent="0.3">
      <c r="A59" s="18"/>
      <c r="B59" s="18"/>
      <c r="T59">
        <v>58</v>
      </c>
      <c r="U59" t="s">
        <v>217</v>
      </c>
    </row>
    <row r="60" spans="1:21" x14ac:dyDescent="0.3">
      <c r="A60" s="18"/>
      <c r="B60" s="18"/>
      <c r="T60">
        <v>59</v>
      </c>
      <c r="U60" t="s">
        <v>279</v>
      </c>
    </row>
    <row r="61" spans="1:21" x14ac:dyDescent="0.3">
      <c r="A61" s="18"/>
      <c r="B61" s="18"/>
      <c r="T61">
        <v>60</v>
      </c>
      <c r="U61" t="s">
        <v>89</v>
      </c>
    </row>
    <row r="62" spans="1:21" x14ac:dyDescent="0.3">
      <c r="A62" s="18"/>
      <c r="B62" s="18"/>
      <c r="T62">
        <v>61</v>
      </c>
      <c r="U62" t="s">
        <v>90</v>
      </c>
    </row>
    <row r="63" spans="1:21" x14ac:dyDescent="0.3">
      <c r="A63" s="18"/>
      <c r="B63" s="18"/>
      <c r="T63">
        <v>62</v>
      </c>
      <c r="U63" t="s">
        <v>91</v>
      </c>
    </row>
    <row r="64" spans="1:21" x14ac:dyDescent="0.3">
      <c r="A64" s="18"/>
      <c r="B64" s="18"/>
      <c r="T64">
        <v>63</v>
      </c>
      <c r="U64" t="s">
        <v>280</v>
      </c>
    </row>
    <row r="65" spans="1:21" x14ac:dyDescent="0.3">
      <c r="A65" s="18"/>
      <c r="B65" s="18"/>
      <c r="T65">
        <v>64</v>
      </c>
      <c r="U65" t="s">
        <v>281</v>
      </c>
    </row>
    <row r="66" spans="1:21" x14ac:dyDescent="0.3">
      <c r="A66" s="18"/>
      <c r="B66" s="18"/>
      <c r="T66">
        <v>65</v>
      </c>
      <c r="U66" t="s">
        <v>92</v>
      </c>
    </row>
    <row r="67" spans="1:21" x14ac:dyDescent="0.3">
      <c r="A67" s="18"/>
      <c r="B67" s="18"/>
    </row>
    <row r="68" spans="1:21" x14ac:dyDescent="0.3">
      <c r="A68" s="18"/>
      <c r="B68" s="18"/>
    </row>
    <row r="69" spans="1:21" x14ac:dyDescent="0.3">
      <c r="A69" s="18"/>
      <c r="B69" s="18"/>
    </row>
    <row r="70" spans="1:21" x14ac:dyDescent="0.3">
      <c r="A70" s="18"/>
      <c r="B70" s="18"/>
    </row>
    <row r="71" spans="1:21" x14ac:dyDescent="0.3">
      <c r="A71" s="18"/>
      <c r="B71" s="18"/>
    </row>
    <row r="72" spans="1:21" x14ac:dyDescent="0.3">
      <c r="A72" s="18"/>
      <c r="B72" s="18"/>
    </row>
    <row r="73" spans="1:21" x14ac:dyDescent="0.3">
      <c r="A73" s="18"/>
      <c r="B73" s="18"/>
    </row>
    <row r="74" spans="1:21" x14ac:dyDescent="0.3">
      <c r="A74" s="18"/>
      <c r="B74" s="18"/>
    </row>
    <row r="75" spans="1:21" x14ac:dyDescent="0.3">
      <c r="A75" s="18"/>
      <c r="B75" s="18"/>
    </row>
    <row r="76" spans="1:21" x14ac:dyDescent="0.3">
      <c r="A76" s="18"/>
      <c r="B76" s="18"/>
    </row>
    <row r="77" spans="1:21" x14ac:dyDescent="0.3">
      <c r="A77" s="18"/>
      <c r="B77" s="18"/>
    </row>
    <row r="78" spans="1:21" x14ac:dyDescent="0.3">
      <c r="A78" s="18"/>
      <c r="B78" s="18"/>
    </row>
    <row r="79" spans="1:21" x14ac:dyDescent="0.3">
      <c r="A79" s="18"/>
      <c r="B79" s="18"/>
    </row>
    <row r="80" spans="1:21" x14ac:dyDescent="0.3">
      <c r="A80" s="18"/>
      <c r="B80" s="18"/>
    </row>
    <row r="81" spans="1:2" x14ac:dyDescent="0.3">
      <c r="A81" s="18"/>
      <c r="B81" s="18"/>
    </row>
    <row r="82" spans="1:2" x14ac:dyDescent="0.3">
      <c r="A82" s="18"/>
      <c r="B82" s="18"/>
    </row>
    <row r="83" spans="1:2" x14ac:dyDescent="0.3">
      <c r="A83" s="18"/>
      <c r="B83" s="18"/>
    </row>
    <row r="84" spans="1:2" x14ac:dyDescent="0.3">
      <c r="A84" s="18"/>
      <c r="B84" s="18"/>
    </row>
    <row r="85" spans="1:2" x14ac:dyDescent="0.3">
      <c r="A85" s="18"/>
      <c r="B85" s="18"/>
    </row>
    <row r="86" spans="1:2" x14ac:dyDescent="0.3">
      <c r="A86" s="18"/>
      <c r="B86" s="18"/>
    </row>
    <row r="87" spans="1:2" x14ac:dyDescent="0.3">
      <c r="A87" s="18"/>
      <c r="B87" s="18"/>
    </row>
    <row r="88" spans="1:2" x14ac:dyDescent="0.3">
      <c r="A88" s="18"/>
      <c r="B88" s="18"/>
    </row>
    <row r="89" spans="1:2" x14ac:dyDescent="0.3">
      <c r="A89" s="18"/>
      <c r="B89" s="18"/>
    </row>
    <row r="90" spans="1:2" x14ac:dyDescent="0.3">
      <c r="A90" s="18"/>
      <c r="B90" s="18"/>
    </row>
    <row r="91" spans="1:2" x14ac:dyDescent="0.3">
      <c r="A91" s="18"/>
      <c r="B91" s="18"/>
    </row>
    <row r="92" spans="1:2" x14ac:dyDescent="0.3">
      <c r="A92" s="18"/>
      <c r="B92" s="18"/>
    </row>
    <row r="93" spans="1:2" x14ac:dyDescent="0.3">
      <c r="A93" s="18"/>
      <c r="B93" s="18"/>
    </row>
    <row r="94" spans="1:2" x14ac:dyDescent="0.3">
      <c r="A94" s="18"/>
      <c r="B94" s="18"/>
    </row>
    <row r="95" spans="1:2" x14ac:dyDescent="0.3">
      <c r="A95" s="18"/>
      <c r="B95" s="18"/>
    </row>
    <row r="96" spans="1:2" x14ac:dyDescent="0.3">
      <c r="A96" s="18"/>
      <c r="B96" s="18"/>
    </row>
    <row r="97" spans="1:2" x14ac:dyDescent="0.3">
      <c r="A97" s="18"/>
      <c r="B97" s="18"/>
    </row>
    <row r="98" spans="1:2" x14ac:dyDescent="0.3">
      <c r="A98" s="18"/>
      <c r="B98" s="18"/>
    </row>
    <row r="99" spans="1:2" x14ac:dyDescent="0.3">
      <c r="A99" s="18"/>
      <c r="B99" s="18"/>
    </row>
    <row r="100" spans="1:2" x14ac:dyDescent="0.3">
      <c r="A100" s="18"/>
      <c r="B100" s="18"/>
    </row>
    <row r="101" spans="1:2" x14ac:dyDescent="0.3">
      <c r="A101" s="18"/>
      <c r="B101" s="18"/>
    </row>
    <row r="102" spans="1:2" x14ac:dyDescent="0.3">
      <c r="A102" s="18"/>
      <c r="B102" s="18"/>
    </row>
    <row r="103" spans="1:2" x14ac:dyDescent="0.3">
      <c r="A103" s="18"/>
      <c r="B103" s="18"/>
    </row>
    <row r="104" spans="1:2" x14ac:dyDescent="0.3">
      <c r="A104" s="18"/>
    </row>
    <row r="105" spans="1:2" x14ac:dyDescent="0.3">
      <c r="A105" s="18"/>
      <c r="B105" s="18"/>
    </row>
    <row r="106" spans="1:2" x14ac:dyDescent="0.3">
      <c r="A106" s="18"/>
      <c r="B106" s="18"/>
    </row>
    <row r="107" spans="1:2" x14ac:dyDescent="0.3">
      <c r="A107" s="18"/>
      <c r="B107" s="18"/>
    </row>
    <row r="108" spans="1:2" x14ac:dyDescent="0.3">
      <c r="A108" s="18"/>
      <c r="B108" s="18"/>
    </row>
    <row r="109" spans="1:2" x14ac:dyDescent="0.3">
      <c r="A109" s="18"/>
      <c r="B109" s="18"/>
    </row>
    <row r="110" spans="1:2" x14ac:dyDescent="0.3">
      <c r="A110" s="18"/>
      <c r="B110" s="18"/>
    </row>
    <row r="111" spans="1:2" x14ac:dyDescent="0.3">
      <c r="A111" s="18"/>
      <c r="B111" s="18"/>
    </row>
    <row r="112" spans="1:2" x14ac:dyDescent="0.3">
      <c r="A112" s="18"/>
      <c r="B112" s="18"/>
    </row>
    <row r="113" spans="1:2" x14ac:dyDescent="0.3">
      <c r="B113" s="18"/>
    </row>
    <row r="114" spans="1:2" x14ac:dyDescent="0.3">
      <c r="A114" s="18"/>
      <c r="B114" s="18"/>
    </row>
    <row r="115" spans="1:2" x14ac:dyDescent="0.3">
      <c r="A115" s="18"/>
      <c r="B115" s="18"/>
    </row>
    <row r="116" spans="1:2" x14ac:dyDescent="0.3">
      <c r="A116" s="18"/>
      <c r="B116" s="18"/>
    </row>
    <row r="117" spans="1:2" x14ac:dyDescent="0.3">
      <c r="A117" s="18"/>
      <c r="B117" s="18"/>
    </row>
    <row r="118" spans="1:2" x14ac:dyDescent="0.3">
      <c r="A118" s="18"/>
      <c r="B118" s="18"/>
    </row>
    <row r="119" spans="1:2" x14ac:dyDescent="0.3">
      <c r="A119" s="18"/>
      <c r="B119" s="18"/>
    </row>
    <row r="120" spans="1:2" x14ac:dyDescent="0.3">
      <c r="A120" s="18"/>
      <c r="B120" s="18"/>
    </row>
    <row r="121" spans="1:2" x14ac:dyDescent="0.3">
      <c r="A121" s="18"/>
      <c r="B121" s="18"/>
    </row>
    <row r="122" spans="1:2" x14ac:dyDescent="0.3">
      <c r="A122" s="18"/>
      <c r="B122" s="18"/>
    </row>
    <row r="123" spans="1:2" x14ac:dyDescent="0.3">
      <c r="A123" s="18"/>
      <c r="B123" s="18"/>
    </row>
    <row r="124" spans="1:2" x14ac:dyDescent="0.3">
      <c r="A124" s="18"/>
      <c r="B124" s="18"/>
    </row>
    <row r="125" spans="1:2" x14ac:dyDescent="0.3">
      <c r="A125" s="18"/>
      <c r="B125" s="18"/>
    </row>
    <row r="126" spans="1:2" x14ac:dyDescent="0.3">
      <c r="A126" s="18"/>
      <c r="B126" s="18"/>
    </row>
    <row r="127" spans="1:2" x14ac:dyDescent="0.3">
      <c r="A127" s="18"/>
      <c r="B127" s="18"/>
    </row>
    <row r="128" spans="1:2" x14ac:dyDescent="0.3">
      <c r="A128" s="18"/>
      <c r="B128" s="18"/>
    </row>
    <row r="129" spans="1:2" x14ac:dyDescent="0.3">
      <c r="A129" s="18"/>
      <c r="B129" s="18"/>
    </row>
    <row r="130" spans="1:2" x14ac:dyDescent="0.3">
      <c r="A130" s="18"/>
      <c r="B130" s="18"/>
    </row>
    <row r="131" spans="1:2" x14ac:dyDescent="0.3">
      <c r="A131" s="18"/>
      <c r="B131" s="18"/>
    </row>
    <row r="132" spans="1:2" x14ac:dyDescent="0.3">
      <c r="A132" s="18"/>
      <c r="B132" s="18"/>
    </row>
    <row r="133" spans="1:2" x14ac:dyDescent="0.3">
      <c r="A133" s="18"/>
      <c r="B133" s="18"/>
    </row>
    <row r="134" spans="1:2" x14ac:dyDescent="0.3">
      <c r="A134" s="18"/>
      <c r="B134" s="18"/>
    </row>
    <row r="135" spans="1:2" x14ac:dyDescent="0.3">
      <c r="A135" s="18"/>
      <c r="B135" s="18"/>
    </row>
    <row r="136" spans="1:2" x14ac:dyDescent="0.3">
      <c r="A136" s="18"/>
      <c r="B136" s="18"/>
    </row>
    <row r="137" spans="1:2" x14ac:dyDescent="0.3">
      <c r="A137" s="18"/>
      <c r="B137" s="18"/>
    </row>
    <row r="138" spans="1:2" x14ac:dyDescent="0.3">
      <c r="A138" s="18"/>
      <c r="B138" s="18"/>
    </row>
    <row r="139" spans="1:2" x14ac:dyDescent="0.3">
      <c r="A139" s="18"/>
      <c r="B139" s="18"/>
    </row>
    <row r="140" spans="1:2" x14ac:dyDescent="0.3">
      <c r="A140" s="18"/>
    </row>
    <row r="141" spans="1:2" x14ac:dyDescent="0.3">
      <c r="A141" s="18"/>
    </row>
    <row r="142" spans="1:2" x14ac:dyDescent="0.3">
      <c r="A142" s="18"/>
    </row>
    <row r="143" spans="1:2" x14ac:dyDescent="0.3">
      <c r="A143" s="18"/>
    </row>
    <row r="144" spans="1:2" x14ac:dyDescent="0.3">
      <c r="A144" s="18"/>
    </row>
    <row r="145" spans="1:1" x14ac:dyDescent="0.3">
      <c r="A145" s="18"/>
    </row>
    <row r="146" spans="1:1" x14ac:dyDescent="0.3">
      <c r="A146" s="18"/>
    </row>
    <row r="147" spans="1:1" x14ac:dyDescent="0.3">
      <c r="A147" s="18"/>
    </row>
    <row r="148" spans="1:1" x14ac:dyDescent="0.3">
      <c r="A148" s="18"/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9"/>
  <dimension ref="A1:G50"/>
  <sheetViews>
    <sheetView topLeftCell="A31" workbookViewId="0">
      <selection activeCell="A54" sqref="A54"/>
    </sheetView>
  </sheetViews>
  <sheetFormatPr baseColWidth="10" defaultColWidth="8.88671875" defaultRowHeight="14.4" x14ac:dyDescent="0.3"/>
  <cols>
    <col min="1" max="1" width="42.5546875" customWidth="1"/>
    <col min="3" max="3" width="18.33203125" bestFit="1" customWidth="1"/>
    <col min="4" max="4" width="20.109375" customWidth="1"/>
    <col min="5" max="5" width="15.109375" bestFit="1" customWidth="1"/>
    <col min="6" max="6" width="18.33203125" bestFit="1" customWidth="1"/>
    <col min="7" max="7" width="15.6640625" bestFit="1" customWidth="1"/>
  </cols>
  <sheetData>
    <row r="1" spans="1:7" x14ac:dyDescent="0.3">
      <c r="A1" s="8" t="s">
        <v>95</v>
      </c>
      <c r="C1" s="9"/>
      <c r="D1" s="9"/>
      <c r="E1" s="9"/>
      <c r="F1" s="9"/>
      <c r="G1" s="9"/>
    </row>
    <row r="2" spans="1:7" x14ac:dyDescent="0.3">
      <c r="B2" s="9"/>
      <c r="C2" s="9"/>
      <c r="D2" s="9"/>
      <c r="E2" s="9"/>
      <c r="F2" s="9"/>
      <c r="G2" s="9"/>
    </row>
    <row r="3" spans="1:7" x14ac:dyDescent="0.3">
      <c r="A3" s="10" t="s">
        <v>384</v>
      </c>
      <c r="B3" s="10" t="s">
        <v>96</v>
      </c>
      <c r="C3" s="10" t="s">
        <v>97</v>
      </c>
      <c r="D3" s="10" t="s">
        <v>98</v>
      </c>
      <c r="E3" s="10" t="s">
        <v>99</v>
      </c>
      <c r="F3" s="10" t="s">
        <v>100</v>
      </c>
      <c r="G3" s="10" t="s">
        <v>101</v>
      </c>
    </row>
    <row r="4" spans="1:7" x14ac:dyDescent="0.3">
      <c r="B4" s="11"/>
      <c r="C4" s="11"/>
      <c r="D4" s="11"/>
      <c r="E4" s="10" t="s">
        <v>102</v>
      </c>
      <c r="F4" s="10" t="s">
        <v>103</v>
      </c>
      <c r="G4" s="10" t="s">
        <v>104</v>
      </c>
    </row>
    <row r="5" spans="1:7" x14ac:dyDescent="0.3">
      <c r="A5" t="s">
        <v>842</v>
      </c>
      <c r="B5" t="s">
        <v>110</v>
      </c>
      <c r="C5" t="s">
        <v>106</v>
      </c>
      <c r="D5" s="9" t="str">
        <f>IF(B5="dset","Sets!"&amp;HLOOKUP(C5,sets!$B$2:$WY$3,2,)&amp;6,IF(B5="set","Maps!"&amp;HLOOKUP(C5,maps!$A$2:$ZH$3,2,)&amp;6))</f>
        <v>Maps!A6</v>
      </c>
      <c r="E5">
        <v>2</v>
      </c>
    </row>
    <row r="6" spans="1:7" x14ac:dyDescent="0.3">
      <c r="A6" t="s">
        <v>843</v>
      </c>
      <c r="B6" t="s">
        <v>110</v>
      </c>
      <c r="C6" t="s">
        <v>109</v>
      </c>
      <c r="D6" s="9" t="str">
        <f>IF(B6="dset","Sets!"&amp;HLOOKUP(C6,sets!$B$2:$WY$3,2,)&amp;6,IF(B6="set","Maps!"&amp;HLOOKUP(C6,maps!$A$2:$ZH$3,2,)&amp;6))</f>
        <v>Maps!D6</v>
      </c>
      <c r="E6">
        <v>2</v>
      </c>
    </row>
    <row r="7" spans="1:7" x14ac:dyDescent="0.3">
      <c r="A7" t="s">
        <v>844</v>
      </c>
      <c r="B7" t="s">
        <v>114</v>
      </c>
      <c r="C7" t="s">
        <v>20</v>
      </c>
      <c r="D7" s="9" t="str">
        <f>IF(B7="dset","Sets!"&amp;HLOOKUP(C7,sets!$B$2:$WY$3,2,)&amp;6,IF(B7="set","Maps!"&amp;HLOOKUP(C7,maps!$A$2:$ZH$3,2,)&amp;6))</f>
        <v>Sets!B6</v>
      </c>
      <c r="E7">
        <v>1</v>
      </c>
    </row>
    <row r="8" spans="1:7" x14ac:dyDescent="0.3">
      <c r="A8" t="s">
        <v>845</v>
      </c>
      <c r="B8" t="s">
        <v>114</v>
      </c>
      <c r="C8" t="s">
        <v>8</v>
      </c>
      <c r="D8" s="9" t="str">
        <f>IF(B8="dset","Sets!"&amp;HLOOKUP(C8,sets!$B$2:$WY$3,2,)&amp;6,IF(B8="set","Maps!"&amp;HLOOKUP(C8,maps!$A$2:$ZH$3,2,)&amp;6))</f>
        <v>Sets!G6</v>
      </c>
      <c r="E8">
        <v>1</v>
      </c>
    </row>
    <row r="9" spans="1:7" x14ac:dyDescent="0.3">
      <c r="A9" t="s">
        <v>846</v>
      </c>
      <c r="B9" t="s">
        <v>114</v>
      </c>
      <c r="C9" t="s">
        <v>213</v>
      </c>
      <c r="D9" s="9" t="str">
        <f>IF(B9="dset","Sets!"&amp;HLOOKUP(C9,sets!$B$2:$WY$3,2,)&amp;6,IF(B9="set","Maps!"&amp;HLOOKUP(C9,maps!$A$2:$ZH$3,2,)&amp;6))</f>
        <v>Sets!S6</v>
      </c>
      <c r="E9">
        <v>1</v>
      </c>
    </row>
    <row r="10" spans="1:7" x14ac:dyDescent="0.3">
      <c r="A10" t="s">
        <v>847</v>
      </c>
      <c r="B10" t="s">
        <v>114</v>
      </c>
      <c r="C10" t="s">
        <v>118</v>
      </c>
      <c r="D10" s="9" t="str">
        <f>IF(B10="dset","Sets!"&amp;HLOOKUP(C10,sets!$B$2:$WY$3,2,)&amp;6,IF(B10="set","Maps!"&amp;HLOOKUP(C10,maps!$A$2:$ZH$3,2,)&amp;6))</f>
        <v>Sets!H6</v>
      </c>
      <c r="E10">
        <v>1</v>
      </c>
    </row>
    <row r="11" spans="1:7" x14ac:dyDescent="0.3">
      <c r="A11" t="s">
        <v>848</v>
      </c>
      <c r="B11" t="s">
        <v>114</v>
      </c>
      <c r="C11" t="s">
        <v>19</v>
      </c>
      <c r="D11" s="9" t="str">
        <f>IF(B11="dset","Sets!"&amp;HLOOKUP(C11,sets!$B$2:$WY$3,2,)&amp;6,IF(B11="set","Maps!"&amp;HLOOKUP(C11,maps!$A$2:$ZH$3,2,)&amp;6))</f>
        <v>Sets!I6</v>
      </c>
      <c r="E11">
        <v>1</v>
      </c>
    </row>
    <row r="12" spans="1:7" x14ac:dyDescent="0.3">
      <c r="A12" t="s">
        <v>849</v>
      </c>
      <c r="B12" t="s">
        <v>114</v>
      </c>
      <c r="C12" t="s">
        <v>94</v>
      </c>
      <c r="D12" s="9" t="str">
        <f>IF(B12="dset","Sets!"&amp;HLOOKUP(C12,sets!$B$2:$WY$3,2,)&amp;6,IF(B12="set","Maps!"&amp;HLOOKUP(C12,maps!$A$2:$ZH$3,2,)&amp;6))</f>
        <v>Sets!J6</v>
      </c>
      <c r="E12">
        <v>1</v>
      </c>
    </row>
    <row r="13" spans="1:7" x14ac:dyDescent="0.3">
      <c r="A13" t="s">
        <v>762</v>
      </c>
      <c r="B13" t="s">
        <v>114</v>
      </c>
      <c r="C13" t="s">
        <v>388</v>
      </c>
      <c r="D13" s="9" t="str">
        <f>IF(B13="dset","Sets!"&amp;HLOOKUP(C13,sets!$B$2:$WY$3,2,)&amp;6,IF(B13="set","Maps!"&amp;HLOOKUP(C13,maps!$A$2:$ZH$3,2,)&amp;6))</f>
        <v>Sets!K6</v>
      </c>
      <c r="E13">
        <v>1</v>
      </c>
    </row>
    <row r="14" spans="1:7" x14ac:dyDescent="0.3">
      <c r="A14" t="s">
        <v>850</v>
      </c>
      <c r="B14" t="s">
        <v>114</v>
      </c>
      <c r="C14" t="s">
        <v>0</v>
      </c>
      <c r="D14" s="9" t="str">
        <f>IF(B14="dset","Sets!"&amp;HLOOKUP(C14,sets!$B$2:$WY$3,2,)&amp;6,IF(B14="set","Maps!"&amp;HLOOKUP(C14,maps!$A$2:$ZH$3,2,)&amp;6))</f>
        <v>Sets!L6</v>
      </c>
      <c r="E14">
        <v>1</v>
      </c>
    </row>
    <row r="15" spans="1:7" x14ac:dyDescent="0.3">
      <c r="A15" t="s">
        <v>851</v>
      </c>
      <c r="B15" t="s">
        <v>114</v>
      </c>
      <c r="C15" t="s">
        <v>33</v>
      </c>
      <c r="D15" s="9" t="str">
        <f>IF(B15="dset","Sets!"&amp;HLOOKUP(C15,sets!$B$2:$WY$3,2,)&amp;6,IF(B15="set","Maps!"&amp;HLOOKUP(C15,maps!$A$2:$ZH$3,2,)&amp;6))</f>
        <v>Sets!M6</v>
      </c>
      <c r="E15">
        <v>1</v>
      </c>
    </row>
    <row r="16" spans="1:7" x14ac:dyDescent="0.3">
      <c r="A16" t="s">
        <v>852</v>
      </c>
      <c r="B16" t="s">
        <v>114</v>
      </c>
      <c r="C16" t="s">
        <v>135</v>
      </c>
      <c r="D16" s="9" t="str">
        <f>IF(B16="dset","Sets!"&amp;HLOOKUP(C16,sets!$B$2:$WY$3,2,)&amp;6,IF(B16="set","Maps!"&amp;HLOOKUP(C16,maps!$A$2:$ZH$3,2,)&amp;6))</f>
        <v>Sets!N6</v>
      </c>
      <c r="E16">
        <v>1</v>
      </c>
    </row>
    <row r="17" spans="1:6" x14ac:dyDescent="0.3">
      <c r="A17" t="s">
        <v>853</v>
      </c>
      <c r="B17" t="s">
        <v>114</v>
      </c>
      <c r="C17" t="s">
        <v>21</v>
      </c>
      <c r="D17" s="9" t="str">
        <f>IF(B17="dset","Sets!"&amp;HLOOKUP(C17,sets!$B$2:$WY$3,2,)&amp;6,IF(B17="set","Maps!"&amp;HLOOKUP(C17,maps!$A$2:$ZH$3,2,)&amp;6))</f>
        <v>Sets!O6</v>
      </c>
      <c r="E17">
        <v>1</v>
      </c>
    </row>
    <row r="18" spans="1:6" x14ac:dyDescent="0.3">
      <c r="A18" t="s">
        <v>775</v>
      </c>
      <c r="B18" t="s">
        <v>114</v>
      </c>
      <c r="C18" t="s">
        <v>22</v>
      </c>
      <c r="D18" s="9" t="str">
        <f>IF(B18="dset","Sets!"&amp;HLOOKUP(C18,sets!$B$2:$WY$3,2,)&amp;6,IF(B18="set","Maps!"&amp;HLOOKUP(C18,maps!$A$2:$ZH$3,2,)&amp;6))</f>
        <v>Sets!P6</v>
      </c>
      <c r="E18">
        <v>1</v>
      </c>
    </row>
    <row r="19" spans="1:6" x14ac:dyDescent="0.3">
      <c r="A19" t="s">
        <v>905</v>
      </c>
      <c r="B19" t="s">
        <v>114</v>
      </c>
      <c r="C19" t="s">
        <v>904</v>
      </c>
      <c r="D19" s="9" t="str">
        <f>IF(B19="dset","Sets!"&amp;HLOOKUP(C19,sets!$B$2:$WY$3,2,)&amp;6,IF(B19="set","Maps!"&amp;HLOOKUP(C19,maps!$A$2:$ZH$3,2,)&amp;6))</f>
        <v>Sets!T6</v>
      </c>
      <c r="E19">
        <v>1</v>
      </c>
    </row>
    <row r="20" spans="1:6" x14ac:dyDescent="0.3">
      <c r="A20" t="s">
        <v>854</v>
      </c>
      <c r="B20" t="s">
        <v>110</v>
      </c>
      <c r="C20" t="s">
        <v>385</v>
      </c>
      <c r="D20" s="9" t="str">
        <f>IF(B20="dset","Sets!"&amp;HLOOKUP(C20,sets!$B$2:$WY$3,2,)&amp;6,IF(B20="set","Maps!"&amp;HLOOKUP(C20,maps!$A$2:$ZH$3,2,)&amp;6))</f>
        <v>Maps!J6</v>
      </c>
      <c r="E20">
        <v>2</v>
      </c>
    </row>
    <row r="21" spans="1:6" x14ac:dyDescent="0.3">
      <c r="A21" t="s">
        <v>855</v>
      </c>
      <c r="B21" t="s">
        <v>110</v>
      </c>
      <c r="C21" t="s">
        <v>116</v>
      </c>
      <c r="D21" s="9" t="str">
        <f>IF(B21="dset","Sets!"&amp;HLOOKUP(C21,sets!$B$2:$WY$3,2,)&amp;6,IF(B21="set","Maps!"&amp;HLOOKUP(C21,maps!$A$2:$ZH$3,2,)&amp;6))</f>
        <v>Maps!G6</v>
      </c>
      <c r="E21">
        <v>2</v>
      </c>
    </row>
    <row r="22" spans="1:6" x14ac:dyDescent="0.3">
      <c r="A22" t="s">
        <v>856</v>
      </c>
      <c r="B22" t="s">
        <v>105</v>
      </c>
      <c r="C22" s="17" t="s">
        <v>456</v>
      </c>
      <c r="D22" s="9" t="s">
        <v>867</v>
      </c>
      <c r="E22">
        <v>1</v>
      </c>
      <c r="F22">
        <v>1</v>
      </c>
    </row>
    <row r="23" spans="1:6" x14ac:dyDescent="0.3">
      <c r="A23" t="s">
        <v>458</v>
      </c>
      <c r="B23" t="s">
        <v>105</v>
      </c>
      <c r="C23" t="s">
        <v>457</v>
      </c>
      <c r="D23" t="s">
        <v>1170</v>
      </c>
      <c r="F23">
        <v>1</v>
      </c>
    </row>
    <row r="24" spans="1:6" x14ac:dyDescent="0.3">
      <c r="A24" t="s">
        <v>857</v>
      </c>
      <c r="B24" t="s">
        <v>110</v>
      </c>
      <c r="C24" t="s">
        <v>366</v>
      </c>
      <c r="D24" s="9" t="str">
        <f>IF(B24="dset","Sets!"&amp;HLOOKUP(C24,sets!$B$2:$WY$3,2,)&amp;6,IF(B24="set","Maps!"&amp;HLOOKUP(C24,maps!$A$2:$ZH$3,2,)&amp;6))</f>
        <v>Maps!M6</v>
      </c>
      <c r="E24">
        <v>2</v>
      </c>
    </row>
    <row r="25" spans="1:6" x14ac:dyDescent="0.3">
      <c r="A25" t="s">
        <v>858</v>
      </c>
      <c r="B25" t="s">
        <v>105</v>
      </c>
      <c r="C25" t="s">
        <v>342</v>
      </c>
      <c r="D25" s="9" t="s">
        <v>1173</v>
      </c>
      <c r="E25">
        <v>2</v>
      </c>
      <c r="F25">
        <v>1</v>
      </c>
    </row>
    <row r="26" spans="1:6" x14ac:dyDescent="0.3">
      <c r="A26" t="s">
        <v>866</v>
      </c>
      <c r="B26" t="s">
        <v>105</v>
      </c>
      <c r="C26" t="s">
        <v>859</v>
      </c>
      <c r="D26" s="9" t="s">
        <v>1100</v>
      </c>
      <c r="E26">
        <v>1</v>
      </c>
      <c r="F26">
        <v>1</v>
      </c>
    </row>
    <row r="27" spans="1:6" x14ac:dyDescent="0.3">
      <c r="A27" t="s">
        <v>835</v>
      </c>
      <c r="B27" t="s">
        <v>105</v>
      </c>
      <c r="C27" t="s">
        <v>836</v>
      </c>
      <c r="D27" t="s">
        <v>1348</v>
      </c>
    </row>
    <row r="28" spans="1:6" x14ac:dyDescent="0.3">
      <c r="A28" t="s">
        <v>864</v>
      </c>
      <c r="B28" t="s">
        <v>105</v>
      </c>
      <c r="C28" t="s">
        <v>865</v>
      </c>
      <c r="D28" t="s">
        <v>837</v>
      </c>
    </row>
    <row r="29" spans="1:6" x14ac:dyDescent="0.3">
      <c r="A29" t="s">
        <v>1370</v>
      </c>
      <c r="B29" t="s">
        <v>114</v>
      </c>
      <c r="C29" t="s">
        <v>1370</v>
      </c>
      <c r="D29" s="9" t="str">
        <f>IF(B29="dset","Sets!"&amp;HLOOKUP(C29,sets!$B$2:$WY$3,2,)&amp;6,IF(B29="set","Maps!"&amp;HLOOKUP(C29,maps!$A$2:$ZH$3,2,)&amp;6))</f>
        <v>Sets!U6</v>
      </c>
      <c r="E29">
        <v>1</v>
      </c>
    </row>
    <row r="30" spans="1:6" x14ac:dyDescent="0.3">
      <c r="A30" t="s">
        <v>1372</v>
      </c>
      <c r="B30" t="s">
        <v>114</v>
      </c>
      <c r="C30" t="s">
        <v>1372</v>
      </c>
      <c r="D30" s="9" t="str">
        <f>IF(B30="dset","Sets!"&amp;HLOOKUP(C30,sets!$B$2:$WY$3,2,)&amp;6,IF(B30="set","Maps!"&amp;HLOOKUP(C30,maps!$A$2:$ZH$3,2,)&amp;6))</f>
        <v>Sets!V6</v>
      </c>
      <c r="E30">
        <v>1</v>
      </c>
    </row>
    <row r="31" spans="1:6" x14ac:dyDescent="0.3">
      <c r="A31" t="s">
        <v>860</v>
      </c>
      <c r="B31" t="s">
        <v>114</v>
      </c>
      <c r="C31" t="s">
        <v>115</v>
      </c>
      <c r="D31" s="9" t="str">
        <f>IF(B31="dset","Sets!"&amp;HLOOKUP(C31,sets!$B$2:$WY$3,2,)&amp;6,IF(B31="set","Maps!"&amp;HLOOKUP(C31,maps!$A$2:$ZH$3,2,)&amp;6))</f>
        <v>Sets!Q6</v>
      </c>
      <c r="E31">
        <v>1</v>
      </c>
    </row>
    <row r="32" spans="1:6" x14ac:dyDescent="0.3">
      <c r="A32" t="s">
        <v>447</v>
      </c>
      <c r="B32" t="s">
        <v>105</v>
      </c>
      <c r="C32" t="s">
        <v>113</v>
      </c>
      <c r="D32" s="9" t="s">
        <v>669</v>
      </c>
      <c r="E32">
        <v>1</v>
      </c>
      <c r="F32">
        <v>1</v>
      </c>
    </row>
    <row r="33" spans="1:6" x14ac:dyDescent="0.3">
      <c r="A33" t="s">
        <v>446</v>
      </c>
      <c r="B33" t="s">
        <v>105</v>
      </c>
      <c r="C33" t="s">
        <v>454</v>
      </c>
      <c r="D33" t="s">
        <v>455</v>
      </c>
      <c r="E33">
        <v>1</v>
      </c>
    </row>
    <row r="34" spans="1:6" x14ac:dyDescent="0.3">
      <c r="A34" t="s">
        <v>443</v>
      </c>
      <c r="B34" t="s">
        <v>105</v>
      </c>
      <c r="C34" t="s">
        <v>441</v>
      </c>
      <c r="D34" t="s">
        <v>442</v>
      </c>
      <c r="E34">
        <v>1</v>
      </c>
      <c r="F34">
        <v>2</v>
      </c>
    </row>
    <row r="35" spans="1:6" x14ac:dyDescent="0.3">
      <c r="A35" t="s">
        <v>444</v>
      </c>
      <c r="B35" t="s">
        <v>105</v>
      </c>
      <c r="C35" t="s">
        <v>451</v>
      </c>
      <c r="D35" t="s">
        <v>453</v>
      </c>
      <c r="E35">
        <v>1</v>
      </c>
      <c r="F35">
        <v>1</v>
      </c>
    </row>
    <row r="36" spans="1:6" x14ac:dyDescent="0.3">
      <c r="A36" t="s">
        <v>445</v>
      </c>
      <c r="B36" t="s">
        <v>105</v>
      </c>
      <c r="C36" t="s">
        <v>452</v>
      </c>
      <c r="D36" t="s">
        <v>1066</v>
      </c>
      <c r="E36">
        <v>1</v>
      </c>
      <c r="F36">
        <v>2</v>
      </c>
    </row>
    <row r="37" spans="1:6" x14ac:dyDescent="0.3">
      <c r="A37" t="s">
        <v>448</v>
      </c>
      <c r="B37" t="s">
        <v>105</v>
      </c>
      <c r="C37" t="s">
        <v>449</v>
      </c>
      <c r="D37" t="s">
        <v>450</v>
      </c>
      <c r="E37">
        <v>1</v>
      </c>
      <c r="F37">
        <v>1</v>
      </c>
    </row>
    <row r="38" spans="1:6" x14ac:dyDescent="0.3">
      <c r="A38" t="s">
        <v>387</v>
      </c>
      <c r="B38" t="s">
        <v>105</v>
      </c>
      <c r="C38" t="s">
        <v>386</v>
      </c>
      <c r="D38" t="s">
        <v>1171</v>
      </c>
      <c r="E38">
        <v>1</v>
      </c>
      <c r="F38">
        <v>1</v>
      </c>
    </row>
    <row r="39" spans="1:6" x14ac:dyDescent="0.3">
      <c r="A39" t="s">
        <v>670</v>
      </c>
      <c r="B39" t="s">
        <v>105</v>
      </c>
      <c r="C39" t="s">
        <v>671</v>
      </c>
      <c r="D39" t="s">
        <v>672</v>
      </c>
      <c r="E39">
        <v>1</v>
      </c>
      <c r="F39">
        <v>1</v>
      </c>
    </row>
    <row r="40" spans="1:6" x14ac:dyDescent="0.3">
      <c r="A40" t="s">
        <v>891</v>
      </c>
      <c r="B40" t="s">
        <v>105</v>
      </c>
      <c r="C40" t="s">
        <v>892</v>
      </c>
      <c r="D40" t="s">
        <v>893</v>
      </c>
      <c r="E40">
        <v>2</v>
      </c>
      <c r="F40">
        <v>1</v>
      </c>
    </row>
    <row r="41" spans="1:6" x14ac:dyDescent="0.3">
      <c r="A41" t="s">
        <v>895</v>
      </c>
      <c r="B41" t="s">
        <v>105</v>
      </c>
      <c r="C41" t="s">
        <v>896</v>
      </c>
      <c r="D41" t="s">
        <v>897</v>
      </c>
      <c r="E41">
        <v>2</v>
      </c>
      <c r="F41">
        <v>1</v>
      </c>
    </row>
    <row r="42" spans="1:6" x14ac:dyDescent="0.3">
      <c r="A42" t="s">
        <v>906</v>
      </c>
      <c r="B42" t="s">
        <v>902</v>
      </c>
      <c r="C42" t="s">
        <v>907</v>
      </c>
      <c r="D42" t="s">
        <v>908</v>
      </c>
      <c r="E42">
        <v>3</v>
      </c>
      <c r="F42">
        <v>1</v>
      </c>
    </row>
    <row r="43" spans="1:6" x14ac:dyDescent="0.3">
      <c r="A43" t="s">
        <v>1038</v>
      </c>
      <c r="B43" t="s">
        <v>105</v>
      </c>
      <c r="C43" t="s">
        <v>1039</v>
      </c>
      <c r="D43" t="s">
        <v>1040</v>
      </c>
      <c r="E43">
        <v>1</v>
      </c>
      <c r="F43">
        <v>1</v>
      </c>
    </row>
    <row r="44" spans="1:6" x14ac:dyDescent="0.3">
      <c r="A44" t="s">
        <v>1043</v>
      </c>
      <c r="B44" t="s">
        <v>105</v>
      </c>
      <c r="C44" t="s">
        <v>1044</v>
      </c>
      <c r="D44" t="s">
        <v>1045</v>
      </c>
      <c r="E44">
        <v>1</v>
      </c>
      <c r="F44">
        <v>1</v>
      </c>
    </row>
    <row r="45" spans="1:6" x14ac:dyDescent="0.3">
      <c r="A45" t="s">
        <v>1063</v>
      </c>
      <c r="B45" t="s">
        <v>105</v>
      </c>
      <c r="C45" t="s">
        <v>1064</v>
      </c>
      <c r="D45" t="s">
        <v>1065</v>
      </c>
      <c r="E45">
        <v>2</v>
      </c>
      <c r="F45">
        <v>1</v>
      </c>
    </row>
    <row r="46" spans="1:6" x14ac:dyDescent="0.3">
      <c r="A46" t="s">
        <v>1067</v>
      </c>
      <c r="B46" t="s">
        <v>105</v>
      </c>
      <c r="C46" t="s">
        <v>1069</v>
      </c>
      <c r="D46" t="s">
        <v>1068</v>
      </c>
      <c r="E46">
        <v>2</v>
      </c>
      <c r="F46">
        <v>1</v>
      </c>
    </row>
    <row r="47" spans="1:6" x14ac:dyDescent="0.3">
      <c r="A47" t="s">
        <v>1246</v>
      </c>
      <c r="B47" t="s">
        <v>105</v>
      </c>
      <c r="C47" t="s">
        <v>1247</v>
      </c>
      <c r="D47" t="s">
        <v>1248</v>
      </c>
      <c r="E47">
        <v>2</v>
      </c>
      <c r="F47">
        <v>1</v>
      </c>
    </row>
    <row r="48" spans="1:6" x14ac:dyDescent="0.3">
      <c r="A48" t="s">
        <v>1336</v>
      </c>
      <c r="B48" t="s">
        <v>105</v>
      </c>
      <c r="C48" t="s">
        <v>1337</v>
      </c>
      <c r="D48" t="s">
        <v>1342</v>
      </c>
      <c r="E48">
        <v>1</v>
      </c>
    </row>
    <row r="49" spans="1:5" x14ac:dyDescent="0.3">
      <c r="A49" t="s">
        <v>1338</v>
      </c>
      <c r="B49" t="s">
        <v>105</v>
      </c>
      <c r="C49" t="s">
        <v>1317</v>
      </c>
      <c r="D49" t="s">
        <v>1341</v>
      </c>
      <c r="E49">
        <v>1</v>
      </c>
    </row>
    <row r="50" spans="1:5" x14ac:dyDescent="0.3">
      <c r="A50" t="s">
        <v>1339</v>
      </c>
      <c r="B50" t="s">
        <v>105</v>
      </c>
      <c r="C50" t="s">
        <v>1318</v>
      </c>
      <c r="D50" t="s">
        <v>1340</v>
      </c>
      <c r="E50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A3DA-52B1-4C7F-8192-084152BFA599}">
  <dimension ref="A1:I19"/>
  <sheetViews>
    <sheetView workbookViewId="0">
      <selection activeCell="A10" sqref="A10"/>
    </sheetView>
  </sheetViews>
  <sheetFormatPr baseColWidth="10" defaultColWidth="10.88671875" defaultRowHeight="14.4" x14ac:dyDescent="0.3"/>
  <sheetData>
    <row r="1" spans="1:9" x14ac:dyDescent="0.3">
      <c r="B1">
        <v>0</v>
      </c>
      <c r="C1">
        <v>1</v>
      </c>
      <c r="D1">
        <v>5</v>
      </c>
      <c r="E1">
        <v>10</v>
      </c>
      <c r="F1">
        <v>50</v>
      </c>
      <c r="G1">
        <v>100</v>
      </c>
      <c r="H1">
        <v>360</v>
      </c>
      <c r="I1">
        <v>380</v>
      </c>
    </row>
    <row r="2" spans="1:9" x14ac:dyDescent="0.3">
      <c r="A2" t="s">
        <v>1041</v>
      </c>
      <c r="B2" s="7">
        <v>1E-10</v>
      </c>
      <c r="C2" s="7">
        <v>9.9999999999999995E-7</v>
      </c>
      <c r="D2">
        <v>0.05</v>
      </c>
      <c r="E2">
        <v>0.1</v>
      </c>
      <c r="F2">
        <v>0.2</v>
      </c>
      <c r="G2">
        <v>0.5</v>
      </c>
      <c r="H2">
        <v>0.6</v>
      </c>
      <c r="I2">
        <v>1</v>
      </c>
    </row>
    <row r="3" spans="1:9" x14ac:dyDescent="0.3">
      <c r="A3" t="s">
        <v>357</v>
      </c>
      <c r="B3" s="7">
        <v>1E-10</v>
      </c>
      <c r="C3" s="7">
        <v>9.9999999999999995E-7</v>
      </c>
      <c r="D3" s="7">
        <v>1E-4</v>
      </c>
      <c r="F3">
        <v>0.9</v>
      </c>
      <c r="G3">
        <v>0.95</v>
      </c>
      <c r="H3">
        <v>0.99</v>
      </c>
      <c r="I3">
        <v>1</v>
      </c>
    </row>
    <row r="4" spans="1:9" x14ac:dyDescent="0.3">
      <c r="A4" t="s">
        <v>222</v>
      </c>
      <c r="B4" s="7">
        <v>1E-10</v>
      </c>
      <c r="C4" s="7">
        <v>9.9999999999999995E-7</v>
      </c>
      <c r="D4" s="7">
        <v>1E-4</v>
      </c>
      <c r="F4">
        <v>0.75</v>
      </c>
      <c r="G4">
        <v>0.9</v>
      </c>
      <c r="H4">
        <v>0.95</v>
      </c>
      <c r="I4">
        <v>1</v>
      </c>
    </row>
    <row r="5" spans="1:9" x14ac:dyDescent="0.3">
      <c r="A5" t="s">
        <v>266</v>
      </c>
      <c r="B5" s="7">
        <v>1E-10</v>
      </c>
      <c r="C5" s="7">
        <v>9.9999999999999995E-7</v>
      </c>
      <c r="D5" s="7">
        <v>1E-4</v>
      </c>
      <c r="F5">
        <v>0.2</v>
      </c>
      <c r="G5">
        <v>0.3</v>
      </c>
      <c r="H5">
        <v>0.4</v>
      </c>
      <c r="I5">
        <v>1</v>
      </c>
    </row>
    <row r="6" spans="1:9" x14ac:dyDescent="0.3">
      <c r="A6" t="s">
        <v>273</v>
      </c>
      <c r="B6" s="7">
        <v>1E-10</v>
      </c>
      <c r="C6" s="7">
        <v>9.9999999999999995E-7</v>
      </c>
      <c r="D6" s="7">
        <v>1E-4</v>
      </c>
      <c r="F6">
        <v>0.2</v>
      </c>
      <c r="G6">
        <v>0.3</v>
      </c>
      <c r="H6">
        <v>0.4</v>
      </c>
      <c r="I6">
        <v>1</v>
      </c>
    </row>
    <row r="7" spans="1:9" x14ac:dyDescent="0.3">
      <c r="A7" t="s">
        <v>595</v>
      </c>
      <c r="B7" s="7">
        <v>1E-10</v>
      </c>
      <c r="C7" s="7">
        <v>9.9999999999999995E-7</v>
      </c>
      <c r="D7" s="7">
        <v>1E-4</v>
      </c>
      <c r="G7">
        <v>7.0000000000000007E-2</v>
      </c>
      <c r="H7">
        <v>0.08</v>
      </c>
      <c r="I7">
        <v>1</v>
      </c>
    </row>
    <row r="8" spans="1:9" x14ac:dyDescent="0.3">
      <c r="A8" t="s">
        <v>597</v>
      </c>
      <c r="B8" s="7">
        <v>1E-10</v>
      </c>
      <c r="C8" s="7">
        <v>9.9999999999999995E-7</v>
      </c>
      <c r="D8" s="7">
        <v>1E-4</v>
      </c>
      <c r="G8">
        <v>7.0000000000000007E-2</v>
      </c>
      <c r="H8">
        <v>0.08</v>
      </c>
      <c r="I8">
        <v>1</v>
      </c>
    </row>
    <row r="9" spans="1:9" x14ac:dyDescent="0.3">
      <c r="A9" t="s">
        <v>594</v>
      </c>
      <c r="B9" s="7">
        <v>1E-10</v>
      </c>
      <c r="C9" s="7">
        <v>9.9999999999999995E-7</v>
      </c>
      <c r="D9" s="7">
        <v>1E-4</v>
      </c>
      <c r="G9">
        <v>7.0000000000000007E-2</v>
      </c>
      <c r="H9">
        <v>0.08</v>
      </c>
      <c r="I9">
        <v>1</v>
      </c>
    </row>
    <row r="10" spans="1:9" x14ac:dyDescent="0.3">
      <c r="A10" t="s">
        <v>1094</v>
      </c>
      <c r="B10" s="7">
        <v>1E-10</v>
      </c>
      <c r="C10" s="7">
        <v>9.9999999999999995E-7</v>
      </c>
      <c r="D10" s="7">
        <v>1E-4</v>
      </c>
      <c r="G10">
        <v>7.0000000000000007E-2</v>
      </c>
      <c r="H10">
        <v>0.08</v>
      </c>
      <c r="I10">
        <v>1</v>
      </c>
    </row>
    <row r="11" spans="1:9" x14ac:dyDescent="0.3">
      <c r="A11" t="s">
        <v>596</v>
      </c>
      <c r="B11" s="7">
        <v>1E-10</v>
      </c>
      <c r="C11" s="7">
        <v>9.9999999999999995E-7</v>
      </c>
      <c r="D11" s="7">
        <v>1E-4</v>
      </c>
      <c r="G11">
        <v>7.0000000000000007E-2</v>
      </c>
      <c r="H11">
        <v>0.08</v>
      </c>
      <c r="I11">
        <v>1</v>
      </c>
    </row>
    <row r="12" spans="1:9" x14ac:dyDescent="0.3">
      <c r="A12" t="s">
        <v>586</v>
      </c>
      <c r="B12" s="7">
        <v>1E-10</v>
      </c>
      <c r="C12" s="7">
        <v>9.9999999999999995E-7</v>
      </c>
      <c r="D12" s="7">
        <v>1E-4</v>
      </c>
      <c r="G12">
        <v>0.16</v>
      </c>
      <c r="H12">
        <v>0.17</v>
      </c>
      <c r="I12">
        <v>1</v>
      </c>
    </row>
    <row r="13" spans="1:9" x14ac:dyDescent="0.3">
      <c r="A13" t="s">
        <v>587</v>
      </c>
      <c r="B13" s="7">
        <v>1E-10</v>
      </c>
      <c r="C13" s="7">
        <v>9.9999999999999995E-7</v>
      </c>
      <c r="D13" s="7">
        <v>1E-4</v>
      </c>
      <c r="G13">
        <v>0.1</v>
      </c>
      <c r="H13">
        <v>0.12</v>
      </c>
      <c r="I13">
        <v>1</v>
      </c>
    </row>
    <row r="14" spans="1:9" x14ac:dyDescent="0.3">
      <c r="A14" t="s">
        <v>588</v>
      </c>
      <c r="B14" s="7">
        <v>1E-10</v>
      </c>
      <c r="C14" s="7">
        <v>9.9999999999999995E-7</v>
      </c>
      <c r="D14" s="7">
        <v>1E-4</v>
      </c>
      <c r="G14">
        <v>0.1</v>
      </c>
      <c r="H14">
        <v>0.12</v>
      </c>
      <c r="I14">
        <v>1</v>
      </c>
    </row>
    <row r="15" spans="1:9" x14ac:dyDescent="0.3">
      <c r="A15" t="s">
        <v>590</v>
      </c>
      <c r="B15" s="7">
        <v>1E-10</v>
      </c>
      <c r="C15" s="7">
        <v>9.9999999999999995E-7</v>
      </c>
      <c r="D15" s="7">
        <v>1E-4</v>
      </c>
      <c r="G15">
        <v>0.1</v>
      </c>
      <c r="H15">
        <v>0.12</v>
      </c>
      <c r="I15">
        <v>1</v>
      </c>
    </row>
    <row r="16" spans="1:9" x14ac:dyDescent="0.3">
      <c r="A16" t="s">
        <v>589</v>
      </c>
      <c r="B16" s="7">
        <v>1E-10</v>
      </c>
      <c r="C16" s="7">
        <v>9.9999999999999995E-7</v>
      </c>
      <c r="D16" s="7">
        <v>1E-4</v>
      </c>
      <c r="G16">
        <v>0.1</v>
      </c>
      <c r="H16">
        <v>0.12</v>
      </c>
      <c r="I16">
        <v>1</v>
      </c>
    </row>
    <row r="17" spans="1:9" x14ac:dyDescent="0.3">
      <c r="A17" t="s">
        <v>1042</v>
      </c>
      <c r="B17" s="7">
        <v>1E-10</v>
      </c>
      <c r="C17" s="7">
        <v>9.9999999999999995E-7</v>
      </c>
      <c r="D17" s="7">
        <v>1E-4</v>
      </c>
      <c r="G17">
        <v>0.1</v>
      </c>
      <c r="H17">
        <v>0.12</v>
      </c>
      <c r="I17">
        <v>1</v>
      </c>
    </row>
    <row r="18" spans="1:9" x14ac:dyDescent="0.3">
      <c r="A18" t="s">
        <v>591</v>
      </c>
      <c r="B18" s="7">
        <v>1E-10</v>
      </c>
      <c r="C18" s="7">
        <v>9.9999999999999995E-7</v>
      </c>
      <c r="D18" s="7">
        <v>1E-4</v>
      </c>
      <c r="G18">
        <v>0.1</v>
      </c>
      <c r="H18">
        <v>0.12</v>
      </c>
      <c r="I18">
        <v>1</v>
      </c>
    </row>
    <row r="19" spans="1:9" x14ac:dyDescent="0.3">
      <c r="A19" t="s">
        <v>593</v>
      </c>
      <c r="B19" s="7">
        <v>1E-10</v>
      </c>
      <c r="C19" s="7">
        <v>9.9999999999999995E-7</v>
      </c>
      <c r="D19" s="7">
        <v>1E-4</v>
      </c>
      <c r="G19">
        <v>0.1</v>
      </c>
      <c r="H19">
        <v>0.12</v>
      </c>
      <c r="I19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0"/>
  <dimension ref="B1:V244"/>
  <sheetViews>
    <sheetView topLeftCell="B36" workbookViewId="0">
      <selection activeCell="C62" sqref="C62"/>
    </sheetView>
  </sheetViews>
  <sheetFormatPr baseColWidth="10" defaultColWidth="8.88671875" defaultRowHeight="14.4" x14ac:dyDescent="0.3"/>
  <cols>
    <col min="2" max="2" width="28.33203125" customWidth="1"/>
    <col min="3" max="3" width="61" customWidth="1"/>
    <col min="4" max="4" width="21.5546875" customWidth="1"/>
    <col min="5" max="5" width="21.6640625" customWidth="1"/>
    <col min="7" max="7" width="17.6640625" customWidth="1"/>
    <col min="8" max="8" width="17.77734375" customWidth="1"/>
    <col min="13" max="13" width="10.109375" bestFit="1" customWidth="1"/>
    <col min="14" max="14" width="10.109375" customWidth="1"/>
    <col min="21" max="21" width="20.6640625" customWidth="1"/>
  </cols>
  <sheetData>
    <row r="1" spans="2:22" s="9" customFormat="1" ht="13.2" x14ac:dyDescent="0.25">
      <c r="B1" s="8" t="s">
        <v>107</v>
      </c>
    </row>
    <row r="2" spans="2:22" s="9" customFormat="1" ht="13.2" x14ac:dyDescent="0.25">
      <c r="B2" s="12" t="str">
        <f>+B5</f>
        <v>is</v>
      </c>
      <c r="C2" s="12">
        <f>+C5</f>
        <v>0</v>
      </c>
      <c r="D2" s="12" t="str">
        <f>+D5</f>
        <v>aagr</v>
      </c>
      <c r="E2" s="12"/>
      <c r="F2" s="12"/>
      <c r="G2" s="12" t="str">
        <f t="shared" ref="G2:Q2" si="0">+G5</f>
        <v>e</v>
      </c>
      <c r="H2" s="12" t="str">
        <f t="shared" si="0"/>
        <v>l</v>
      </c>
      <c r="I2" s="12" t="str">
        <f t="shared" si="0"/>
        <v>cap</v>
      </c>
      <c r="J2" s="12" t="str">
        <f t="shared" si="0"/>
        <v>lnd</v>
      </c>
      <c r="K2" s="12" t="str">
        <f>+K5</f>
        <v>natres</v>
      </c>
      <c r="L2" s="12" t="str">
        <f t="shared" si="0"/>
        <v>inv</v>
      </c>
      <c r="M2" s="12" t="str">
        <f t="shared" si="0"/>
        <v>ginv</v>
      </c>
      <c r="N2" s="12" t="str">
        <f>+N5</f>
        <v>adpinv</v>
      </c>
      <c r="O2" s="12" t="str">
        <f t="shared" si="0"/>
        <v>stb</v>
      </c>
      <c r="P2" s="12" t="str">
        <f t="shared" si="0"/>
        <v>row</v>
      </c>
      <c r="Q2" s="12" t="str">
        <f t="shared" si="0"/>
        <v>cohorts</v>
      </c>
      <c r="R2" s="12"/>
      <c r="S2" s="12" t="str">
        <f>+S5</f>
        <v>debt</v>
      </c>
      <c r="T2" s="12" t="str">
        <f>+T5</f>
        <v>nrgfac</v>
      </c>
      <c r="U2" s="12" t="str">
        <f>+U5</f>
        <v>GTAPVersion</v>
      </c>
      <c r="V2" s="12" t="str">
        <f>+V5</f>
        <v>BaseYear</v>
      </c>
    </row>
    <row r="3" spans="2:22" s="9" customFormat="1" ht="13.2" x14ac:dyDescent="0.25">
      <c r="B3" s="13" t="str">
        <f>SUBSTITUTE(ADDRESS(1,COLUMN(),4),1,)</f>
        <v>B</v>
      </c>
      <c r="C3" s="13" t="str">
        <f>SUBSTITUTE(ADDRESS(1,COLUMN(),4),1,)</f>
        <v>C</v>
      </c>
      <c r="D3" s="13" t="str">
        <f t="shared" ref="D3:V3" si="1">SUBSTITUTE(ADDRESS(1,COLUMN(),4),"1","")</f>
        <v>D</v>
      </c>
      <c r="E3" s="13"/>
      <c r="F3" s="13"/>
      <c r="G3" s="13" t="str">
        <f t="shared" si="1"/>
        <v>G</v>
      </c>
      <c r="H3" s="13" t="str">
        <f t="shared" si="1"/>
        <v>H</v>
      </c>
      <c r="I3" s="13" t="str">
        <f t="shared" si="1"/>
        <v>I</v>
      </c>
      <c r="J3" s="13" t="str">
        <f t="shared" si="1"/>
        <v>J</v>
      </c>
      <c r="K3" s="13" t="str">
        <f t="shared" si="1"/>
        <v>K</v>
      </c>
      <c r="L3" s="13" t="str">
        <f t="shared" si="1"/>
        <v>L</v>
      </c>
      <c r="M3" s="13" t="str">
        <f t="shared" si="1"/>
        <v>M</v>
      </c>
      <c r="N3" s="13" t="str">
        <f t="shared" si="1"/>
        <v>N</v>
      </c>
      <c r="O3" s="13" t="str">
        <f t="shared" si="1"/>
        <v>O</v>
      </c>
      <c r="P3" s="13" t="str">
        <f t="shared" si="1"/>
        <v>P</v>
      </c>
      <c r="Q3" s="13" t="str">
        <f t="shared" si="1"/>
        <v>Q</v>
      </c>
      <c r="R3" s="13"/>
      <c r="S3" s="13" t="str">
        <f t="shared" si="1"/>
        <v>S</v>
      </c>
      <c r="T3" s="13" t="str">
        <f t="shared" si="1"/>
        <v>T</v>
      </c>
      <c r="U3" s="13" t="str">
        <f t="shared" si="1"/>
        <v>U</v>
      </c>
      <c r="V3" s="13" t="str">
        <f t="shared" si="1"/>
        <v>V</v>
      </c>
    </row>
    <row r="4" spans="2:22" x14ac:dyDescent="0.3">
      <c r="B4" s="3"/>
      <c r="C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2:22" x14ac:dyDescent="0.3">
      <c r="B5" t="s">
        <v>20</v>
      </c>
      <c r="D5" t="s">
        <v>367</v>
      </c>
      <c r="G5" t="s">
        <v>8</v>
      </c>
      <c r="H5" t="s">
        <v>118</v>
      </c>
      <c r="I5" t="s">
        <v>19</v>
      </c>
      <c r="J5" t="s">
        <v>94</v>
      </c>
      <c r="K5" t="s">
        <v>388</v>
      </c>
      <c r="L5" t="s">
        <v>0</v>
      </c>
      <c r="M5" t="s">
        <v>33</v>
      </c>
      <c r="N5" t="s">
        <v>135</v>
      </c>
      <c r="O5" t="s">
        <v>21</v>
      </c>
      <c r="P5" t="s">
        <v>22</v>
      </c>
      <c r="Q5" t="s">
        <v>115</v>
      </c>
      <c r="R5" s="3"/>
      <c r="S5" t="s">
        <v>213</v>
      </c>
      <c r="T5" t="s">
        <v>903</v>
      </c>
      <c r="U5" t="s">
        <v>1370</v>
      </c>
      <c r="V5" t="s">
        <v>1372</v>
      </c>
    </row>
    <row r="6" spans="2:22" x14ac:dyDescent="0.3">
      <c r="B6" t="s">
        <v>586</v>
      </c>
      <c r="C6" s="18" t="s">
        <v>684</v>
      </c>
      <c r="D6" t="s">
        <v>345</v>
      </c>
      <c r="E6" t="s">
        <v>368</v>
      </c>
      <c r="G6" t="s">
        <v>141</v>
      </c>
      <c r="H6" t="s">
        <v>657</v>
      </c>
      <c r="I6" t="s">
        <v>161</v>
      </c>
      <c r="J6" t="s">
        <v>159</v>
      </c>
      <c r="K6" s="21" t="s">
        <v>353</v>
      </c>
      <c r="L6" t="s">
        <v>228</v>
      </c>
      <c r="M6" s="9" t="s">
        <v>134</v>
      </c>
      <c r="P6" s="9" t="s">
        <v>165</v>
      </c>
      <c r="Q6" t="s">
        <v>3</v>
      </c>
      <c r="R6" t="s">
        <v>1313</v>
      </c>
      <c r="S6" t="s">
        <v>213</v>
      </c>
      <c r="T6" t="s">
        <v>282</v>
      </c>
      <c r="U6" t="s">
        <v>1371</v>
      </c>
      <c r="V6">
        <v>2014</v>
      </c>
    </row>
    <row r="7" spans="2:22" x14ac:dyDescent="0.3">
      <c r="B7" t="s">
        <v>587</v>
      </c>
      <c r="C7" s="18" t="s">
        <v>685</v>
      </c>
      <c r="D7" t="s">
        <v>364</v>
      </c>
      <c r="E7" t="s">
        <v>369</v>
      </c>
      <c r="G7" t="s">
        <v>227</v>
      </c>
      <c r="H7" t="s">
        <v>658</v>
      </c>
      <c r="J7" s="4" t="s">
        <v>929</v>
      </c>
      <c r="K7" s="21"/>
      <c r="P7" s="9"/>
      <c r="Q7" t="s">
        <v>4</v>
      </c>
      <c r="R7" t="s">
        <v>1314</v>
      </c>
    </row>
    <row r="8" spans="2:22" x14ac:dyDescent="0.3">
      <c r="B8" t="s">
        <v>588</v>
      </c>
      <c r="C8" s="18" t="s">
        <v>686</v>
      </c>
      <c r="D8" t="s">
        <v>347</v>
      </c>
      <c r="E8" t="s">
        <v>370</v>
      </c>
      <c r="G8" t="s">
        <v>234</v>
      </c>
      <c r="H8" t="s">
        <v>659</v>
      </c>
      <c r="J8" s="4" t="s">
        <v>930</v>
      </c>
      <c r="P8" s="9"/>
      <c r="Q8" t="s">
        <v>5</v>
      </c>
      <c r="R8" t="s">
        <v>1315</v>
      </c>
    </row>
    <row r="9" spans="2:22" x14ac:dyDescent="0.3">
      <c r="B9" t="s">
        <v>589</v>
      </c>
      <c r="C9" s="18" t="s">
        <v>687</v>
      </c>
      <c r="D9" t="s">
        <v>130</v>
      </c>
      <c r="E9" t="s">
        <v>371</v>
      </c>
      <c r="G9" t="s">
        <v>137</v>
      </c>
      <c r="H9" t="s">
        <v>660</v>
      </c>
      <c r="J9" s="4" t="s">
        <v>931</v>
      </c>
      <c r="P9" s="9"/>
      <c r="Q9" t="s">
        <v>6</v>
      </c>
      <c r="R9" t="s">
        <v>1316</v>
      </c>
    </row>
    <row r="10" spans="2:22" x14ac:dyDescent="0.3">
      <c r="B10" t="s">
        <v>590</v>
      </c>
      <c r="C10" s="18" t="s">
        <v>688</v>
      </c>
      <c r="D10" t="s">
        <v>359</v>
      </c>
      <c r="E10" t="s">
        <v>383</v>
      </c>
      <c r="G10" t="s">
        <v>166</v>
      </c>
      <c r="H10" t="s">
        <v>661</v>
      </c>
      <c r="J10" s="4" t="s">
        <v>932</v>
      </c>
      <c r="P10" s="9"/>
    </row>
    <row r="11" spans="2:22" x14ac:dyDescent="0.3">
      <c r="B11" t="s">
        <v>591</v>
      </c>
      <c r="C11" s="18" t="s">
        <v>689</v>
      </c>
      <c r="D11" t="s">
        <v>282</v>
      </c>
      <c r="E11" t="s">
        <v>372</v>
      </c>
      <c r="H11" t="s">
        <v>1253</v>
      </c>
      <c r="J11" s="4" t="s">
        <v>933</v>
      </c>
      <c r="P11" s="9"/>
    </row>
    <row r="12" spans="2:22" x14ac:dyDescent="0.3">
      <c r="B12" t="s">
        <v>592</v>
      </c>
      <c r="C12" s="18" t="s">
        <v>690</v>
      </c>
      <c r="D12" t="s">
        <v>346</v>
      </c>
      <c r="E12" t="s">
        <v>373</v>
      </c>
      <c r="H12" t="s">
        <v>1271</v>
      </c>
      <c r="J12" s="4" t="s">
        <v>934</v>
      </c>
      <c r="P12" s="9"/>
    </row>
    <row r="13" spans="2:22" x14ac:dyDescent="0.3">
      <c r="B13" t="s">
        <v>593</v>
      </c>
      <c r="C13" s="18" t="s">
        <v>691</v>
      </c>
      <c r="D13" t="s">
        <v>365</v>
      </c>
      <c r="E13" t="s">
        <v>374</v>
      </c>
      <c r="H13" t="s">
        <v>1254</v>
      </c>
      <c r="J13" s="4" t="s">
        <v>935</v>
      </c>
      <c r="P13" s="9"/>
    </row>
    <row r="14" spans="2:22" x14ac:dyDescent="0.3">
      <c r="B14" t="s">
        <v>594</v>
      </c>
      <c r="C14" s="18" t="s">
        <v>692</v>
      </c>
      <c r="D14" t="s">
        <v>360</v>
      </c>
      <c r="E14" t="s">
        <v>375</v>
      </c>
      <c r="H14" t="s">
        <v>1255</v>
      </c>
      <c r="J14" s="4" t="s">
        <v>936</v>
      </c>
      <c r="P14" s="9"/>
    </row>
    <row r="15" spans="2:22" x14ac:dyDescent="0.3">
      <c r="B15" t="s">
        <v>1094</v>
      </c>
      <c r="C15" s="18" t="s">
        <v>1095</v>
      </c>
      <c r="D15" t="s">
        <v>361</v>
      </c>
      <c r="E15" t="s">
        <v>189</v>
      </c>
      <c r="H15" t="s">
        <v>1256</v>
      </c>
      <c r="J15" s="4" t="s">
        <v>937</v>
      </c>
    </row>
    <row r="16" spans="2:22" x14ac:dyDescent="0.3">
      <c r="B16" t="s">
        <v>595</v>
      </c>
      <c r="C16" s="18" t="s">
        <v>693</v>
      </c>
      <c r="D16" t="s">
        <v>344</v>
      </c>
      <c r="E16" t="s">
        <v>36</v>
      </c>
      <c r="H16" t="s">
        <v>1262</v>
      </c>
      <c r="J16" s="4" t="s">
        <v>938</v>
      </c>
    </row>
    <row r="17" spans="2:10" x14ac:dyDescent="0.3">
      <c r="B17" t="s">
        <v>596</v>
      </c>
      <c r="C17" s="18" t="s">
        <v>694</v>
      </c>
      <c r="D17" t="s">
        <v>131</v>
      </c>
      <c r="E17" t="s">
        <v>376</v>
      </c>
      <c r="H17" t="s">
        <v>1306</v>
      </c>
      <c r="J17" s="4" t="s">
        <v>939</v>
      </c>
    </row>
    <row r="18" spans="2:10" x14ac:dyDescent="0.3">
      <c r="B18" t="s">
        <v>597</v>
      </c>
      <c r="C18" s="18" t="s">
        <v>695</v>
      </c>
      <c r="D18" t="s">
        <v>207</v>
      </c>
      <c r="E18" t="s">
        <v>207</v>
      </c>
      <c r="H18" t="s">
        <v>1263</v>
      </c>
      <c r="J18" s="4" t="s">
        <v>940</v>
      </c>
    </row>
    <row r="19" spans="2:10" x14ac:dyDescent="0.3">
      <c r="B19" t="s">
        <v>235</v>
      </c>
      <c r="C19" s="18" t="s">
        <v>696</v>
      </c>
      <c r="D19" t="s">
        <v>362</v>
      </c>
      <c r="E19" t="s">
        <v>32</v>
      </c>
      <c r="H19" t="s">
        <v>1264</v>
      </c>
      <c r="J19" s="4" t="s">
        <v>941</v>
      </c>
    </row>
    <row r="20" spans="2:10" x14ac:dyDescent="0.3">
      <c r="B20" t="s">
        <v>598</v>
      </c>
      <c r="C20" s="18" t="s">
        <v>697</v>
      </c>
      <c r="D20" t="s">
        <v>363</v>
      </c>
      <c r="E20" t="s">
        <v>377</v>
      </c>
      <c r="H20" t="s">
        <v>1265</v>
      </c>
      <c r="J20" s="4" t="s">
        <v>942</v>
      </c>
    </row>
    <row r="21" spans="2:10" x14ac:dyDescent="0.3">
      <c r="B21" t="s">
        <v>223</v>
      </c>
      <c r="C21" s="18" t="s">
        <v>698</v>
      </c>
      <c r="H21" t="s">
        <v>1078</v>
      </c>
      <c r="J21" s="4" t="s">
        <v>943</v>
      </c>
    </row>
    <row r="22" spans="2:10" x14ac:dyDescent="0.3">
      <c r="B22" s="18" t="s">
        <v>230</v>
      </c>
      <c r="C22" s="18" t="s">
        <v>699</v>
      </c>
      <c r="H22" t="s">
        <v>1079</v>
      </c>
      <c r="J22" s="4" t="s">
        <v>944</v>
      </c>
    </row>
    <row r="23" spans="2:10" x14ac:dyDescent="0.3">
      <c r="B23" s="18" t="s">
        <v>236</v>
      </c>
      <c r="C23" s="18" t="s">
        <v>700</v>
      </c>
      <c r="H23" t="s">
        <v>1080</v>
      </c>
      <c r="J23" s="4" t="s">
        <v>945</v>
      </c>
    </row>
    <row r="24" spans="2:10" x14ac:dyDescent="0.3">
      <c r="B24" t="s">
        <v>1353</v>
      </c>
      <c r="C24" s="18" t="s">
        <v>701</v>
      </c>
      <c r="H24" t="s">
        <v>1081</v>
      </c>
      <c r="J24" s="4" t="s">
        <v>946</v>
      </c>
    </row>
    <row r="25" spans="2:10" x14ac:dyDescent="0.3">
      <c r="B25" t="s">
        <v>599</v>
      </c>
      <c r="C25" s="18" t="s">
        <v>702</v>
      </c>
      <c r="J25" t="s">
        <v>1125</v>
      </c>
    </row>
    <row r="26" spans="2:10" x14ac:dyDescent="0.3">
      <c r="B26" t="s">
        <v>600</v>
      </c>
      <c r="C26" s="18" t="s">
        <v>703</v>
      </c>
    </row>
    <row r="27" spans="2:10" x14ac:dyDescent="0.3">
      <c r="B27" t="s">
        <v>601</v>
      </c>
      <c r="C27" s="18" t="s">
        <v>704</v>
      </c>
    </row>
    <row r="28" spans="2:10" x14ac:dyDescent="0.3">
      <c r="B28" t="s">
        <v>602</v>
      </c>
      <c r="C28" s="18" t="s">
        <v>705</v>
      </c>
    </row>
    <row r="29" spans="2:10" x14ac:dyDescent="0.3">
      <c r="B29" t="s">
        <v>603</v>
      </c>
      <c r="C29" s="18" t="s">
        <v>706</v>
      </c>
    </row>
    <row r="30" spans="2:10" x14ac:dyDescent="0.3">
      <c r="B30" t="s">
        <v>604</v>
      </c>
      <c r="C30" s="18" t="s">
        <v>707</v>
      </c>
    </row>
    <row r="31" spans="2:10" x14ac:dyDescent="0.3">
      <c r="B31" t="s">
        <v>605</v>
      </c>
      <c r="C31" s="18" t="s">
        <v>708</v>
      </c>
    </row>
    <row r="32" spans="2:10" x14ac:dyDescent="0.3">
      <c r="B32" t="s">
        <v>246</v>
      </c>
      <c r="C32" s="18" t="s">
        <v>709</v>
      </c>
    </row>
    <row r="33" spans="2:3" x14ac:dyDescent="0.3">
      <c r="B33" t="s">
        <v>249</v>
      </c>
      <c r="C33" s="18" t="s">
        <v>710</v>
      </c>
    </row>
    <row r="34" spans="2:3" x14ac:dyDescent="0.3">
      <c r="B34" t="s">
        <v>606</v>
      </c>
      <c r="C34" t="s">
        <v>711</v>
      </c>
    </row>
    <row r="35" spans="2:3" x14ac:dyDescent="0.3">
      <c r="B35" t="s">
        <v>607</v>
      </c>
      <c r="C35" s="18" t="s">
        <v>712</v>
      </c>
    </row>
    <row r="36" spans="2:3" x14ac:dyDescent="0.3">
      <c r="B36" t="s">
        <v>608</v>
      </c>
      <c r="C36" s="18" t="s">
        <v>713</v>
      </c>
    </row>
    <row r="37" spans="2:3" x14ac:dyDescent="0.3">
      <c r="B37" t="s">
        <v>609</v>
      </c>
      <c r="C37" s="18" t="s">
        <v>714</v>
      </c>
    </row>
    <row r="38" spans="2:3" x14ac:dyDescent="0.3">
      <c r="B38" t="s">
        <v>241</v>
      </c>
      <c r="C38" s="18" t="s">
        <v>715</v>
      </c>
    </row>
    <row r="39" spans="2:3" x14ac:dyDescent="0.3">
      <c r="B39" t="s">
        <v>222</v>
      </c>
      <c r="C39" s="18" t="s">
        <v>716</v>
      </c>
    </row>
    <row r="40" spans="2:3" x14ac:dyDescent="0.3">
      <c r="B40" t="s">
        <v>357</v>
      </c>
      <c r="C40" s="18" t="s">
        <v>717</v>
      </c>
    </row>
    <row r="41" spans="2:3" x14ac:dyDescent="0.3">
      <c r="B41" t="s">
        <v>260</v>
      </c>
      <c r="C41" s="18" t="s">
        <v>718</v>
      </c>
    </row>
    <row r="42" spans="2:3" x14ac:dyDescent="0.3">
      <c r="B42" t="s">
        <v>262</v>
      </c>
      <c r="C42" s="18" t="s">
        <v>719</v>
      </c>
    </row>
    <row r="43" spans="2:3" x14ac:dyDescent="0.3">
      <c r="B43" t="s">
        <v>264</v>
      </c>
      <c r="C43" s="18" t="s">
        <v>309</v>
      </c>
    </row>
    <row r="44" spans="2:3" x14ac:dyDescent="0.3">
      <c r="B44" t="s">
        <v>266</v>
      </c>
      <c r="C44" s="18" t="s">
        <v>776</v>
      </c>
    </row>
    <row r="45" spans="2:3" x14ac:dyDescent="0.3">
      <c r="B45" t="s">
        <v>610</v>
      </c>
      <c r="C45" s="18" t="s">
        <v>777</v>
      </c>
    </row>
    <row r="46" spans="2:3" x14ac:dyDescent="0.3">
      <c r="B46" t="s">
        <v>268</v>
      </c>
      <c r="C46" s="18" t="s">
        <v>778</v>
      </c>
    </row>
    <row r="47" spans="2:3" x14ac:dyDescent="0.3">
      <c r="B47" t="s">
        <v>611</v>
      </c>
      <c r="C47" s="18" t="s">
        <v>779</v>
      </c>
    </row>
    <row r="48" spans="2:3" x14ac:dyDescent="0.3">
      <c r="B48" t="s">
        <v>270</v>
      </c>
      <c r="C48" s="18" t="s">
        <v>780</v>
      </c>
    </row>
    <row r="49" spans="2:3" x14ac:dyDescent="0.3">
      <c r="B49" t="s">
        <v>1354</v>
      </c>
      <c r="C49" s="18" t="s">
        <v>187</v>
      </c>
    </row>
    <row r="50" spans="2:3" x14ac:dyDescent="0.3">
      <c r="B50" t="s">
        <v>620</v>
      </c>
      <c r="C50" t="s">
        <v>720</v>
      </c>
    </row>
    <row r="51" spans="2:3" x14ac:dyDescent="0.3">
      <c r="B51" t="s">
        <v>273</v>
      </c>
      <c r="C51" t="s">
        <v>721</v>
      </c>
    </row>
    <row r="52" spans="2:3" x14ac:dyDescent="0.3">
      <c r="B52" t="s">
        <v>274</v>
      </c>
      <c r="C52" t="s">
        <v>722</v>
      </c>
    </row>
    <row r="53" spans="2:3" x14ac:dyDescent="0.3">
      <c r="B53" t="s">
        <v>224</v>
      </c>
      <c r="C53" t="s">
        <v>781</v>
      </c>
    </row>
    <row r="54" spans="2:3" x14ac:dyDescent="0.3">
      <c r="B54" t="s">
        <v>237</v>
      </c>
      <c r="C54" t="s">
        <v>1107</v>
      </c>
    </row>
    <row r="55" spans="2:3" x14ac:dyDescent="0.3">
      <c r="B55" t="s">
        <v>1102</v>
      </c>
      <c r="C55" t="s">
        <v>1108</v>
      </c>
    </row>
    <row r="56" spans="2:3" x14ac:dyDescent="0.3">
      <c r="B56" t="s">
        <v>240</v>
      </c>
      <c r="C56" t="s">
        <v>723</v>
      </c>
    </row>
    <row r="57" spans="2:3" x14ac:dyDescent="0.3">
      <c r="B57" t="s">
        <v>244</v>
      </c>
      <c r="C57" t="s">
        <v>760</v>
      </c>
    </row>
    <row r="58" spans="2:3" x14ac:dyDescent="0.3">
      <c r="B58" t="s">
        <v>247</v>
      </c>
      <c r="C58" t="s">
        <v>782</v>
      </c>
    </row>
    <row r="59" spans="2:3" x14ac:dyDescent="0.3">
      <c r="B59" t="s">
        <v>250</v>
      </c>
      <c r="C59" t="s">
        <v>724</v>
      </c>
    </row>
    <row r="60" spans="2:3" x14ac:dyDescent="0.3">
      <c r="B60" t="s">
        <v>1355</v>
      </c>
      <c r="C60" t="s">
        <v>725</v>
      </c>
    </row>
    <row r="61" spans="2:3" x14ac:dyDescent="0.3">
      <c r="B61" t="s">
        <v>621</v>
      </c>
      <c r="C61" t="s">
        <v>783</v>
      </c>
    </row>
    <row r="62" spans="2:3" x14ac:dyDescent="0.3">
      <c r="B62" t="s">
        <v>622</v>
      </c>
      <c r="C62" t="s">
        <v>784</v>
      </c>
    </row>
    <row r="63" spans="2:3" x14ac:dyDescent="0.3">
      <c r="B63" t="s">
        <v>256</v>
      </c>
      <c r="C63" t="s">
        <v>785</v>
      </c>
    </row>
    <row r="64" spans="2:3" x14ac:dyDescent="0.3">
      <c r="B64" t="s">
        <v>623</v>
      </c>
      <c r="C64" t="s">
        <v>726</v>
      </c>
    </row>
    <row r="65" spans="2:3" x14ac:dyDescent="0.3">
      <c r="B65" t="s">
        <v>1046</v>
      </c>
      <c r="C65" t="s">
        <v>1047</v>
      </c>
    </row>
    <row r="66" spans="2:3" x14ac:dyDescent="0.3">
      <c r="B66" t="s">
        <v>1375</v>
      </c>
      <c r="C66" t="s">
        <v>1374</v>
      </c>
    </row>
    <row r="67" spans="2:3" x14ac:dyDescent="0.3">
      <c r="B67" t="s">
        <v>624</v>
      </c>
      <c r="C67" t="s">
        <v>286</v>
      </c>
    </row>
    <row r="68" spans="2:3" x14ac:dyDescent="0.3">
      <c r="B68" t="s">
        <v>625</v>
      </c>
      <c r="C68" t="s">
        <v>287</v>
      </c>
    </row>
    <row r="69" spans="2:3" x14ac:dyDescent="0.3">
      <c r="B69" t="s">
        <v>626</v>
      </c>
      <c r="C69" t="s">
        <v>727</v>
      </c>
    </row>
    <row r="70" spans="2:3" x14ac:dyDescent="0.3">
      <c r="B70" t="s">
        <v>627</v>
      </c>
      <c r="C70" t="s">
        <v>728</v>
      </c>
    </row>
    <row r="71" spans="2:3" x14ac:dyDescent="0.3">
      <c r="B71" t="s">
        <v>628</v>
      </c>
      <c r="C71" t="s">
        <v>729</v>
      </c>
    </row>
    <row r="72" spans="2:3" x14ac:dyDescent="0.3">
      <c r="B72" t="s">
        <v>629</v>
      </c>
      <c r="C72" t="s">
        <v>730</v>
      </c>
    </row>
    <row r="73" spans="2:3" x14ac:dyDescent="0.3">
      <c r="B73" t="s">
        <v>630</v>
      </c>
      <c r="C73" t="s">
        <v>731</v>
      </c>
    </row>
    <row r="74" spans="2:3" x14ac:dyDescent="0.3">
      <c r="B74" t="s">
        <v>631</v>
      </c>
      <c r="C74" t="s">
        <v>732</v>
      </c>
    </row>
    <row r="75" spans="2:3" x14ac:dyDescent="0.3">
      <c r="B75" t="s">
        <v>632</v>
      </c>
      <c r="C75" t="s">
        <v>1096</v>
      </c>
    </row>
    <row r="76" spans="2:3" x14ac:dyDescent="0.3">
      <c r="B76" t="s">
        <v>1097</v>
      </c>
      <c r="C76" t="s">
        <v>1095</v>
      </c>
    </row>
    <row r="77" spans="2:3" x14ac:dyDescent="0.3">
      <c r="B77" t="s">
        <v>633</v>
      </c>
      <c r="C77" t="s">
        <v>733</v>
      </c>
    </row>
    <row r="78" spans="2:3" x14ac:dyDescent="0.3">
      <c r="B78" t="s">
        <v>634</v>
      </c>
      <c r="C78" t="s">
        <v>296</v>
      </c>
    </row>
    <row r="79" spans="2:3" x14ac:dyDescent="0.3">
      <c r="B79" t="s">
        <v>635</v>
      </c>
      <c r="C79" t="s">
        <v>734</v>
      </c>
    </row>
    <row r="80" spans="2:3" x14ac:dyDescent="0.3">
      <c r="B80" t="s">
        <v>136</v>
      </c>
      <c r="C80" t="s">
        <v>735</v>
      </c>
    </row>
    <row r="81" spans="2:3" x14ac:dyDescent="0.3">
      <c r="B81" t="s">
        <v>636</v>
      </c>
      <c r="C81" t="s">
        <v>736</v>
      </c>
    </row>
    <row r="82" spans="2:3" x14ac:dyDescent="0.3">
      <c r="B82" t="s">
        <v>227</v>
      </c>
      <c r="C82" t="s">
        <v>299</v>
      </c>
    </row>
    <row r="83" spans="2:3" x14ac:dyDescent="0.3">
      <c r="B83" t="s">
        <v>234</v>
      </c>
      <c r="C83" t="s">
        <v>300</v>
      </c>
    </row>
    <row r="84" spans="2:3" x14ac:dyDescent="0.3">
      <c r="B84" t="s">
        <v>137</v>
      </c>
      <c r="C84" t="s">
        <v>301</v>
      </c>
    </row>
    <row r="85" spans="2:3" x14ac:dyDescent="0.3">
      <c r="B85" t="s">
        <v>1356</v>
      </c>
      <c r="C85" t="s">
        <v>737</v>
      </c>
    </row>
    <row r="86" spans="2:3" x14ac:dyDescent="0.3">
      <c r="B86" t="s">
        <v>637</v>
      </c>
      <c r="C86" t="s">
        <v>738</v>
      </c>
    </row>
    <row r="87" spans="2:3" x14ac:dyDescent="0.3">
      <c r="B87" t="s">
        <v>638</v>
      </c>
      <c r="C87" t="s">
        <v>739</v>
      </c>
    </row>
    <row r="88" spans="2:3" x14ac:dyDescent="0.3">
      <c r="B88" t="s">
        <v>639</v>
      </c>
      <c r="C88" t="s">
        <v>740</v>
      </c>
    </row>
    <row r="89" spans="2:3" x14ac:dyDescent="0.3">
      <c r="B89" t="s">
        <v>640</v>
      </c>
      <c r="C89" t="s">
        <v>741</v>
      </c>
    </row>
    <row r="90" spans="2:3" x14ac:dyDescent="0.3">
      <c r="B90" t="s">
        <v>641</v>
      </c>
      <c r="C90" t="s">
        <v>742</v>
      </c>
    </row>
    <row r="91" spans="2:3" x14ac:dyDescent="0.3">
      <c r="B91" t="s">
        <v>642</v>
      </c>
      <c r="C91" t="s">
        <v>743</v>
      </c>
    </row>
    <row r="92" spans="2:3" x14ac:dyDescent="0.3">
      <c r="B92" t="s">
        <v>643</v>
      </c>
      <c r="C92" t="s">
        <v>744</v>
      </c>
    </row>
    <row r="93" spans="2:3" x14ac:dyDescent="0.3">
      <c r="B93" t="s">
        <v>139</v>
      </c>
      <c r="C93" t="s">
        <v>745</v>
      </c>
    </row>
    <row r="94" spans="2:3" x14ac:dyDescent="0.3">
      <c r="B94" t="s">
        <v>140</v>
      </c>
      <c r="C94" t="s">
        <v>212</v>
      </c>
    </row>
    <row r="95" spans="2:3" x14ac:dyDescent="0.3">
      <c r="B95" t="s">
        <v>644</v>
      </c>
      <c r="C95" t="s">
        <v>746</v>
      </c>
    </row>
    <row r="96" spans="2:3" x14ac:dyDescent="0.3">
      <c r="B96" t="s">
        <v>645</v>
      </c>
      <c r="C96" t="s">
        <v>747</v>
      </c>
    </row>
    <row r="97" spans="2:3" x14ac:dyDescent="0.3">
      <c r="B97" t="s">
        <v>646</v>
      </c>
      <c r="C97" t="s">
        <v>748</v>
      </c>
    </row>
    <row r="98" spans="2:3" x14ac:dyDescent="0.3">
      <c r="B98" t="s">
        <v>647</v>
      </c>
      <c r="C98" t="s">
        <v>749</v>
      </c>
    </row>
    <row r="99" spans="2:3" x14ac:dyDescent="0.3">
      <c r="B99" t="s">
        <v>141</v>
      </c>
      <c r="C99" t="s">
        <v>750</v>
      </c>
    </row>
    <row r="100" spans="2:3" x14ac:dyDescent="0.3">
      <c r="B100" t="s">
        <v>226</v>
      </c>
      <c r="C100" t="s">
        <v>1357</v>
      </c>
    </row>
    <row r="101" spans="2:3" x14ac:dyDescent="0.3">
      <c r="B101" t="s">
        <v>358</v>
      </c>
      <c r="C101" t="s">
        <v>751</v>
      </c>
    </row>
    <row r="102" spans="2:3" x14ac:dyDescent="0.3">
      <c r="B102" t="s">
        <v>261</v>
      </c>
      <c r="C102" t="s">
        <v>752</v>
      </c>
    </row>
    <row r="103" spans="2:3" x14ac:dyDescent="0.3">
      <c r="B103" t="s">
        <v>263</v>
      </c>
      <c r="C103" t="s">
        <v>753</v>
      </c>
    </row>
    <row r="104" spans="2:3" x14ac:dyDescent="0.3">
      <c r="B104" t="s">
        <v>265</v>
      </c>
      <c r="C104" t="s">
        <v>309</v>
      </c>
    </row>
    <row r="105" spans="2:3" x14ac:dyDescent="0.3">
      <c r="B105" t="s">
        <v>267</v>
      </c>
      <c r="C105" t="s">
        <v>754</v>
      </c>
    </row>
    <row r="106" spans="2:3" x14ac:dyDescent="0.3">
      <c r="B106" t="s">
        <v>649</v>
      </c>
      <c r="C106" t="s">
        <v>786</v>
      </c>
    </row>
    <row r="107" spans="2:3" x14ac:dyDescent="0.3">
      <c r="B107" t="s">
        <v>269</v>
      </c>
      <c r="C107" t="s">
        <v>787</v>
      </c>
    </row>
    <row r="108" spans="2:3" x14ac:dyDescent="0.3">
      <c r="B108" t="s">
        <v>650</v>
      </c>
      <c r="C108" t="s">
        <v>788</v>
      </c>
    </row>
    <row r="109" spans="2:3" x14ac:dyDescent="0.3">
      <c r="B109" t="s">
        <v>144</v>
      </c>
      <c r="C109" t="s">
        <v>789</v>
      </c>
    </row>
    <row r="110" spans="2:3" x14ac:dyDescent="0.3">
      <c r="B110" t="s">
        <v>166</v>
      </c>
      <c r="C110" t="s">
        <v>755</v>
      </c>
    </row>
    <row r="111" spans="2:3" x14ac:dyDescent="0.3">
      <c r="B111" t="s">
        <v>145</v>
      </c>
      <c r="C111" t="s">
        <v>336</v>
      </c>
    </row>
    <row r="112" spans="2:3" x14ac:dyDescent="0.3">
      <c r="B112" t="s">
        <v>146</v>
      </c>
      <c r="C112" t="s">
        <v>756</v>
      </c>
    </row>
    <row r="113" spans="2:3" x14ac:dyDescent="0.3">
      <c r="B113" t="s">
        <v>147</v>
      </c>
      <c r="C113" t="s">
        <v>188</v>
      </c>
    </row>
    <row r="114" spans="2:3" x14ac:dyDescent="0.3">
      <c r="B114" t="s">
        <v>148</v>
      </c>
      <c r="C114" t="s">
        <v>781</v>
      </c>
    </row>
    <row r="115" spans="2:3" x14ac:dyDescent="0.3">
      <c r="B115" t="s">
        <v>150</v>
      </c>
      <c r="C115" t="s">
        <v>757</v>
      </c>
    </row>
    <row r="116" spans="2:3" x14ac:dyDescent="0.3">
      <c r="B116" t="s">
        <v>151</v>
      </c>
      <c r="C116" t="s">
        <v>758</v>
      </c>
    </row>
    <row r="117" spans="2:3" x14ac:dyDescent="0.3">
      <c r="B117" t="s">
        <v>152</v>
      </c>
      <c r="C117" t="s">
        <v>759</v>
      </c>
    </row>
    <row r="118" spans="2:3" x14ac:dyDescent="0.3">
      <c r="B118" t="s">
        <v>153</v>
      </c>
      <c r="C118" t="s">
        <v>790</v>
      </c>
    </row>
    <row r="119" spans="2:3" x14ac:dyDescent="0.3">
      <c r="B119" t="s">
        <v>154</v>
      </c>
      <c r="C119" t="s">
        <v>724</v>
      </c>
    </row>
    <row r="120" spans="2:3" x14ac:dyDescent="0.3">
      <c r="B120" t="s">
        <v>1358</v>
      </c>
      <c r="C120" t="s">
        <v>791</v>
      </c>
    </row>
    <row r="121" spans="2:3" x14ac:dyDescent="0.3">
      <c r="B121" t="s">
        <v>651</v>
      </c>
      <c r="C121" t="s">
        <v>783</v>
      </c>
    </row>
    <row r="122" spans="2:3" x14ac:dyDescent="0.3">
      <c r="B122" t="s">
        <v>652</v>
      </c>
      <c r="C122" t="s">
        <v>784</v>
      </c>
    </row>
    <row r="123" spans="2:3" x14ac:dyDescent="0.3">
      <c r="B123" t="s">
        <v>156</v>
      </c>
      <c r="C123" t="s">
        <v>785</v>
      </c>
    </row>
    <row r="124" spans="2:3" x14ac:dyDescent="0.3">
      <c r="B124" s="21" t="s">
        <v>653</v>
      </c>
      <c r="C124" t="s">
        <v>726</v>
      </c>
    </row>
    <row r="125" spans="2:3" x14ac:dyDescent="0.3">
      <c r="B125" s="21" t="s">
        <v>1048</v>
      </c>
      <c r="C125" t="s">
        <v>1047</v>
      </c>
    </row>
    <row r="126" spans="2:3" x14ac:dyDescent="0.3">
      <c r="B126" t="s">
        <v>1373</v>
      </c>
      <c r="C126" t="s">
        <v>1374</v>
      </c>
    </row>
    <row r="127" spans="2:3" x14ac:dyDescent="0.3">
      <c r="B127" s="21" t="s">
        <v>654</v>
      </c>
      <c r="C127" t="s">
        <v>763</v>
      </c>
    </row>
    <row r="128" spans="2:3" x14ac:dyDescent="0.3">
      <c r="B128" s="21" t="s">
        <v>655</v>
      </c>
      <c r="C128" t="s">
        <v>764</v>
      </c>
    </row>
    <row r="129" spans="2:3" x14ac:dyDescent="0.3">
      <c r="B129" t="s">
        <v>656</v>
      </c>
      <c r="C129" t="s">
        <v>765</v>
      </c>
    </row>
    <row r="130" spans="2:3" x14ac:dyDescent="0.3">
      <c r="B130" s="21" t="s">
        <v>159</v>
      </c>
      <c r="C130" t="s">
        <v>35</v>
      </c>
    </row>
    <row r="131" spans="2:3" x14ac:dyDescent="0.3">
      <c r="B131" s="4" t="s">
        <v>929</v>
      </c>
      <c r="C131" t="s">
        <v>1128</v>
      </c>
    </row>
    <row r="132" spans="2:3" x14ac:dyDescent="0.3">
      <c r="B132" s="4" t="s">
        <v>930</v>
      </c>
      <c r="C132" t="s">
        <v>1129</v>
      </c>
    </row>
    <row r="133" spans="2:3" x14ac:dyDescent="0.3">
      <c r="B133" s="4" t="s">
        <v>931</v>
      </c>
      <c r="C133" t="s">
        <v>1130</v>
      </c>
    </row>
    <row r="134" spans="2:3" x14ac:dyDescent="0.3">
      <c r="B134" s="4" t="s">
        <v>932</v>
      </c>
      <c r="C134" t="s">
        <v>1131</v>
      </c>
    </row>
    <row r="135" spans="2:3" x14ac:dyDescent="0.3">
      <c r="B135" s="4" t="s">
        <v>933</v>
      </c>
      <c r="C135" t="s">
        <v>1132</v>
      </c>
    </row>
    <row r="136" spans="2:3" x14ac:dyDescent="0.3">
      <c r="B136" s="4" t="s">
        <v>934</v>
      </c>
      <c r="C136" t="s">
        <v>1133</v>
      </c>
    </row>
    <row r="137" spans="2:3" x14ac:dyDescent="0.3">
      <c r="B137" s="4" t="s">
        <v>935</v>
      </c>
      <c r="C137" t="s">
        <v>1134</v>
      </c>
    </row>
    <row r="138" spans="2:3" x14ac:dyDescent="0.3">
      <c r="B138" s="4" t="s">
        <v>936</v>
      </c>
      <c r="C138" t="s">
        <v>1135</v>
      </c>
    </row>
    <row r="139" spans="2:3" x14ac:dyDescent="0.3">
      <c r="B139" s="4" t="s">
        <v>937</v>
      </c>
      <c r="C139" t="s">
        <v>1136</v>
      </c>
    </row>
    <row r="140" spans="2:3" x14ac:dyDescent="0.3">
      <c r="B140" s="4" t="s">
        <v>938</v>
      </c>
      <c r="C140" t="s">
        <v>1137</v>
      </c>
    </row>
    <row r="141" spans="2:3" x14ac:dyDescent="0.3">
      <c r="B141" s="4" t="s">
        <v>939</v>
      </c>
      <c r="C141" t="s">
        <v>1138</v>
      </c>
    </row>
    <row r="142" spans="2:3" x14ac:dyDescent="0.3">
      <c r="B142" s="4" t="s">
        <v>940</v>
      </c>
      <c r="C142" t="s">
        <v>1139</v>
      </c>
    </row>
    <row r="143" spans="2:3" x14ac:dyDescent="0.3">
      <c r="B143" s="4" t="s">
        <v>941</v>
      </c>
      <c r="C143" t="s">
        <v>1140</v>
      </c>
    </row>
    <row r="144" spans="2:3" x14ac:dyDescent="0.3">
      <c r="B144" s="4" t="s">
        <v>942</v>
      </c>
      <c r="C144" t="s">
        <v>1141</v>
      </c>
    </row>
    <row r="145" spans="2:3" x14ac:dyDescent="0.3">
      <c r="B145" s="4" t="s">
        <v>943</v>
      </c>
      <c r="C145" t="s">
        <v>1142</v>
      </c>
    </row>
    <row r="146" spans="2:3" x14ac:dyDescent="0.3">
      <c r="B146" s="4" t="s">
        <v>944</v>
      </c>
      <c r="C146" t="s">
        <v>1143</v>
      </c>
    </row>
    <row r="147" spans="2:3" x14ac:dyDescent="0.3">
      <c r="B147" s="4" t="s">
        <v>945</v>
      </c>
      <c r="C147" t="s">
        <v>1144</v>
      </c>
    </row>
    <row r="148" spans="2:3" x14ac:dyDescent="0.3">
      <c r="B148" s="4" t="s">
        <v>946</v>
      </c>
      <c r="C148" t="s">
        <v>1145</v>
      </c>
    </row>
    <row r="149" spans="2:3" x14ac:dyDescent="0.3">
      <c r="B149" t="s">
        <v>1125</v>
      </c>
      <c r="C149" t="s">
        <v>1127</v>
      </c>
    </row>
    <row r="150" spans="2:3" x14ac:dyDescent="0.3">
      <c r="B150" t="s">
        <v>657</v>
      </c>
      <c r="C150" t="s">
        <v>795</v>
      </c>
    </row>
    <row r="151" spans="2:3" x14ac:dyDescent="0.3">
      <c r="B151" t="s">
        <v>658</v>
      </c>
      <c r="C151" t="s">
        <v>761</v>
      </c>
    </row>
    <row r="152" spans="2:3" x14ac:dyDescent="0.3">
      <c r="B152" t="s">
        <v>659</v>
      </c>
      <c r="C152" t="s">
        <v>796</v>
      </c>
    </row>
    <row r="153" spans="2:3" x14ac:dyDescent="0.3">
      <c r="B153" t="s">
        <v>660</v>
      </c>
      <c r="C153" t="s">
        <v>799</v>
      </c>
    </row>
    <row r="154" spans="2:3" x14ac:dyDescent="0.3">
      <c r="B154" t="s">
        <v>661</v>
      </c>
      <c r="C154" t="s">
        <v>793</v>
      </c>
    </row>
    <row r="155" spans="2:3" x14ac:dyDescent="0.3">
      <c r="B155" t="s">
        <v>1253</v>
      </c>
      <c r="C155" t="s">
        <v>1257</v>
      </c>
    </row>
    <row r="156" spans="2:3" x14ac:dyDescent="0.3">
      <c r="B156" t="s">
        <v>1271</v>
      </c>
      <c r="C156" t="s">
        <v>1258</v>
      </c>
    </row>
    <row r="157" spans="2:3" x14ac:dyDescent="0.3">
      <c r="B157" t="s">
        <v>1254</v>
      </c>
      <c r="C157" t="s">
        <v>1259</v>
      </c>
    </row>
    <row r="158" spans="2:3" x14ac:dyDescent="0.3">
      <c r="B158" t="s">
        <v>1255</v>
      </c>
      <c r="C158" t="s">
        <v>1260</v>
      </c>
    </row>
    <row r="159" spans="2:3" x14ac:dyDescent="0.3">
      <c r="B159" t="s">
        <v>1256</v>
      </c>
      <c r="C159" t="s">
        <v>1261</v>
      </c>
    </row>
    <row r="160" spans="2:3" x14ac:dyDescent="0.3">
      <c r="B160" t="s">
        <v>1262</v>
      </c>
      <c r="C160" t="s">
        <v>1266</v>
      </c>
    </row>
    <row r="161" spans="2:3" x14ac:dyDescent="0.3">
      <c r="B161" t="s">
        <v>1306</v>
      </c>
      <c r="C161" t="s">
        <v>1267</v>
      </c>
    </row>
    <row r="162" spans="2:3" x14ac:dyDescent="0.3">
      <c r="B162" t="s">
        <v>1263</v>
      </c>
      <c r="C162" t="s">
        <v>1268</v>
      </c>
    </row>
    <row r="163" spans="2:3" x14ac:dyDescent="0.3">
      <c r="B163" t="s">
        <v>1264</v>
      </c>
      <c r="C163" t="s">
        <v>1269</v>
      </c>
    </row>
    <row r="164" spans="2:3" x14ac:dyDescent="0.3">
      <c r="B164" t="s">
        <v>1265</v>
      </c>
      <c r="C164" t="s">
        <v>1270</v>
      </c>
    </row>
    <row r="165" spans="2:3" x14ac:dyDescent="0.3">
      <c r="B165" t="s">
        <v>1078</v>
      </c>
      <c r="C165" t="s">
        <v>1082</v>
      </c>
    </row>
    <row r="166" spans="2:3" x14ac:dyDescent="0.3">
      <c r="B166" t="s">
        <v>1079</v>
      </c>
      <c r="C166" t="s">
        <v>1083</v>
      </c>
    </row>
    <row r="167" spans="2:3" x14ac:dyDescent="0.3">
      <c r="B167" t="s">
        <v>1080</v>
      </c>
      <c r="C167" t="s">
        <v>1084</v>
      </c>
    </row>
    <row r="168" spans="2:3" x14ac:dyDescent="0.3">
      <c r="B168" t="s">
        <v>1081</v>
      </c>
      <c r="C168" t="s">
        <v>1085</v>
      </c>
    </row>
    <row r="169" spans="2:3" x14ac:dyDescent="0.3">
      <c r="B169" t="s">
        <v>161</v>
      </c>
      <c r="C169" t="s">
        <v>1</v>
      </c>
    </row>
    <row r="170" spans="2:3" x14ac:dyDescent="0.3">
      <c r="B170" t="s">
        <v>353</v>
      </c>
      <c r="C170" t="s">
        <v>762</v>
      </c>
    </row>
    <row r="171" spans="2:3" x14ac:dyDescent="0.3">
      <c r="B171" t="s">
        <v>662</v>
      </c>
      <c r="C171" t="s">
        <v>205</v>
      </c>
    </row>
    <row r="172" spans="2:3" x14ac:dyDescent="0.3">
      <c r="B172" t="s">
        <v>127</v>
      </c>
      <c r="C172" t="s">
        <v>2</v>
      </c>
    </row>
    <row r="173" spans="2:3" x14ac:dyDescent="0.3">
      <c r="B173" t="s">
        <v>160</v>
      </c>
      <c r="C173" t="s">
        <v>37</v>
      </c>
    </row>
    <row r="174" spans="2:3" x14ac:dyDescent="0.3">
      <c r="B174" t="s">
        <v>213</v>
      </c>
      <c r="C174" t="s">
        <v>766</v>
      </c>
    </row>
    <row r="175" spans="2:3" x14ac:dyDescent="0.3">
      <c r="B175" t="s">
        <v>134</v>
      </c>
      <c r="C175" t="s">
        <v>767</v>
      </c>
    </row>
    <row r="176" spans="2:3" x14ac:dyDescent="0.3">
      <c r="B176" s="4" t="s">
        <v>871</v>
      </c>
      <c r="C176" t="s">
        <v>797</v>
      </c>
    </row>
    <row r="177" spans="2:3" x14ac:dyDescent="0.3">
      <c r="B177" s="4" t="s">
        <v>872</v>
      </c>
      <c r="C177" t="s">
        <v>792</v>
      </c>
    </row>
    <row r="178" spans="2:3" x14ac:dyDescent="0.3">
      <c r="B178" s="4" t="s">
        <v>873</v>
      </c>
      <c r="C178" t="s">
        <v>798</v>
      </c>
    </row>
    <row r="179" spans="2:3" x14ac:dyDescent="0.3">
      <c r="B179" s="4" t="s">
        <v>874</v>
      </c>
      <c r="C179" t="s">
        <v>800</v>
      </c>
    </row>
    <row r="180" spans="2:3" x14ac:dyDescent="0.3">
      <c r="B180" s="4" t="s">
        <v>875</v>
      </c>
      <c r="C180" t="s">
        <v>794</v>
      </c>
    </row>
    <row r="181" spans="2:3" x14ac:dyDescent="0.3">
      <c r="B181" t="s">
        <v>1281</v>
      </c>
      <c r="C181" t="s">
        <v>1309</v>
      </c>
    </row>
    <row r="182" spans="2:3" x14ac:dyDescent="0.3">
      <c r="B182" t="s">
        <v>1282</v>
      </c>
      <c r="C182" t="s">
        <v>1272</v>
      </c>
    </row>
    <row r="183" spans="2:3" x14ac:dyDescent="0.3">
      <c r="B183" t="s">
        <v>1283</v>
      </c>
      <c r="C183" t="s">
        <v>1273</v>
      </c>
    </row>
    <row r="184" spans="2:3" x14ac:dyDescent="0.3">
      <c r="B184" t="s">
        <v>1284</v>
      </c>
      <c r="C184" t="s">
        <v>1274</v>
      </c>
    </row>
    <row r="185" spans="2:3" x14ac:dyDescent="0.3">
      <c r="B185" t="s">
        <v>1285</v>
      </c>
      <c r="C185" t="s">
        <v>1275</v>
      </c>
    </row>
    <row r="186" spans="2:3" x14ac:dyDescent="0.3">
      <c r="B186" t="s">
        <v>1286</v>
      </c>
      <c r="C186" t="s">
        <v>1276</v>
      </c>
    </row>
    <row r="187" spans="2:3" x14ac:dyDescent="0.3">
      <c r="B187" t="s">
        <v>1308</v>
      </c>
      <c r="C187" t="s">
        <v>1277</v>
      </c>
    </row>
    <row r="188" spans="2:3" x14ac:dyDescent="0.3">
      <c r="B188" t="s">
        <v>1287</v>
      </c>
      <c r="C188" t="s">
        <v>1278</v>
      </c>
    </row>
    <row r="189" spans="2:3" x14ac:dyDescent="0.3">
      <c r="B189" t="s">
        <v>1288</v>
      </c>
      <c r="C189" t="s">
        <v>1279</v>
      </c>
    </row>
    <row r="190" spans="2:3" x14ac:dyDescent="0.3">
      <c r="B190" t="s">
        <v>1289</v>
      </c>
      <c r="C190" t="s">
        <v>1280</v>
      </c>
    </row>
    <row r="191" spans="2:3" x14ac:dyDescent="0.3">
      <c r="B191" t="s">
        <v>1070</v>
      </c>
      <c r="C191" t="s">
        <v>1165</v>
      </c>
    </row>
    <row r="192" spans="2:3" x14ac:dyDescent="0.3">
      <c r="B192" t="s">
        <v>1071</v>
      </c>
      <c r="C192" t="s">
        <v>1166</v>
      </c>
    </row>
    <row r="193" spans="2:3" x14ac:dyDescent="0.3">
      <c r="B193" t="s">
        <v>1072</v>
      </c>
      <c r="C193" t="s">
        <v>1167</v>
      </c>
    </row>
    <row r="194" spans="2:3" x14ac:dyDescent="0.3">
      <c r="B194" t="s">
        <v>1073</v>
      </c>
      <c r="C194" t="s">
        <v>1168</v>
      </c>
    </row>
    <row r="195" spans="2:3" x14ac:dyDescent="0.3">
      <c r="B195" s="4" t="s">
        <v>185</v>
      </c>
      <c r="C195" t="s">
        <v>769</v>
      </c>
    </row>
    <row r="196" spans="2:3" x14ac:dyDescent="0.3">
      <c r="B196" s="4" t="s">
        <v>184</v>
      </c>
      <c r="C196" t="s">
        <v>768</v>
      </c>
    </row>
    <row r="197" spans="2:3" x14ac:dyDescent="0.3">
      <c r="B197" s="4" t="s">
        <v>981</v>
      </c>
      <c r="C197" t="s">
        <v>1146</v>
      </c>
    </row>
    <row r="198" spans="2:3" x14ac:dyDescent="0.3">
      <c r="B198" s="4" t="s">
        <v>964</v>
      </c>
      <c r="C198" t="s">
        <v>1147</v>
      </c>
    </row>
    <row r="199" spans="2:3" x14ac:dyDescent="0.3">
      <c r="B199" s="4" t="s">
        <v>965</v>
      </c>
      <c r="C199" t="s">
        <v>1148</v>
      </c>
    </row>
    <row r="200" spans="2:3" x14ac:dyDescent="0.3">
      <c r="B200" s="4" t="s">
        <v>966</v>
      </c>
      <c r="C200" t="s">
        <v>1149</v>
      </c>
    </row>
    <row r="201" spans="2:3" x14ac:dyDescent="0.3">
      <c r="B201" s="4" t="s">
        <v>967</v>
      </c>
      <c r="C201" t="s">
        <v>1150</v>
      </c>
    </row>
    <row r="202" spans="2:3" x14ac:dyDescent="0.3">
      <c r="B202" s="4" t="s">
        <v>968</v>
      </c>
      <c r="C202" t="s">
        <v>1151</v>
      </c>
    </row>
    <row r="203" spans="2:3" x14ac:dyDescent="0.3">
      <c r="B203" s="4" t="s">
        <v>969</v>
      </c>
      <c r="C203" t="s">
        <v>1152</v>
      </c>
    </row>
    <row r="204" spans="2:3" x14ac:dyDescent="0.3">
      <c r="B204" s="4" t="s">
        <v>970</v>
      </c>
      <c r="C204" t="s">
        <v>1153</v>
      </c>
    </row>
    <row r="205" spans="2:3" x14ac:dyDescent="0.3">
      <c r="B205" s="4" t="s">
        <v>971</v>
      </c>
      <c r="C205" t="s">
        <v>1154</v>
      </c>
    </row>
    <row r="206" spans="2:3" x14ac:dyDescent="0.3">
      <c r="B206" s="4" t="s">
        <v>972</v>
      </c>
      <c r="C206" t="s">
        <v>1155</v>
      </c>
    </row>
    <row r="207" spans="2:3" x14ac:dyDescent="0.3">
      <c r="B207" s="4" t="s">
        <v>973</v>
      </c>
      <c r="C207" t="s">
        <v>1156</v>
      </c>
    </row>
    <row r="208" spans="2:3" x14ac:dyDescent="0.3">
      <c r="B208" s="4" t="s">
        <v>974</v>
      </c>
      <c r="C208" t="s">
        <v>1157</v>
      </c>
    </row>
    <row r="209" spans="2:3" x14ac:dyDescent="0.3">
      <c r="B209" s="4" t="s">
        <v>975</v>
      </c>
      <c r="C209" t="s">
        <v>1158</v>
      </c>
    </row>
    <row r="210" spans="2:3" x14ac:dyDescent="0.3">
      <c r="B210" s="4" t="s">
        <v>976</v>
      </c>
      <c r="C210" t="s">
        <v>1159</v>
      </c>
    </row>
    <row r="211" spans="2:3" x14ac:dyDescent="0.3">
      <c r="B211" s="4" t="s">
        <v>977</v>
      </c>
      <c r="C211" t="s">
        <v>1160</v>
      </c>
    </row>
    <row r="212" spans="2:3" x14ac:dyDescent="0.3">
      <c r="B212" s="4" t="s">
        <v>978</v>
      </c>
      <c r="C212" t="s">
        <v>1161</v>
      </c>
    </row>
    <row r="213" spans="2:3" x14ac:dyDescent="0.3">
      <c r="B213" s="4" t="s">
        <v>979</v>
      </c>
      <c r="C213" t="s">
        <v>1162</v>
      </c>
    </row>
    <row r="214" spans="2:3" x14ac:dyDescent="0.3">
      <c r="B214" s="4" t="s">
        <v>980</v>
      </c>
      <c r="C214" t="s">
        <v>1163</v>
      </c>
    </row>
    <row r="215" spans="2:3" x14ac:dyDescent="0.3">
      <c r="B215" s="4" t="s">
        <v>1126</v>
      </c>
      <c r="C215" t="s">
        <v>1164</v>
      </c>
    </row>
    <row r="216" spans="2:3" x14ac:dyDescent="0.3">
      <c r="B216" s="4" t="s">
        <v>186</v>
      </c>
      <c r="C216" t="s">
        <v>770</v>
      </c>
    </row>
    <row r="217" spans="2:3" x14ac:dyDescent="0.3">
      <c r="B217" t="s">
        <v>868</v>
      </c>
      <c r="C217" t="s">
        <v>771</v>
      </c>
    </row>
    <row r="218" spans="2:3" x14ac:dyDescent="0.3">
      <c r="B218" t="s">
        <v>869</v>
      </c>
      <c r="C218" t="s">
        <v>772</v>
      </c>
    </row>
    <row r="219" spans="2:3" x14ac:dyDescent="0.3">
      <c r="B219" t="s">
        <v>163</v>
      </c>
      <c r="C219" t="s">
        <v>773</v>
      </c>
    </row>
    <row r="220" spans="2:3" x14ac:dyDescent="0.3">
      <c r="B220" t="s">
        <v>164</v>
      </c>
      <c r="C220" t="s">
        <v>774</v>
      </c>
    </row>
    <row r="221" spans="2:3" x14ac:dyDescent="0.3">
      <c r="B221" t="s">
        <v>870</v>
      </c>
      <c r="C221" t="s">
        <v>802</v>
      </c>
    </row>
    <row r="222" spans="2:3" x14ac:dyDescent="0.3">
      <c r="B222" t="s">
        <v>228</v>
      </c>
      <c r="C222" t="s">
        <v>801</v>
      </c>
    </row>
    <row r="223" spans="2:3" x14ac:dyDescent="0.3">
      <c r="B223" t="s">
        <v>165</v>
      </c>
      <c r="C223" t="s">
        <v>775</v>
      </c>
    </row>
    <row r="224" spans="2:3" x14ac:dyDescent="0.3">
      <c r="B224" t="s">
        <v>337</v>
      </c>
      <c r="C224" t="s">
        <v>803</v>
      </c>
    </row>
    <row r="225" spans="2:3" x14ac:dyDescent="0.3">
      <c r="B225" t="s">
        <v>338</v>
      </c>
      <c r="C225" t="s">
        <v>804</v>
      </c>
    </row>
    <row r="226" spans="2:3" x14ac:dyDescent="0.3">
      <c r="B226" t="s">
        <v>676</v>
      </c>
      <c r="C226" t="s">
        <v>805</v>
      </c>
    </row>
    <row r="227" spans="2:3" x14ac:dyDescent="0.3">
      <c r="B227" t="s">
        <v>674</v>
      </c>
      <c r="C227" t="s">
        <v>806</v>
      </c>
    </row>
    <row r="228" spans="2:3" x14ac:dyDescent="0.3">
      <c r="B228" t="s">
        <v>282</v>
      </c>
      <c r="C228" t="s">
        <v>807</v>
      </c>
    </row>
    <row r="229" spans="2:3" x14ac:dyDescent="0.3">
      <c r="B229" t="s">
        <v>680</v>
      </c>
      <c r="C229" t="s">
        <v>808</v>
      </c>
    </row>
    <row r="230" spans="2:3" x14ac:dyDescent="0.3">
      <c r="B230" t="s">
        <v>681</v>
      </c>
      <c r="C230" t="s">
        <v>809</v>
      </c>
    </row>
    <row r="231" spans="2:3" x14ac:dyDescent="0.3">
      <c r="B231" t="s">
        <v>677</v>
      </c>
      <c r="C231" t="s">
        <v>810</v>
      </c>
    </row>
    <row r="232" spans="2:3" x14ac:dyDescent="0.3">
      <c r="B232" t="s">
        <v>675</v>
      </c>
      <c r="C232" t="s">
        <v>811</v>
      </c>
    </row>
    <row r="233" spans="2:3" x14ac:dyDescent="0.3">
      <c r="B233" t="s">
        <v>339</v>
      </c>
      <c r="C233" t="s">
        <v>812</v>
      </c>
    </row>
    <row r="234" spans="2:3" x14ac:dyDescent="0.3">
      <c r="B234" t="s">
        <v>682</v>
      </c>
      <c r="C234" t="s">
        <v>813</v>
      </c>
    </row>
    <row r="235" spans="2:3" x14ac:dyDescent="0.3">
      <c r="B235" t="s">
        <v>683</v>
      </c>
      <c r="C235" t="s">
        <v>814</v>
      </c>
    </row>
    <row r="236" spans="2:3" x14ac:dyDescent="0.3">
      <c r="B236" t="s">
        <v>340</v>
      </c>
      <c r="C236" t="s">
        <v>815</v>
      </c>
    </row>
    <row r="237" spans="2:3" x14ac:dyDescent="0.3">
      <c r="B237" t="s">
        <v>341</v>
      </c>
      <c r="C237" t="s">
        <v>816</v>
      </c>
    </row>
    <row r="238" spans="2:3" x14ac:dyDescent="0.3">
      <c r="B238" t="s">
        <v>343</v>
      </c>
    </row>
    <row r="239" spans="2:3" x14ac:dyDescent="0.3">
      <c r="B239" t="s">
        <v>663</v>
      </c>
    </row>
    <row r="240" spans="2:3" x14ac:dyDescent="0.3">
      <c r="B240" t="s">
        <v>664</v>
      </c>
    </row>
    <row r="241" spans="2:2" x14ac:dyDescent="0.3">
      <c r="B241" t="s">
        <v>665</v>
      </c>
    </row>
    <row r="242" spans="2:2" x14ac:dyDescent="0.3">
      <c r="B242" t="s">
        <v>666</v>
      </c>
    </row>
    <row r="243" spans="2:2" x14ac:dyDescent="0.3">
      <c r="B243" t="s">
        <v>667</v>
      </c>
    </row>
    <row r="244" spans="2:2" x14ac:dyDescent="0.3">
      <c r="B244" t="s">
        <v>668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AC399"/>
  <sheetViews>
    <sheetView topLeftCell="A61" workbookViewId="0">
      <selection activeCell="N66" sqref="N66"/>
    </sheetView>
  </sheetViews>
  <sheetFormatPr baseColWidth="10" defaultColWidth="8.88671875" defaultRowHeight="14.4" x14ac:dyDescent="0.3"/>
  <cols>
    <col min="2" max="2" width="12.88671875" bestFit="1" customWidth="1"/>
    <col min="5" max="5" width="12.5546875" bestFit="1" customWidth="1"/>
    <col min="6" max="6" width="13.44140625" bestFit="1" customWidth="1"/>
    <col min="7" max="7" width="20.33203125" customWidth="1"/>
    <col min="8" max="8" width="12.5546875" bestFit="1" customWidth="1"/>
    <col min="9" max="9" width="13.44140625" bestFit="1" customWidth="1"/>
    <col min="11" max="11" width="22.77734375" customWidth="1"/>
    <col min="15" max="15" width="21.33203125" customWidth="1"/>
  </cols>
  <sheetData>
    <row r="1" spans="1:29" s="9" customFormat="1" ht="13.2" x14ac:dyDescent="0.25">
      <c r="A1" s="8" t="s">
        <v>108</v>
      </c>
    </row>
    <row r="2" spans="1:29" s="9" customFormat="1" ht="13.2" x14ac:dyDescent="0.25">
      <c r="A2" s="13" t="str">
        <f>+A5</f>
        <v>mapaGTAP</v>
      </c>
      <c r="B2" s="13">
        <f t="shared" ref="B2:N2" si="0">+B5</f>
        <v>0</v>
      </c>
      <c r="C2" s="13">
        <f t="shared" si="0"/>
        <v>0</v>
      </c>
      <c r="D2" s="13" t="str">
        <f t="shared" si="0"/>
        <v>mapcGTAP</v>
      </c>
      <c r="E2" s="13">
        <f t="shared" si="0"/>
        <v>0</v>
      </c>
      <c r="F2" s="13">
        <f t="shared" si="0"/>
        <v>0</v>
      </c>
      <c r="G2" s="13" t="str">
        <f t="shared" si="0"/>
        <v>mapis</v>
      </c>
      <c r="H2" s="13">
        <f t="shared" si="0"/>
        <v>0</v>
      </c>
      <c r="I2" s="13">
        <f t="shared" si="0"/>
        <v>0</v>
      </c>
      <c r="J2" s="13" t="str">
        <f t="shared" si="0"/>
        <v>maptax</v>
      </c>
      <c r="K2" s="13">
        <f t="shared" si="0"/>
        <v>0</v>
      </c>
      <c r="L2" s="13"/>
      <c r="M2" s="13" t="str">
        <f t="shared" si="0"/>
        <v>mapaagr</v>
      </c>
      <c r="N2" s="13">
        <f t="shared" si="0"/>
        <v>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s="9" customFormat="1" ht="13.2" x14ac:dyDescent="0.25">
      <c r="A3" s="9" t="str">
        <f>+SUBSTITUTE(ADDRESS(1,COLUMN(),4),"1","")</f>
        <v>A</v>
      </c>
      <c r="B3" s="9" t="str">
        <f t="shared" ref="B3:N3" si="1">+SUBSTITUTE(ADDRESS(1,COLUMN(),4),"1","")</f>
        <v>B</v>
      </c>
      <c r="C3" s="9" t="str">
        <f t="shared" si="1"/>
        <v>C</v>
      </c>
      <c r="D3" s="9" t="str">
        <f t="shared" si="1"/>
        <v>D</v>
      </c>
      <c r="E3" s="9" t="str">
        <f t="shared" si="1"/>
        <v>E</v>
      </c>
      <c r="F3" s="9" t="str">
        <f t="shared" si="1"/>
        <v>F</v>
      </c>
      <c r="G3" s="9" t="str">
        <f t="shared" si="1"/>
        <v>G</v>
      </c>
      <c r="H3" s="9" t="str">
        <f>+SUBSTITUTE(ADDRESS(1,COLUMN(),4),"1","")</f>
        <v>H</v>
      </c>
      <c r="I3" s="9" t="str">
        <f t="shared" si="1"/>
        <v>I</v>
      </c>
      <c r="J3" s="9" t="str">
        <f t="shared" si="1"/>
        <v>J</v>
      </c>
      <c r="K3" s="9" t="str">
        <f t="shared" si="1"/>
        <v>K</v>
      </c>
      <c r="M3" s="9" t="str">
        <f t="shared" si="1"/>
        <v>M</v>
      </c>
      <c r="N3" s="9" t="str">
        <f t="shared" si="1"/>
        <v>N</v>
      </c>
    </row>
    <row r="4" spans="1:29" s="9" customFormat="1" ht="13.2" x14ac:dyDescent="0.25">
      <c r="A4" s="13"/>
      <c r="B4" s="8"/>
      <c r="C4" s="14"/>
      <c r="M4" s="9" t="s">
        <v>117</v>
      </c>
    </row>
    <row r="5" spans="1:29" s="15" customFormat="1" x14ac:dyDescent="0.3">
      <c r="A5" s="8" t="s">
        <v>106</v>
      </c>
      <c r="B5" s="9"/>
      <c r="C5" s="8"/>
      <c r="D5" t="s">
        <v>109</v>
      </c>
      <c r="F5" s="8"/>
      <c r="G5" t="s">
        <v>116</v>
      </c>
      <c r="I5" s="8"/>
      <c r="J5" t="s">
        <v>385</v>
      </c>
      <c r="K5" s="16"/>
      <c r="M5" s="15" t="s">
        <v>366</v>
      </c>
      <c r="O5"/>
      <c r="R5"/>
    </row>
    <row r="6" spans="1:29" x14ac:dyDescent="0.3">
      <c r="A6" t="s">
        <v>43</v>
      </c>
      <c r="B6" t="s">
        <v>462</v>
      </c>
      <c r="D6" t="s">
        <v>43</v>
      </c>
      <c r="E6" t="s">
        <v>515</v>
      </c>
      <c r="G6" t="s">
        <v>462</v>
      </c>
      <c r="H6" t="s">
        <v>586</v>
      </c>
      <c r="J6" t="s">
        <v>26</v>
      </c>
      <c r="K6" t="s">
        <v>164</v>
      </c>
      <c r="M6" t="s">
        <v>345</v>
      </c>
      <c r="N6" t="s">
        <v>586</v>
      </c>
    </row>
    <row r="7" spans="1:29" x14ac:dyDescent="0.3">
      <c r="A7" t="s">
        <v>47</v>
      </c>
      <c r="B7" t="s">
        <v>463</v>
      </c>
      <c r="D7" t="s">
        <v>47</v>
      </c>
      <c r="E7" t="s">
        <v>516</v>
      </c>
      <c r="G7" t="s">
        <v>463</v>
      </c>
      <c r="H7" t="s">
        <v>587</v>
      </c>
      <c r="J7" t="s">
        <v>24</v>
      </c>
      <c r="K7" s="44" t="s">
        <v>163</v>
      </c>
      <c r="M7" t="s">
        <v>345</v>
      </c>
      <c r="N7" t="s">
        <v>587</v>
      </c>
    </row>
    <row r="8" spans="1:29" x14ac:dyDescent="0.3">
      <c r="A8" t="s">
        <v>48</v>
      </c>
      <c r="B8" t="s">
        <v>464</v>
      </c>
      <c r="D8" t="s">
        <v>48</v>
      </c>
      <c r="E8" t="s">
        <v>517</v>
      </c>
      <c r="G8" t="s">
        <v>464</v>
      </c>
      <c r="H8" t="s">
        <v>588</v>
      </c>
      <c r="J8" t="s">
        <v>34</v>
      </c>
      <c r="K8" t="s">
        <v>870</v>
      </c>
      <c r="M8" t="s">
        <v>345</v>
      </c>
      <c r="N8" t="s">
        <v>588</v>
      </c>
    </row>
    <row r="9" spans="1:29" x14ac:dyDescent="0.3">
      <c r="A9" t="s">
        <v>49</v>
      </c>
      <c r="B9" t="s">
        <v>465</v>
      </c>
      <c r="D9" t="s">
        <v>49</v>
      </c>
      <c r="E9" t="s">
        <v>518</v>
      </c>
      <c r="G9" t="s">
        <v>465</v>
      </c>
      <c r="H9" t="s">
        <v>589</v>
      </c>
      <c r="J9" t="s">
        <v>27</v>
      </c>
      <c r="K9" t="s">
        <v>869</v>
      </c>
      <c r="M9" t="s">
        <v>345</v>
      </c>
      <c r="N9" t="s">
        <v>589</v>
      </c>
    </row>
    <row r="10" spans="1:29" x14ac:dyDescent="0.3">
      <c r="A10" t="s">
        <v>50</v>
      </c>
      <c r="B10" t="s">
        <v>466</v>
      </c>
      <c r="D10" t="s">
        <v>50</v>
      </c>
      <c r="E10" t="s">
        <v>519</v>
      </c>
      <c r="G10" t="s">
        <v>466</v>
      </c>
      <c r="H10" t="s">
        <v>590</v>
      </c>
      <c r="J10" t="s">
        <v>389</v>
      </c>
      <c r="K10" t="s">
        <v>343</v>
      </c>
      <c r="M10" t="s">
        <v>345</v>
      </c>
      <c r="N10" t="s">
        <v>590</v>
      </c>
    </row>
    <row r="11" spans="1:29" x14ac:dyDescent="0.3">
      <c r="A11" t="s">
        <v>128</v>
      </c>
      <c r="B11" t="s">
        <v>467</v>
      </c>
      <c r="D11" t="s">
        <v>128</v>
      </c>
      <c r="E11" t="s">
        <v>520</v>
      </c>
      <c r="G11" t="s">
        <v>467</v>
      </c>
      <c r="H11" t="s">
        <v>591</v>
      </c>
      <c r="J11" t="s">
        <v>31</v>
      </c>
      <c r="K11" t="s">
        <v>343</v>
      </c>
      <c r="M11" t="s">
        <v>345</v>
      </c>
      <c r="N11" t="s">
        <v>591</v>
      </c>
    </row>
    <row r="12" spans="1:29" x14ac:dyDescent="0.3">
      <c r="A12" t="s">
        <v>51</v>
      </c>
      <c r="B12" t="s">
        <v>468</v>
      </c>
      <c r="D12" t="s">
        <v>51</v>
      </c>
      <c r="E12" t="s">
        <v>521</v>
      </c>
      <c r="G12" t="s">
        <v>468</v>
      </c>
      <c r="H12" t="s">
        <v>592</v>
      </c>
      <c r="J12" t="s">
        <v>25</v>
      </c>
      <c r="K12" t="s">
        <v>343</v>
      </c>
      <c r="M12" t="s">
        <v>345</v>
      </c>
      <c r="N12" t="s">
        <v>592</v>
      </c>
    </row>
    <row r="13" spans="1:29" x14ac:dyDescent="0.3">
      <c r="A13" t="s">
        <v>52</v>
      </c>
      <c r="B13" t="s">
        <v>469</v>
      </c>
      <c r="D13" t="s">
        <v>52</v>
      </c>
      <c r="E13" t="s">
        <v>522</v>
      </c>
      <c r="G13" t="s">
        <v>469</v>
      </c>
      <c r="H13" t="s">
        <v>593</v>
      </c>
      <c r="J13" t="s">
        <v>28</v>
      </c>
      <c r="K13" t="s">
        <v>868</v>
      </c>
      <c r="M13" t="s">
        <v>345</v>
      </c>
      <c r="N13" t="s">
        <v>593</v>
      </c>
    </row>
    <row r="14" spans="1:29" x14ac:dyDescent="0.3">
      <c r="A14" t="s">
        <v>53</v>
      </c>
      <c r="B14" t="s">
        <v>470</v>
      </c>
      <c r="D14" t="s">
        <v>53</v>
      </c>
      <c r="E14" t="s">
        <v>523</v>
      </c>
      <c r="G14" t="s">
        <v>470</v>
      </c>
      <c r="H14" t="s">
        <v>594</v>
      </c>
      <c r="J14" t="s">
        <v>23</v>
      </c>
      <c r="K14" t="s">
        <v>343</v>
      </c>
      <c r="M14" t="s">
        <v>345</v>
      </c>
      <c r="N14" t="s">
        <v>594</v>
      </c>
    </row>
    <row r="15" spans="1:29" x14ac:dyDescent="0.3">
      <c r="A15" t="s">
        <v>53</v>
      </c>
      <c r="B15" t="s">
        <v>1098</v>
      </c>
      <c r="D15" t="s">
        <v>53</v>
      </c>
      <c r="E15" t="s">
        <v>1099</v>
      </c>
      <c r="G15" t="s">
        <v>1098</v>
      </c>
      <c r="H15" t="s">
        <v>1094</v>
      </c>
      <c r="K15" s="4"/>
      <c r="M15" t="s">
        <v>345</v>
      </c>
      <c r="N15" t="s">
        <v>1094</v>
      </c>
    </row>
    <row r="16" spans="1:29" x14ac:dyDescent="0.3">
      <c r="A16" t="s">
        <v>54</v>
      </c>
      <c r="B16" t="s">
        <v>471</v>
      </c>
      <c r="D16" t="s">
        <v>54</v>
      </c>
      <c r="E16" t="s">
        <v>524</v>
      </c>
      <c r="G16" t="s">
        <v>471</v>
      </c>
      <c r="H16" t="s">
        <v>595</v>
      </c>
      <c r="K16" s="4"/>
      <c r="M16" t="s">
        <v>345</v>
      </c>
      <c r="N16" t="s">
        <v>595</v>
      </c>
    </row>
    <row r="17" spans="1:14" x14ac:dyDescent="0.3">
      <c r="A17" t="s">
        <v>55</v>
      </c>
      <c r="B17" t="s">
        <v>472</v>
      </c>
      <c r="D17" t="s">
        <v>55</v>
      </c>
      <c r="E17" t="s">
        <v>525</v>
      </c>
      <c r="G17" t="s">
        <v>472</v>
      </c>
      <c r="H17" t="s">
        <v>596</v>
      </c>
      <c r="K17" s="4"/>
      <c r="M17" t="s">
        <v>345</v>
      </c>
      <c r="N17" t="s">
        <v>596</v>
      </c>
    </row>
    <row r="18" spans="1:14" x14ac:dyDescent="0.3">
      <c r="A18" t="s">
        <v>55</v>
      </c>
      <c r="B18" t="s">
        <v>1098</v>
      </c>
      <c r="D18" t="s">
        <v>55</v>
      </c>
      <c r="E18" t="s">
        <v>1099</v>
      </c>
      <c r="G18" t="s">
        <v>473</v>
      </c>
      <c r="H18" t="s">
        <v>597</v>
      </c>
      <c r="K18" s="4"/>
      <c r="M18" t="s">
        <v>345</v>
      </c>
      <c r="N18" t="s">
        <v>597</v>
      </c>
    </row>
    <row r="19" spans="1:14" x14ac:dyDescent="0.3">
      <c r="A19" t="s">
        <v>56</v>
      </c>
      <c r="B19" t="s">
        <v>473</v>
      </c>
      <c r="D19" t="s">
        <v>56</v>
      </c>
      <c r="E19" t="s">
        <v>526</v>
      </c>
      <c r="G19" t="s">
        <v>474</v>
      </c>
      <c r="H19" t="s">
        <v>235</v>
      </c>
      <c r="K19" s="4"/>
      <c r="M19" t="s">
        <v>345</v>
      </c>
      <c r="N19" t="s">
        <v>235</v>
      </c>
    </row>
    <row r="20" spans="1:14" x14ac:dyDescent="0.3">
      <c r="A20" t="s">
        <v>57</v>
      </c>
      <c r="B20" t="s">
        <v>474</v>
      </c>
      <c r="D20" t="s">
        <v>57</v>
      </c>
      <c r="E20" t="s">
        <v>527</v>
      </c>
      <c r="G20" t="s">
        <v>475</v>
      </c>
      <c r="H20" t="s">
        <v>598</v>
      </c>
      <c r="K20" s="4"/>
      <c r="M20" t="s">
        <v>345</v>
      </c>
      <c r="N20" t="s">
        <v>598</v>
      </c>
    </row>
    <row r="21" spans="1:14" x14ac:dyDescent="0.3">
      <c r="A21" t="s">
        <v>58</v>
      </c>
      <c r="B21" t="s">
        <v>475</v>
      </c>
      <c r="D21" t="s">
        <v>58</v>
      </c>
      <c r="E21" t="s">
        <v>528</v>
      </c>
      <c r="G21" t="s">
        <v>476</v>
      </c>
      <c r="H21" t="s">
        <v>223</v>
      </c>
      <c r="K21" s="4"/>
      <c r="M21" t="s">
        <v>347</v>
      </c>
      <c r="N21" t="s">
        <v>230</v>
      </c>
    </row>
    <row r="22" spans="1:14" x14ac:dyDescent="0.3">
      <c r="A22" t="s">
        <v>42</v>
      </c>
      <c r="B22" t="s">
        <v>476</v>
      </c>
      <c r="D22" t="s">
        <v>42</v>
      </c>
      <c r="E22" t="s">
        <v>529</v>
      </c>
      <c r="G22" s="18" t="s">
        <v>477</v>
      </c>
      <c r="H22" s="18" t="s">
        <v>230</v>
      </c>
      <c r="K22" s="4"/>
      <c r="M22" t="s">
        <v>347</v>
      </c>
      <c r="N22" t="s">
        <v>236</v>
      </c>
    </row>
    <row r="23" spans="1:14" x14ac:dyDescent="0.3">
      <c r="A23" t="s">
        <v>59</v>
      </c>
      <c r="B23" s="18" t="s">
        <v>477</v>
      </c>
      <c r="D23" t="s">
        <v>59</v>
      </c>
      <c r="E23" t="s">
        <v>530</v>
      </c>
      <c r="G23" s="18" t="s">
        <v>478</v>
      </c>
      <c r="H23" s="18" t="s">
        <v>236</v>
      </c>
      <c r="K23" s="4"/>
      <c r="M23" t="s">
        <v>347</v>
      </c>
      <c r="N23" t="s">
        <v>223</v>
      </c>
    </row>
    <row r="24" spans="1:14" x14ac:dyDescent="0.3">
      <c r="A24" t="s">
        <v>44</v>
      </c>
      <c r="B24" s="18" t="s">
        <v>478</v>
      </c>
      <c r="D24" t="s">
        <v>44</v>
      </c>
      <c r="E24" t="s">
        <v>531</v>
      </c>
      <c r="G24" t="s">
        <v>1360</v>
      </c>
      <c r="H24" t="s">
        <v>1353</v>
      </c>
      <c r="K24" s="4"/>
      <c r="M24" t="s">
        <v>347</v>
      </c>
      <c r="N24" t="s">
        <v>1353</v>
      </c>
    </row>
    <row r="25" spans="1:14" x14ac:dyDescent="0.3">
      <c r="A25" t="s">
        <v>1359</v>
      </c>
      <c r="B25" t="s">
        <v>1360</v>
      </c>
      <c r="D25" t="s">
        <v>1359</v>
      </c>
      <c r="E25" t="s">
        <v>1368</v>
      </c>
      <c r="G25" t="s">
        <v>479</v>
      </c>
      <c r="H25" t="s">
        <v>599</v>
      </c>
      <c r="K25" s="4"/>
      <c r="M25" t="s">
        <v>130</v>
      </c>
      <c r="N25" t="s">
        <v>599</v>
      </c>
    </row>
    <row r="26" spans="1:14" x14ac:dyDescent="0.3">
      <c r="A26" t="s">
        <v>60</v>
      </c>
      <c r="B26" t="s">
        <v>479</v>
      </c>
      <c r="D26" t="s">
        <v>60</v>
      </c>
      <c r="E26" t="s">
        <v>532</v>
      </c>
      <c r="G26" t="s">
        <v>480</v>
      </c>
      <c r="H26" t="s">
        <v>600</v>
      </c>
      <c r="K26" s="4"/>
      <c r="M26" t="s">
        <v>130</v>
      </c>
      <c r="N26" t="s">
        <v>600</v>
      </c>
    </row>
    <row r="27" spans="1:14" x14ac:dyDescent="0.3">
      <c r="A27" t="s">
        <v>61</v>
      </c>
      <c r="B27" t="s">
        <v>480</v>
      </c>
      <c r="D27" t="s">
        <v>61</v>
      </c>
      <c r="E27" t="s">
        <v>533</v>
      </c>
      <c r="G27" t="s">
        <v>481</v>
      </c>
      <c r="H27" t="s">
        <v>601</v>
      </c>
      <c r="K27" s="4"/>
      <c r="M27" t="s">
        <v>130</v>
      </c>
      <c r="N27" t="s">
        <v>601</v>
      </c>
    </row>
    <row r="28" spans="1:14" x14ac:dyDescent="0.3">
      <c r="A28" t="s">
        <v>62</v>
      </c>
      <c r="B28" t="s">
        <v>481</v>
      </c>
      <c r="D28" t="s">
        <v>62</v>
      </c>
      <c r="E28" t="s">
        <v>534</v>
      </c>
      <c r="G28" t="s">
        <v>482</v>
      </c>
      <c r="H28" t="s">
        <v>602</v>
      </c>
      <c r="K28" s="4"/>
      <c r="M28" t="s">
        <v>130</v>
      </c>
      <c r="N28" t="s">
        <v>602</v>
      </c>
    </row>
    <row r="29" spans="1:14" x14ac:dyDescent="0.3">
      <c r="A29" t="s">
        <v>63</v>
      </c>
      <c r="B29" t="s">
        <v>482</v>
      </c>
      <c r="D29" t="s">
        <v>63</v>
      </c>
      <c r="E29" t="s">
        <v>535</v>
      </c>
      <c r="G29" t="s">
        <v>483</v>
      </c>
      <c r="H29" t="s">
        <v>603</v>
      </c>
      <c r="K29" s="4"/>
      <c r="M29" t="s">
        <v>130</v>
      </c>
      <c r="N29" t="s">
        <v>603</v>
      </c>
    </row>
    <row r="30" spans="1:14" x14ac:dyDescent="0.3">
      <c r="A30" t="s">
        <v>64</v>
      </c>
      <c r="B30" t="s">
        <v>483</v>
      </c>
      <c r="D30" t="s">
        <v>64</v>
      </c>
      <c r="E30" t="s">
        <v>536</v>
      </c>
      <c r="G30" t="s">
        <v>484</v>
      </c>
      <c r="H30" t="s">
        <v>604</v>
      </c>
      <c r="K30" s="4"/>
      <c r="M30" t="s">
        <v>130</v>
      </c>
      <c r="N30" t="s">
        <v>604</v>
      </c>
    </row>
    <row r="31" spans="1:14" x14ac:dyDescent="0.3">
      <c r="A31" t="s">
        <v>65</v>
      </c>
      <c r="B31" t="s">
        <v>484</v>
      </c>
      <c r="D31" t="s">
        <v>65</v>
      </c>
      <c r="E31" t="s">
        <v>537</v>
      </c>
      <c r="G31" t="s">
        <v>485</v>
      </c>
      <c r="H31" t="s">
        <v>605</v>
      </c>
      <c r="K31" s="4"/>
      <c r="M31" t="s">
        <v>130</v>
      </c>
      <c r="N31" t="s">
        <v>605</v>
      </c>
    </row>
    <row r="32" spans="1:14" x14ac:dyDescent="0.3">
      <c r="A32" t="s">
        <v>66</v>
      </c>
      <c r="B32" t="s">
        <v>485</v>
      </c>
      <c r="D32" t="s">
        <v>66</v>
      </c>
      <c r="E32" t="s">
        <v>538</v>
      </c>
      <c r="G32" t="s">
        <v>486</v>
      </c>
      <c r="H32" t="s">
        <v>246</v>
      </c>
      <c r="K32" s="4"/>
      <c r="M32" t="s">
        <v>130</v>
      </c>
      <c r="N32" t="s">
        <v>246</v>
      </c>
    </row>
    <row r="33" spans="1:14" x14ac:dyDescent="0.3">
      <c r="A33" t="s">
        <v>67</v>
      </c>
      <c r="B33" t="s">
        <v>486</v>
      </c>
      <c r="D33" t="s">
        <v>67</v>
      </c>
      <c r="E33" t="s">
        <v>539</v>
      </c>
      <c r="G33" t="s">
        <v>487</v>
      </c>
      <c r="H33" t="s">
        <v>249</v>
      </c>
      <c r="K33" s="4"/>
      <c r="M33" t="s">
        <v>130</v>
      </c>
      <c r="N33" t="s">
        <v>249</v>
      </c>
    </row>
    <row r="34" spans="1:14" x14ac:dyDescent="0.3">
      <c r="A34" t="s">
        <v>68</v>
      </c>
      <c r="B34" t="s">
        <v>487</v>
      </c>
      <c r="D34" t="s">
        <v>68</v>
      </c>
      <c r="E34" t="s">
        <v>540</v>
      </c>
      <c r="G34" t="s">
        <v>488</v>
      </c>
      <c r="H34" t="s">
        <v>606</v>
      </c>
      <c r="K34" s="4"/>
      <c r="M34" t="s">
        <v>130</v>
      </c>
      <c r="N34" t="s">
        <v>607</v>
      </c>
    </row>
    <row r="35" spans="1:14" x14ac:dyDescent="0.3">
      <c r="A35" t="s">
        <v>69</v>
      </c>
      <c r="B35" t="s">
        <v>488</v>
      </c>
      <c r="D35" t="s">
        <v>69</v>
      </c>
      <c r="E35" t="s">
        <v>541</v>
      </c>
      <c r="G35" t="s">
        <v>489</v>
      </c>
      <c r="H35" t="s">
        <v>607</v>
      </c>
      <c r="K35" s="4"/>
      <c r="M35" t="s">
        <v>130</v>
      </c>
      <c r="N35" t="s">
        <v>606</v>
      </c>
    </row>
    <row r="36" spans="1:14" x14ac:dyDescent="0.3">
      <c r="A36" t="s">
        <v>70</v>
      </c>
      <c r="B36" t="s">
        <v>489</v>
      </c>
      <c r="D36" t="s">
        <v>70</v>
      </c>
      <c r="E36" t="s">
        <v>542</v>
      </c>
      <c r="G36" t="s">
        <v>490</v>
      </c>
      <c r="H36" t="s">
        <v>608</v>
      </c>
      <c r="M36" t="s">
        <v>130</v>
      </c>
      <c r="N36" t="s">
        <v>608</v>
      </c>
    </row>
    <row r="37" spans="1:14" x14ac:dyDescent="0.3">
      <c r="A37" s="18" t="s">
        <v>71</v>
      </c>
      <c r="B37" t="s">
        <v>490</v>
      </c>
      <c r="D37" s="18" t="s">
        <v>71</v>
      </c>
      <c r="E37" t="s">
        <v>543</v>
      </c>
      <c r="G37" t="s">
        <v>491</v>
      </c>
      <c r="H37" t="s">
        <v>609</v>
      </c>
      <c r="M37" t="s">
        <v>130</v>
      </c>
      <c r="N37" t="s">
        <v>609</v>
      </c>
    </row>
    <row r="38" spans="1:14" x14ac:dyDescent="0.3">
      <c r="A38" s="18" t="s">
        <v>72</v>
      </c>
      <c r="B38" t="s">
        <v>491</v>
      </c>
      <c r="D38" s="18" t="s">
        <v>72</v>
      </c>
      <c r="E38" t="s">
        <v>544</v>
      </c>
      <c r="G38" t="s">
        <v>492</v>
      </c>
      <c r="H38" t="s">
        <v>241</v>
      </c>
      <c r="M38" t="s">
        <v>130</v>
      </c>
      <c r="N38" t="s">
        <v>241</v>
      </c>
    </row>
    <row r="39" spans="1:14" x14ac:dyDescent="0.3">
      <c r="A39" s="18" t="s">
        <v>45</v>
      </c>
      <c r="B39" t="s">
        <v>492</v>
      </c>
      <c r="D39" s="18" t="s">
        <v>45</v>
      </c>
      <c r="E39" t="s">
        <v>545</v>
      </c>
      <c r="G39" t="s">
        <v>1362</v>
      </c>
      <c r="H39" t="s">
        <v>222</v>
      </c>
      <c r="M39" t="s">
        <v>130</v>
      </c>
      <c r="N39" t="s">
        <v>222</v>
      </c>
    </row>
    <row r="40" spans="1:14" x14ac:dyDescent="0.3">
      <c r="A40" t="s">
        <v>1361</v>
      </c>
      <c r="B40" t="s">
        <v>1362</v>
      </c>
      <c r="D40" t="s">
        <v>1361</v>
      </c>
      <c r="E40" t="s">
        <v>1369</v>
      </c>
      <c r="G40" t="s">
        <v>493</v>
      </c>
      <c r="H40" t="s">
        <v>357</v>
      </c>
      <c r="M40" t="s">
        <v>130</v>
      </c>
      <c r="N40" t="s">
        <v>610</v>
      </c>
    </row>
    <row r="41" spans="1:14" x14ac:dyDescent="0.3">
      <c r="A41" t="s">
        <v>73</v>
      </c>
      <c r="B41" t="s">
        <v>493</v>
      </c>
      <c r="D41" t="s">
        <v>73</v>
      </c>
      <c r="E41" t="s">
        <v>546</v>
      </c>
      <c r="G41" t="s">
        <v>494</v>
      </c>
      <c r="H41" t="s">
        <v>260</v>
      </c>
      <c r="M41" t="s">
        <v>130</v>
      </c>
      <c r="N41" t="s">
        <v>611</v>
      </c>
    </row>
    <row r="42" spans="1:14" x14ac:dyDescent="0.3">
      <c r="A42" t="s">
        <v>129</v>
      </c>
      <c r="B42" t="s">
        <v>494</v>
      </c>
      <c r="D42" t="s">
        <v>129</v>
      </c>
      <c r="E42" t="s">
        <v>547</v>
      </c>
      <c r="G42" t="s">
        <v>495</v>
      </c>
      <c r="H42" t="s">
        <v>262</v>
      </c>
      <c r="M42" t="s">
        <v>130</v>
      </c>
      <c r="N42" t="s">
        <v>264</v>
      </c>
    </row>
    <row r="43" spans="1:14" x14ac:dyDescent="0.3">
      <c r="A43" t="s">
        <v>74</v>
      </c>
      <c r="B43" t="s">
        <v>495</v>
      </c>
      <c r="D43" t="s">
        <v>74</v>
      </c>
      <c r="E43" t="s">
        <v>548</v>
      </c>
      <c r="G43" t="s">
        <v>496</v>
      </c>
      <c r="H43" t="s">
        <v>264</v>
      </c>
      <c r="M43" t="s">
        <v>130</v>
      </c>
      <c r="N43" t="s">
        <v>266</v>
      </c>
    </row>
    <row r="44" spans="1:14" x14ac:dyDescent="0.3">
      <c r="A44" t="s">
        <v>75</v>
      </c>
      <c r="B44" t="s">
        <v>496</v>
      </c>
      <c r="D44" t="s">
        <v>75</v>
      </c>
      <c r="E44" t="s">
        <v>549</v>
      </c>
      <c r="G44" t="s">
        <v>497</v>
      </c>
      <c r="H44" t="s">
        <v>266</v>
      </c>
      <c r="M44" t="s">
        <v>130</v>
      </c>
      <c r="N44" t="s">
        <v>268</v>
      </c>
    </row>
    <row r="45" spans="1:14" x14ac:dyDescent="0.3">
      <c r="A45" t="s">
        <v>78</v>
      </c>
      <c r="B45" t="s">
        <v>497</v>
      </c>
      <c r="D45" t="s">
        <v>78</v>
      </c>
      <c r="E45" t="s">
        <v>550</v>
      </c>
      <c r="G45" t="s">
        <v>498</v>
      </c>
      <c r="H45" t="s">
        <v>610</v>
      </c>
      <c r="M45" t="s">
        <v>130</v>
      </c>
      <c r="N45" t="s">
        <v>270</v>
      </c>
    </row>
    <row r="46" spans="1:14" x14ac:dyDescent="0.3">
      <c r="A46" t="s">
        <v>79</v>
      </c>
      <c r="B46" t="s">
        <v>498</v>
      </c>
      <c r="D46" t="s">
        <v>79</v>
      </c>
      <c r="E46" t="s">
        <v>551</v>
      </c>
      <c r="G46" t="s">
        <v>499</v>
      </c>
      <c r="H46" t="s">
        <v>268</v>
      </c>
      <c r="M46" t="s">
        <v>130</v>
      </c>
      <c r="N46" t="s">
        <v>1354</v>
      </c>
    </row>
    <row r="47" spans="1:14" x14ac:dyDescent="0.3">
      <c r="A47" t="s">
        <v>76</v>
      </c>
      <c r="B47" t="s">
        <v>499</v>
      </c>
      <c r="D47" t="s">
        <v>76</v>
      </c>
      <c r="E47" t="s">
        <v>552</v>
      </c>
      <c r="G47" t="s">
        <v>500</v>
      </c>
      <c r="H47" t="s">
        <v>611</v>
      </c>
      <c r="M47" t="s">
        <v>130</v>
      </c>
      <c r="N47" t="s">
        <v>273</v>
      </c>
    </row>
    <row r="48" spans="1:14" x14ac:dyDescent="0.3">
      <c r="A48" t="s">
        <v>77</v>
      </c>
      <c r="B48" t="s">
        <v>500</v>
      </c>
      <c r="D48" t="s">
        <v>77</v>
      </c>
      <c r="E48" t="s">
        <v>553</v>
      </c>
      <c r="G48" t="s">
        <v>501</v>
      </c>
      <c r="H48" t="s">
        <v>270</v>
      </c>
      <c r="M48" t="s">
        <v>130</v>
      </c>
      <c r="N48" t="s">
        <v>620</v>
      </c>
    </row>
    <row r="49" spans="1:14" x14ac:dyDescent="0.3">
      <c r="A49" t="s">
        <v>80</v>
      </c>
      <c r="B49" t="s">
        <v>501</v>
      </c>
      <c r="D49" t="s">
        <v>80</v>
      </c>
      <c r="E49" t="s">
        <v>554</v>
      </c>
      <c r="G49" t="s">
        <v>1363</v>
      </c>
      <c r="H49" t="s">
        <v>1354</v>
      </c>
      <c r="M49" t="s">
        <v>346</v>
      </c>
      <c r="N49" t="s">
        <v>274</v>
      </c>
    </row>
    <row r="50" spans="1:14" x14ac:dyDescent="0.3">
      <c r="A50" t="s">
        <v>312</v>
      </c>
      <c r="B50" t="s">
        <v>1363</v>
      </c>
      <c r="D50" t="s">
        <v>312</v>
      </c>
      <c r="E50" t="s">
        <v>1364</v>
      </c>
      <c r="G50" t="s">
        <v>502</v>
      </c>
      <c r="H50" t="s">
        <v>620</v>
      </c>
      <c r="M50" t="s">
        <v>359</v>
      </c>
      <c r="N50" t="s">
        <v>357</v>
      </c>
    </row>
    <row r="51" spans="1:14" x14ac:dyDescent="0.3">
      <c r="A51" t="s">
        <v>46</v>
      </c>
      <c r="B51" t="s">
        <v>502</v>
      </c>
      <c r="D51" t="s">
        <v>46</v>
      </c>
      <c r="E51" t="s">
        <v>555</v>
      </c>
      <c r="G51" t="s">
        <v>503</v>
      </c>
      <c r="H51" t="s">
        <v>273</v>
      </c>
      <c r="M51" t="s">
        <v>359</v>
      </c>
      <c r="N51" t="s">
        <v>260</v>
      </c>
    </row>
    <row r="52" spans="1:14" x14ac:dyDescent="0.3">
      <c r="A52" t="s">
        <v>81</v>
      </c>
      <c r="B52" t="s">
        <v>503</v>
      </c>
      <c r="D52" t="s">
        <v>81</v>
      </c>
      <c r="E52" t="s">
        <v>556</v>
      </c>
      <c r="G52" t="s">
        <v>504</v>
      </c>
      <c r="H52" t="s">
        <v>274</v>
      </c>
      <c r="M52" t="s">
        <v>359</v>
      </c>
      <c r="N52" t="s">
        <v>262</v>
      </c>
    </row>
    <row r="53" spans="1:14" x14ac:dyDescent="0.3">
      <c r="A53" t="s">
        <v>82</v>
      </c>
      <c r="B53" t="s">
        <v>504</v>
      </c>
      <c r="D53" t="s">
        <v>82</v>
      </c>
      <c r="E53" t="s">
        <v>557</v>
      </c>
      <c r="G53" t="s">
        <v>505</v>
      </c>
      <c r="H53" t="s">
        <v>224</v>
      </c>
      <c r="M53" t="s">
        <v>131</v>
      </c>
      <c r="N53" t="s">
        <v>224</v>
      </c>
    </row>
    <row r="54" spans="1:14" x14ac:dyDescent="0.3">
      <c r="A54" t="s">
        <v>83</v>
      </c>
      <c r="B54" t="s">
        <v>505</v>
      </c>
      <c r="D54" t="s">
        <v>83</v>
      </c>
      <c r="E54" t="s">
        <v>558</v>
      </c>
      <c r="G54" t="s">
        <v>506</v>
      </c>
      <c r="H54" t="s">
        <v>237</v>
      </c>
      <c r="M54" t="s">
        <v>131</v>
      </c>
      <c r="N54" t="s">
        <v>237</v>
      </c>
    </row>
    <row r="55" spans="1:14" x14ac:dyDescent="0.3">
      <c r="A55" t="s">
        <v>84</v>
      </c>
      <c r="B55" t="s">
        <v>506</v>
      </c>
      <c r="D55" t="s">
        <v>84</v>
      </c>
      <c r="E55" s="18" t="s">
        <v>559</v>
      </c>
      <c r="G55" t="s">
        <v>1109</v>
      </c>
      <c r="H55" t="s">
        <v>1102</v>
      </c>
      <c r="M55" t="s">
        <v>131</v>
      </c>
      <c r="N55" t="s">
        <v>1102</v>
      </c>
    </row>
    <row r="56" spans="1:14" x14ac:dyDescent="0.3">
      <c r="A56" t="s">
        <v>84</v>
      </c>
      <c r="B56" t="s">
        <v>1109</v>
      </c>
      <c r="D56" t="s">
        <v>84</v>
      </c>
      <c r="E56" t="s">
        <v>1110</v>
      </c>
      <c r="G56" t="s">
        <v>507</v>
      </c>
      <c r="H56" t="s">
        <v>240</v>
      </c>
      <c r="M56" t="s">
        <v>131</v>
      </c>
      <c r="N56" t="s">
        <v>240</v>
      </c>
    </row>
    <row r="57" spans="1:14" x14ac:dyDescent="0.3">
      <c r="A57" t="s">
        <v>85</v>
      </c>
      <c r="B57" t="s">
        <v>507</v>
      </c>
      <c r="D57" t="s">
        <v>85</v>
      </c>
      <c r="E57" s="18" t="s">
        <v>560</v>
      </c>
      <c r="G57" t="s">
        <v>508</v>
      </c>
      <c r="H57" t="s">
        <v>244</v>
      </c>
      <c r="M57" t="s">
        <v>131</v>
      </c>
      <c r="N57" t="s">
        <v>244</v>
      </c>
    </row>
    <row r="58" spans="1:14" x14ac:dyDescent="0.3">
      <c r="A58" t="s">
        <v>86</v>
      </c>
      <c r="B58" t="s">
        <v>508</v>
      </c>
      <c r="D58" t="s">
        <v>86</v>
      </c>
      <c r="E58" s="18" t="s">
        <v>561</v>
      </c>
      <c r="G58" t="s">
        <v>509</v>
      </c>
      <c r="H58" t="s">
        <v>247</v>
      </c>
      <c r="M58" t="s">
        <v>131</v>
      </c>
      <c r="N58" t="s">
        <v>247</v>
      </c>
    </row>
    <row r="59" spans="1:14" x14ac:dyDescent="0.3">
      <c r="A59" t="s">
        <v>87</v>
      </c>
      <c r="B59" t="s">
        <v>509</v>
      </c>
      <c r="D59" t="s">
        <v>87</v>
      </c>
      <c r="E59" s="18" t="s">
        <v>562</v>
      </c>
      <c r="G59" t="s">
        <v>510</v>
      </c>
      <c r="H59" t="s">
        <v>250</v>
      </c>
      <c r="M59" t="s">
        <v>131</v>
      </c>
      <c r="N59" t="s">
        <v>250</v>
      </c>
    </row>
    <row r="60" spans="1:14" x14ac:dyDescent="0.3">
      <c r="A60" t="s">
        <v>88</v>
      </c>
      <c r="B60" t="s">
        <v>510</v>
      </c>
      <c r="D60" t="s">
        <v>88</v>
      </c>
      <c r="E60" s="18" t="s">
        <v>563</v>
      </c>
      <c r="G60" t="s">
        <v>1366</v>
      </c>
      <c r="H60" t="s">
        <v>1355</v>
      </c>
      <c r="M60" t="s">
        <v>131</v>
      </c>
      <c r="N60" t="s">
        <v>1355</v>
      </c>
    </row>
    <row r="61" spans="1:14" x14ac:dyDescent="0.3">
      <c r="A61" t="s">
        <v>1365</v>
      </c>
      <c r="B61" t="s">
        <v>1366</v>
      </c>
      <c r="D61" t="s">
        <v>1365</v>
      </c>
      <c r="E61" s="18" t="s">
        <v>1367</v>
      </c>
      <c r="G61" t="s">
        <v>511</v>
      </c>
      <c r="H61" t="s">
        <v>621</v>
      </c>
      <c r="M61" t="s">
        <v>131</v>
      </c>
      <c r="N61" t="s">
        <v>621</v>
      </c>
    </row>
    <row r="62" spans="1:14" x14ac:dyDescent="0.3">
      <c r="A62" t="s">
        <v>89</v>
      </c>
      <c r="B62" t="s">
        <v>511</v>
      </c>
      <c r="D62" t="s">
        <v>89</v>
      </c>
      <c r="E62" s="18" t="s">
        <v>564</v>
      </c>
      <c r="G62" t="s">
        <v>512</v>
      </c>
      <c r="H62" t="s">
        <v>622</v>
      </c>
      <c r="M62" t="s">
        <v>131</v>
      </c>
      <c r="N62" t="s">
        <v>622</v>
      </c>
    </row>
    <row r="63" spans="1:14" x14ac:dyDescent="0.3">
      <c r="A63" t="s">
        <v>90</v>
      </c>
      <c r="B63" t="s">
        <v>512</v>
      </c>
      <c r="D63" t="s">
        <v>90</v>
      </c>
      <c r="E63" s="18" t="s">
        <v>565</v>
      </c>
      <c r="G63" t="s">
        <v>513</v>
      </c>
      <c r="H63" t="s">
        <v>256</v>
      </c>
      <c r="M63" t="s">
        <v>131</v>
      </c>
      <c r="N63" t="s">
        <v>256</v>
      </c>
    </row>
    <row r="64" spans="1:14" x14ac:dyDescent="0.3">
      <c r="A64" t="s">
        <v>91</v>
      </c>
      <c r="B64" t="s">
        <v>513</v>
      </c>
      <c r="D64" t="s">
        <v>91</v>
      </c>
      <c r="E64" t="s">
        <v>566</v>
      </c>
      <c r="G64" t="s">
        <v>514</v>
      </c>
      <c r="H64" t="s">
        <v>623</v>
      </c>
      <c r="M64" t="s">
        <v>131</v>
      </c>
      <c r="N64" t="s">
        <v>623</v>
      </c>
    </row>
    <row r="65" spans="1:14" x14ac:dyDescent="0.3">
      <c r="A65" t="s">
        <v>92</v>
      </c>
      <c r="B65" t="s">
        <v>514</v>
      </c>
      <c r="D65" t="s">
        <v>92</v>
      </c>
      <c r="E65" s="21" t="s">
        <v>567</v>
      </c>
      <c r="G65" t="s">
        <v>1049</v>
      </c>
      <c r="H65" t="s">
        <v>1046</v>
      </c>
      <c r="M65" t="s">
        <v>131</v>
      </c>
      <c r="N65" t="s">
        <v>1046</v>
      </c>
    </row>
    <row r="66" spans="1:14" x14ac:dyDescent="0.3">
      <c r="E66" s="21"/>
      <c r="G66" t="s">
        <v>1376</v>
      </c>
      <c r="H66" t="s">
        <v>1375</v>
      </c>
      <c r="M66" t="s">
        <v>131</v>
      </c>
      <c r="N66" t="s">
        <v>1375</v>
      </c>
    </row>
    <row r="67" spans="1:14" x14ac:dyDescent="0.3">
      <c r="G67" t="s">
        <v>515</v>
      </c>
      <c r="H67" t="s">
        <v>624</v>
      </c>
    </row>
    <row r="68" spans="1:14" x14ac:dyDescent="0.3">
      <c r="G68" t="s">
        <v>516</v>
      </c>
      <c r="H68" t="s">
        <v>625</v>
      </c>
    </row>
    <row r="69" spans="1:14" x14ac:dyDescent="0.3">
      <c r="G69" t="s">
        <v>517</v>
      </c>
      <c r="H69" t="s">
        <v>626</v>
      </c>
    </row>
    <row r="70" spans="1:14" x14ac:dyDescent="0.3">
      <c r="G70" t="s">
        <v>518</v>
      </c>
      <c r="H70" t="s">
        <v>627</v>
      </c>
    </row>
    <row r="71" spans="1:14" x14ac:dyDescent="0.3">
      <c r="G71" t="s">
        <v>519</v>
      </c>
      <c r="H71" t="s">
        <v>628</v>
      </c>
    </row>
    <row r="72" spans="1:14" x14ac:dyDescent="0.3">
      <c r="G72" t="s">
        <v>520</v>
      </c>
      <c r="H72" t="s">
        <v>629</v>
      </c>
    </row>
    <row r="73" spans="1:14" x14ac:dyDescent="0.3">
      <c r="G73" t="s">
        <v>521</v>
      </c>
      <c r="H73" t="s">
        <v>630</v>
      </c>
    </row>
    <row r="74" spans="1:14" x14ac:dyDescent="0.3">
      <c r="G74" t="s">
        <v>522</v>
      </c>
      <c r="H74" t="s">
        <v>631</v>
      </c>
    </row>
    <row r="75" spans="1:14" x14ac:dyDescent="0.3">
      <c r="E75" s="18"/>
      <c r="G75" t="s">
        <v>523</v>
      </c>
      <c r="H75" t="s">
        <v>632</v>
      </c>
    </row>
    <row r="76" spans="1:14" x14ac:dyDescent="0.3">
      <c r="G76" t="s">
        <v>1099</v>
      </c>
      <c r="H76" t="s">
        <v>1097</v>
      </c>
    </row>
    <row r="77" spans="1:14" x14ac:dyDescent="0.3">
      <c r="G77" t="s">
        <v>524</v>
      </c>
      <c r="H77" t="s">
        <v>633</v>
      </c>
    </row>
    <row r="78" spans="1:14" x14ac:dyDescent="0.3">
      <c r="G78" t="s">
        <v>525</v>
      </c>
      <c r="H78" t="s">
        <v>634</v>
      </c>
    </row>
    <row r="79" spans="1:14" x14ac:dyDescent="0.3">
      <c r="E79" s="18"/>
      <c r="G79" t="s">
        <v>526</v>
      </c>
      <c r="H79" t="s">
        <v>635</v>
      </c>
    </row>
    <row r="80" spans="1:14" x14ac:dyDescent="0.3">
      <c r="G80" t="s">
        <v>527</v>
      </c>
      <c r="H80" t="s">
        <v>136</v>
      </c>
    </row>
    <row r="81" spans="7:13" x14ac:dyDescent="0.3">
      <c r="G81" t="s">
        <v>528</v>
      </c>
      <c r="H81" t="s">
        <v>636</v>
      </c>
    </row>
    <row r="82" spans="7:13" x14ac:dyDescent="0.3">
      <c r="G82" t="s">
        <v>529</v>
      </c>
      <c r="H82" t="s">
        <v>227</v>
      </c>
    </row>
    <row r="83" spans="7:13" x14ac:dyDescent="0.3">
      <c r="G83" t="s">
        <v>530</v>
      </c>
      <c r="H83" t="s">
        <v>234</v>
      </c>
    </row>
    <row r="84" spans="7:13" x14ac:dyDescent="0.3">
      <c r="G84" t="s">
        <v>531</v>
      </c>
      <c r="H84" t="s">
        <v>137</v>
      </c>
    </row>
    <row r="85" spans="7:13" x14ac:dyDescent="0.3">
      <c r="G85" t="s">
        <v>1368</v>
      </c>
      <c r="H85" t="s">
        <v>1356</v>
      </c>
    </row>
    <row r="86" spans="7:13" x14ac:dyDescent="0.3">
      <c r="G86" t="s">
        <v>532</v>
      </c>
      <c r="H86" t="s">
        <v>637</v>
      </c>
      <c r="M86" s="9"/>
    </row>
    <row r="87" spans="7:13" x14ac:dyDescent="0.3">
      <c r="G87" t="s">
        <v>533</v>
      </c>
      <c r="H87" t="s">
        <v>638</v>
      </c>
      <c r="M87" s="9"/>
    </row>
    <row r="88" spans="7:13" x14ac:dyDescent="0.3">
      <c r="G88" t="s">
        <v>534</v>
      </c>
      <c r="H88" t="s">
        <v>639</v>
      </c>
      <c r="M88" s="9"/>
    </row>
    <row r="89" spans="7:13" x14ac:dyDescent="0.3">
      <c r="G89" t="s">
        <v>535</v>
      </c>
      <c r="H89" t="s">
        <v>640</v>
      </c>
      <c r="M89" s="9"/>
    </row>
    <row r="90" spans="7:13" x14ac:dyDescent="0.3">
      <c r="G90" t="s">
        <v>536</v>
      </c>
      <c r="H90" t="s">
        <v>641</v>
      </c>
      <c r="M90" s="9"/>
    </row>
    <row r="91" spans="7:13" x14ac:dyDescent="0.3">
      <c r="G91" t="s">
        <v>537</v>
      </c>
      <c r="H91" t="s">
        <v>642</v>
      </c>
      <c r="M91" s="9"/>
    </row>
    <row r="92" spans="7:13" x14ac:dyDescent="0.3">
      <c r="G92" t="s">
        <v>538</v>
      </c>
      <c r="H92" t="s">
        <v>643</v>
      </c>
      <c r="M92" s="9"/>
    </row>
    <row r="93" spans="7:13" x14ac:dyDescent="0.3">
      <c r="G93" t="s">
        <v>539</v>
      </c>
      <c r="H93" t="s">
        <v>139</v>
      </c>
      <c r="M93" s="9"/>
    </row>
    <row r="94" spans="7:13" x14ac:dyDescent="0.3">
      <c r="G94" t="s">
        <v>540</v>
      </c>
      <c r="H94" t="s">
        <v>140</v>
      </c>
      <c r="M94" s="9"/>
    </row>
    <row r="95" spans="7:13" x14ac:dyDescent="0.3">
      <c r="G95" t="s">
        <v>541</v>
      </c>
      <c r="H95" t="s">
        <v>644</v>
      </c>
    </row>
    <row r="96" spans="7:13" x14ac:dyDescent="0.3">
      <c r="G96" t="s">
        <v>542</v>
      </c>
      <c r="H96" t="s">
        <v>645</v>
      </c>
    </row>
    <row r="97" spans="7:8" x14ac:dyDescent="0.3">
      <c r="G97" t="s">
        <v>543</v>
      </c>
      <c r="H97" t="s">
        <v>646</v>
      </c>
    </row>
    <row r="98" spans="7:8" x14ac:dyDescent="0.3">
      <c r="G98" t="s">
        <v>544</v>
      </c>
      <c r="H98" t="s">
        <v>647</v>
      </c>
    </row>
    <row r="99" spans="7:8" x14ac:dyDescent="0.3">
      <c r="G99" t="s">
        <v>545</v>
      </c>
      <c r="H99" t="s">
        <v>141</v>
      </c>
    </row>
    <row r="100" spans="7:8" x14ac:dyDescent="0.3">
      <c r="G100" t="s">
        <v>1369</v>
      </c>
      <c r="H100" t="s">
        <v>226</v>
      </c>
    </row>
    <row r="101" spans="7:8" x14ac:dyDescent="0.3">
      <c r="G101" t="s">
        <v>546</v>
      </c>
      <c r="H101" t="s">
        <v>358</v>
      </c>
    </row>
    <row r="102" spans="7:8" x14ac:dyDescent="0.3">
      <c r="G102" t="s">
        <v>547</v>
      </c>
      <c r="H102" t="s">
        <v>261</v>
      </c>
    </row>
    <row r="103" spans="7:8" x14ac:dyDescent="0.3">
      <c r="G103" t="s">
        <v>548</v>
      </c>
      <c r="H103" t="s">
        <v>263</v>
      </c>
    </row>
    <row r="104" spans="7:8" x14ac:dyDescent="0.3">
      <c r="G104" t="s">
        <v>549</v>
      </c>
      <c r="H104" t="s">
        <v>265</v>
      </c>
    </row>
    <row r="105" spans="7:8" x14ac:dyDescent="0.3">
      <c r="G105" t="s">
        <v>550</v>
      </c>
      <c r="H105" t="s">
        <v>267</v>
      </c>
    </row>
    <row r="106" spans="7:8" x14ac:dyDescent="0.3">
      <c r="G106" t="s">
        <v>551</v>
      </c>
      <c r="H106" t="s">
        <v>649</v>
      </c>
    </row>
    <row r="107" spans="7:8" x14ac:dyDescent="0.3">
      <c r="G107" t="s">
        <v>552</v>
      </c>
      <c r="H107" t="s">
        <v>269</v>
      </c>
    </row>
    <row r="108" spans="7:8" x14ac:dyDescent="0.3">
      <c r="G108" t="s">
        <v>553</v>
      </c>
      <c r="H108" t="s">
        <v>650</v>
      </c>
    </row>
    <row r="109" spans="7:8" x14ac:dyDescent="0.3">
      <c r="G109" t="s">
        <v>554</v>
      </c>
      <c r="H109" t="s">
        <v>144</v>
      </c>
    </row>
    <row r="110" spans="7:8" x14ac:dyDescent="0.3">
      <c r="G110" t="s">
        <v>1364</v>
      </c>
      <c r="H110" t="s">
        <v>166</v>
      </c>
    </row>
    <row r="111" spans="7:8" x14ac:dyDescent="0.3">
      <c r="G111" t="s">
        <v>555</v>
      </c>
      <c r="H111" t="s">
        <v>145</v>
      </c>
    </row>
    <row r="112" spans="7:8" x14ac:dyDescent="0.3">
      <c r="G112" t="s">
        <v>556</v>
      </c>
      <c r="H112" t="s">
        <v>146</v>
      </c>
    </row>
    <row r="113" spans="7:8" x14ac:dyDescent="0.3">
      <c r="G113" t="s">
        <v>557</v>
      </c>
      <c r="H113" t="s">
        <v>147</v>
      </c>
    </row>
    <row r="114" spans="7:8" x14ac:dyDescent="0.3">
      <c r="G114" t="s">
        <v>558</v>
      </c>
      <c r="H114" t="s">
        <v>148</v>
      </c>
    </row>
    <row r="115" spans="7:8" x14ac:dyDescent="0.3">
      <c r="G115" s="18" t="s">
        <v>559</v>
      </c>
      <c r="H115" t="s">
        <v>150</v>
      </c>
    </row>
    <row r="116" spans="7:8" x14ac:dyDescent="0.3">
      <c r="G116" t="s">
        <v>1110</v>
      </c>
      <c r="H116" t="s">
        <v>150</v>
      </c>
    </row>
    <row r="117" spans="7:8" x14ac:dyDescent="0.3">
      <c r="G117" s="18" t="s">
        <v>560</v>
      </c>
      <c r="H117" t="s">
        <v>151</v>
      </c>
    </row>
    <row r="118" spans="7:8" x14ac:dyDescent="0.3">
      <c r="G118" s="18" t="s">
        <v>561</v>
      </c>
      <c r="H118" t="s">
        <v>152</v>
      </c>
    </row>
    <row r="119" spans="7:8" x14ac:dyDescent="0.3">
      <c r="G119" s="18" t="s">
        <v>562</v>
      </c>
      <c r="H119" t="s">
        <v>153</v>
      </c>
    </row>
    <row r="120" spans="7:8" x14ac:dyDescent="0.3">
      <c r="G120" s="18" t="s">
        <v>563</v>
      </c>
      <c r="H120" t="s">
        <v>154</v>
      </c>
    </row>
    <row r="121" spans="7:8" x14ac:dyDescent="0.3">
      <c r="G121" s="18" t="s">
        <v>1367</v>
      </c>
      <c r="H121" t="s">
        <v>1358</v>
      </c>
    </row>
    <row r="122" spans="7:8" x14ac:dyDescent="0.3">
      <c r="G122" s="18" t="s">
        <v>564</v>
      </c>
      <c r="H122" t="s">
        <v>651</v>
      </c>
    </row>
    <row r="123" spans="7:8" x14ac:dyDescent="0.3">
      <c r="G123" s="18" t="s">
        <v>565</v>
      </c>
      <c r="H123" t="s">
        <v>652</v>
      </c>
    </row>
    <row r="124" spans="7:8" x14ac:dyDescent="0.3">
      <c r="G124" t="s">
        <v>566</v>
      </c>
      <c r="H124" t="s">
        <v>156</v>
      </c>
    </row>
    <row r="125" spans="7:8" x14ac:dyDescent="0.3">
      <c r="G125" s="21" t="s">
        <v>567</v>
      </c>
      <c r="H125" s="21" t="s">
        <v>653</v>
      </c>
    </row>
    <row r="126" spans="7:8" x14ac:dyDescent="0.3">
      <c r="G126" t="s">
        <v>1050</v>
      </c>
      <c r="H126" t="s">
        <v>1048</v>
      </c>
    </row>
    <row r="127" spans="7:8" x14ac:dyDescent="0.3">
      <c r="G127" t="s">
        <v>1377</v>
      </c>
      <c r="H127" t="s">
        <v>1373</v>
      </c>
    </row>
    <row r="128" spans="7:8" x14ac:dyDescent="0.3">
      <c r="G128" s="21" t="s">
        <v>568</v>
      </c>
      <c r="H128" s="21" t="s">
        <v>654</v>
      </c>
    </row>
    <row r="129" spans="7:8" x14ac:dyDescent="0.3">
      <c r="G129" s="21" t="s">
        <v>569</v>
      </c>
      <c r="H129" s="21" t="s">
        <v>655</v>
      </c>
    </row>
    <row r="130" spans="7:8" x14ac:dyDescent="0.3">
      <c r="G130" t="s">
        <v>570</v>
      </c>
      <c r="H130" t="s">
        <v>656</v>
      </c>
    </row>
    <row r="131" spans="7:8" x14ac:dyDescent="0.3">
      <c r="G131" s="21" t="s">
        <v>571</v>
      </c>
      <c r="H131" s="21" t="s">
        <v>159</v>
      </c>
    </row>
    <row r="132" spans="7:8" x14ac:dyDescent="0.3">
      <c r="G132" s="4" t="s">
        <v>911</v>
      </c>
      <c r="H132" s="4" t="s">
        <v>929</v>
      </c>
    </row>
    <row r="133" spans="7:8" x14ac:dyDescent="0.3">
      <c r="G133" s="4" t="s">
        <v>912</v>
      </c>
      <c r="H133" s="4" t="s">
        <v>930</v>
      </c>
    </row>
    <row r="134" spans="7:8" x14ac:dyDescent="0.3">
      <c r="G134" s="4" t="s">
        <v>913</v>
      </c>
      <c r="H134" s="4" t="s">
        <v>931</v>
      </c>
    </row>
    <row r="135" spans="7:8" x14ac:dyDescent="0.3">
      <c r="G135" s="4" t="s">
        <v>914</v>
      </c>
      <c r="H135" s="4" t="s">
        <v>932</v>
      </c>
    </row>
    <row r="136" spans="7:8" x14ac:dyDescent="0.3">
      <c r="G136" s="4" t="s">
        <v>915</v>
      </c>
      <c r="H136" s="4" t="s">
        <v>933</v>
      </c>
    </row>
    <row r="137" spans="7:8" x14ac:dyDescent="0.3">
      <c r="G137" s="4" t="s">
        <v>916</v>
      </c>
      <c r="H137" s="4" t="s">
        <v>934</v>
      </c>
    </row>
    <row r="138" spans="7:8" x14ac:dyDescent="0.3">
      <c r="G138" s="4" t="s">
        <v>917</v>
      </c>
      <c r="H138" s="4" t="s">
        <v>935</v>
      </c>
    </row>
    <row r="139" spans="7:8" x14ac:dyDescent="0.3">
      <c r="G139" s="4" t="s">
        <v>918</v>
      </c>
      <c r="H139" s="4" t="s">
        <v>936</v>
      </c>
    </row>
    <row r="140" spans="7:8" x14ac:dyDescent="0.3">
      <c r="G140" s="4" t="s">
        <v>919</v>
      </c>
      <c r="H140" s="4" t="s">
        <v>937</v>
      </c>
    </row>
    <row r="141" spans="7:8" x14ac:dyDescent="0.3">
      <c r="G141" s="4" t="s">
        <v>920</v>
      </c>
      <c r="H141" s="4" t="s">
        <v>938</v>
      </c>
    </row>
    <row r="142" spans="7:8" x14ac:dyDescent="0.3">
      <c r="G142" s="4" t="s">
        <v>921</v>
      </c>
      <c r="H142" s="4" t="s">
        <v>939</v>
      </c>
    </row>
    <row r="143" spans="7:8" x14ac:dyDescent="0.3">
      <c r="G143" s="4" t="s">
        <v>922</v>
      </c>
      <c r="H143" s="4" t="s">
        <v>940</v>
      </c>
    </row>
    <row r="144" spans="7:8" x14ac:dyDescent="0.3">
      <c r="G144" s="4" t="s">
        <v>923</v>
      </c>
      <c r="H144" s="4" t="s">
        <v>941</v>
      </c>
    </row>
    <row r="145" spans="7:8" x14ac:dyDescent="0.3">
      <c r="G145" s="4" t="s">
        <v>924</v>
      </c>
      <c r="H145" s="4" t="s">
        <v>942</v>
      </c>
    </row>
    <row r="146" spans="7:8" x14ac:dyDescent="0.3">
      <c r="G146" s="4" t="s">
        <v>925</v>
      </c>
      <c r="H146" s="4" t="s">
        <v>943</v>
      </c>
    </row>
    <row r="147" spans="7:8" x14ac:dyDescent="0.3">
      <c r="G147" s="4" t="s">
        <v>926</v>
      </c>
      <c r="H147" s="4" t="s">
        <v>944</v>
      </c>
    </row>
    <row r="148" spans="7:8" x14ac:dyDescent="0.3">
      <c r="G148" s="4" t="s">
        <v>927</v>
      </c>
      <c r="H148" s="4" t="s">
        <v>945</v>
      </c>
    </row>
    <row r="149" spans="7:8" x14ac:dyDescent="0.3">
      <c r="G149" s="4" t="s">
        <v>928</v>
      </c>
      <c r="H149" s="4" t="s">
        <v>946</v>
      </c>
    </row>
    <row r="150" spans="7:8" x14ac:dyDescent="0.3">
      <c r="G150" t="s">
        <v>1124</v>
      </c>
      <c r="H150" t="s">
        <v>1125</v>
      </c>
    </row>
    <row r="151" spans="7:8" x14ac:dyDescent="0.3">
      <c r="G151" t="s">
        <v>572</v>
      </c>
      <c r="H151" t="s">
        <v>657</v>
      </c>
    </row>
    <row r="152" spans="7:8" x14ac:dyDescent="0.3">
      <c r="G152" t="s">
        <v>573</v>
      </c>
      <c r="H152" t="s">
        <v>658</v>
      </c>
    </row>
    <row r="153" spans="7:8" x14ac:dyDescent="0.3">
      <c r="G153" t="s">
        <v>574</v>
      </c>
      <c r="H153" t="s">
        <v>659</v>
      </c>
    </row>
    <row r="154" spans="7:8" x14ac:dyDescent="0.3">
      <c r="G154" t="s">
        <v>575</v>
      </c>
      <c r="H154" t="s">
        <v>660</v>
      </c>
    </row>
    <row r="155" spans="7:8" x14ac:dyDescent="0.3">
      <c r="G155" t="s">
        <v>576</v>
      </c>
      <c r="H155" t="s">
        <v>661</v>
      </c>
    </row>
    <row r="156" spans="7:8" x14ac:dyDescent="0.3">
      <c r="G156" t="s">
        <v>1290</v>
      </c>
      <c r="H156" t="s">
        <v>1253</v>
      </c>
    </row>
    <row r="157" spans="7:8" x14ac:dyDescent="0.3">
      <c r="G157" t="s">
        <v>1291</v>
      </c>
      <c r="H157" t="s">
        <v>1271</v>
      </c>
    </row>
    <row r="158" spans="7:8" x14ac:dyDescent="0.3">
      <c r="G158" t="s">
        <v>1292</v>
      </c>
      <c r="H158" t="s">
        <v>1254</v>
      </c>
    </row>
    <row r="159" spans="7:8" x14ac:dyDescent="0.3">
      <c r="G159" t="s">
        <v>1293</v>
      </c>
      <c r="H159" t="s">
        <v>1255</v>
      </c>
    </row>
    <row r="160" spans="7:8" x14ac:dyDescent="0.3">
      <c r="G160" t="s">
        <v>1294</v>
      </c>
      <c r="H160" t="s">
        <v>1256</v>
      </c>
    </row>
    <row r="161" spans="7:8" x14ac:dyDescent="0.3">
      <c r="G161" t="s">
        <v>1295</v>
      </c>
      <c r="H161" t="s">
        <v>1262</v>
      </c>
    </row>
    <row r="162" spans="7:8" x14ac:dyDescent="0.3">
      <c r="G162" t="s">
        <v>1307</v>
      </c>
      <c r="H162" t="s">
        <v>1306</v>
      </c>
    </row>
    <row r="163" spans="7:8" x14ac:dyDescent="0.3">
      <c r="G163" t="s">
        <v>1296</v>
      </c>
      <c r="H163" t="s">
        <v>1263</v>
      </c>
    </row>
    <row r="164" spans="7:8" x14ac:dyDescent="0.3">
      <c r="G164" t="s">
        <v>1297</v>
      </c>
      <c r="H164" t="s">
        <v>1264</v>
      </c>
    </row>
    <row r="165" spans="7:8" x14ac:dyDescent="0.3">
      <c r="G165" t="s">
        <v>1311</v>
      </c>
      <c r="H165" t="s">
        <v>1265</v>
      </c>
    </row>
    <row r="166" spans="7:8" x14ac:dyDescent="0.3">
      <c r="G166" s="4" t="s">
        <v>1090</v>
      </c>
      <c r="H166" s="4" t="s">
        <v>1086</v>
      </c>
    </row>
    <row r="167" spans="7:8" x14ac:dyDescent="0.3">
      <c r="G167" s="4" t="s">
        <v>1091</v>
      </c>
      <c r="H167" s="4" t="s">
        <v>1087</v>
      </c>
    </row>
    <row r="168" spans="7:8" x14ac:dyDescent="0.3">
      <c r="G168" s="4" t="s">
        <v>1092</v>
      </c>
      <c r="H168" s="4" t="s">
        <v>1088</v>
      </c>
    </row>
    <row r="169" spans="7:8" x14ac:dyDescent="0.3">
      <c r="G169" s="4" t="s">
        <v>1093</v>
      </c>
      <c r="H169" s="4" t="s">
        <v>1089</v>
      </c>
    </row>
    <row r="170" spans="7:8" x14ac:dyDescent="0.3">
      <c r="G170" t="s">
        <v>577</v>
      </c>
      <c r="H170" t="s">
        <v>161</v>
      </c>
    </row>
    <row r="171" spans="7:8" x14ac:dyDescent="0.3">
      <c r="G171" t="s">
        <v>578</v>
      </c>
      <c r="H171" t="s">
        <v>353</v>
      </c>
    </row>
    <row r="172" spans="7:8" x14ac:dyDescent="0.3">
      <c r="G172" t="s">
        <v>579</v>
      </c>
      <c r="H172" t="s">
        <v>662</v>
      </c>
    </row>
    <row r="173" spans="7:8" x14ac:dyDescent="0.3">
      <c r="G173" t="s">
        <v>580</v>
      </c>
      <c r="H173" t="s">
        <v>127</v>
      </c>
    </row>
    <row r="174" spans="7:8" x14ac:dyDescent="0.3">
      <c r="G174" s="21" t="s">
        <v>581</v>
      </c>
      <c r="H174" t="s">
        <v>160</v>
      </c>
    </row>
    <row r="175" spans="7:8" x14ac:dyDescent="0.3">
      <c r="G175" s="21" t="s">
        <v>582</v>
      </c>
      <c r="H175" t="s">
        <v>213</v>
      </c>
    </row>
    <row r="176" spans="7:8" x14ac:dyDescent="0.3">
      <c r="G176" t="s">
        <v>583</v>
      </c>
      <c r="H176" t="s">
        <v>134</v>
      </c>
    </row>
    <row r="177" spans="7:8" x14ac:dyDescent="0.3">
      <c r="G177" s="4" t="s">
        <v>878</v>
      </c>
      <c r="H177" s="4" t="s">
        <v>871</v>
      </c>
    </row>
    <row r="178" spans="7:8" x14ac:dyDescent="0.3">
      <c r="G178" s="4" t="s">
        <v>879</v>
      </c>
      <c r="H178" s="4" t="s">
        <v>872</v>
      </c>
    </row>
    <row r="179" spans="7:8" x14ac:dyDescent="0.3">
      <c r="G179" s="4" t="s">
        <v>880</v>
      </c>
      <c r="H179" s="4" t="s">
        <v>873</v>
      </c>
    </row>
    <row r="180" spans="7:8" x14ac:dyDescent="0.3">
      <c r="G180" s="4" t="s">
        <v>881</v>
      </c>
      <c r="H180" s="4" t="s">
        <v>874</v>
      </c>
    </row>
    <row r="181" spans="7:8" x14ac:dyDescent="0.3">
      <c r="G181" s="4" t="s">
        <v>882</v>
      </c>
      <c r="H181" s="4" t="s">
        <v>875</v>
      </c>
    </row>
    <row r="182" spans="7:8" x14ac:dyDescent="0.3">
      <c r="G182" t="s">
        <v>1298</v>
      </c>
      <c r="H182" t="s">
        <v>1281</v>
      </c>
    </row>
    <row r="183" spans="7:8" x14ac:dyDescent="0.3">
      <c r="G183" t="s">
        <v>1299</v>
      </c>
      <c r="H183" t="s">
        <v>1282</v>
      </c>
    </row>
    <row r="184" spans="7:8" x14ac:dyDescent="0.3">
      <c r="G184" t="s">
        <v>1300</v>
      </c>
      <c r="H184" t="s">
        <v>1283</v>
      </c>
    </row>
    <row r="185" spans="7:8" x14ac:dyDescent="0.3">
      <c r="G185" t="s">
        <v>1301</v>
      </c>
      <c r="H185" t="s">
        <v>1284</v>
      </c>
    </row>
    <row r="186" spans="7:8" x14ac:dyDescent="0.3">
      <c r="G186" t="s">
        <v>1302</v>
      </c>
      <c r="H186" t="s">
        <v>1285</v>
      </c>
    </row>
    <row r="187" spans="7:8" x14ac:dyDescent="0.3">
      <c r="G187" t="s">
        <v>1303</v>
      </c>
      <c r="H187" t="s">
        <v>1286</v>
      </c>
    </row>
    <row r="188" spans="7:8" x14ac:dyDescent="0.3">
      <c r="G188" t="s">
        <v>1310</v>
      </c>
      <c r="H188" t="s">
        <v>1308</v>
      </c>
    </row>
    <row r="189" spans="7:8" x14ac:dyDescent="0.3">
      <c r="G189" t="s">
        <v>1304</v>
      </c>
      <c r="H189" t="s">
        <v>1287</v>
      </c>
    </row>
    <row r="190" spans="7:8" x14ac:dyDescent="0.3">
      <c r="G190" t="s">
        <v>1305</v>
      </c>
      <c r="H190" t="s">
        <v>1288</v>
      </c>
    </row>
    <row r="191" spans="7:8" x14ac:dyDescent="0.3">
      <c r="G191" t="s">
        <v>1312</v>
      </c>
      <c r="H191" t="s">
        <v>1289</v>
      </c>
    </row>
    <row r="192" spans="7:8" x14ac:dyDescent="0.3">
      <c r="G192" s="4" t="s">
        <v>883</v>
      </c>
      <c r="H192" s="4" t="s">
        <v>185</v>
      </c>
    </row>
    <row r="193" spans="7:8" x14ac:dyDescent="0.3">
      <c r="G193" s="4" t="s">
        <v>884</v>
      </c>
      <c r="H193" s="4" t="s">
        <v>184</v>
      </c>
    </row>
    <row r="194" spans="7:8" x14ac:dyDescent="0.3">
      <c r="G194" s="4" t="s">
        <v>1037</v>
      </c>
      <c r="H194" s="4" t="s">
        <v>981</v>
      </c>
    </row>
    <row r="195" spans="7:8" x14ac:dyDescent="0.3">
      <c r="G195" s="4" t="s">
        <v>947</v>
      </c>
      <c r="H195" s="4" t="s">
        <v>964</v>
      </c>
    </row>
    <row r="196" spans="7:8" x14ac:dyDescent="0.3">
      <c r="G196" s="4" t="s">
        <v>948</v>
      </c>
      <c r="H196" s="4" t="s">
        <v>965</v>
      </c>
    </row>
    <row r="197" spans="7:8" x14ac:dyDescent="0.3">
      <c r="G197" s="4" t="s">
        <v>949</v>
      </c>
      <c r="H197" s="4" t="s">
        <v>966</v>
      </c>
    </row>
    <row r="198" spans="7:8" x14ac:dyDescent="0.3">
      <c r="G198" s="4" t="s">
        <v>950</v>
      </c>
      <c r="H198" s="4" t="s">
        <v>967</v>
      </c>
    </row>
    <row r="199" spans="7:8" x14ac:dyDescent="0.3">
      <c r="G199" s="4" t="s">
        <v>951</v>
      </c>
      <c r="H199" s="4" t="s">
        <v>968</v>
      </c>
    </row>
    <row r="200" spans="7:8" x14ac:dyDescent="0.3">
      <c r="G200" s="4" t="s">
        <v>952</v>
      </c>
      <c r="H200" s="4" t="s">
        <v>969</v>
      </c>
    </row>
    <row r="201" spans="7:8" x14ac:dyDescent="0.3">
      <c r="G201" s="4" t="s">
        <v>953</v>
      </c>
      <c r="H201" s="4" t="s">
        <v>970</v>
      </c>
    </row>
    <row r="202" spans="7:8" x14ac:dyDescent="0.3">
      <c r="G202" s="4" t="s">
        <v>954</v>
      </c>
      <c r="H202" s="4" t="s">
        <v>971</v>
      </c>
    </row>
    <row r="203" spans="7:8" x14ac:dyDescent="0.3">
      <c r="G203" s="4" t="s">
        <v>955</v>
      </c>
      <c r="H203" s="4" t="s">
        <v>972</v>
      </c>
    </row>
    <row r="204" spans="7:8" x14ac:dyDescent="0.3">
      <c r="G204" s="4" t="s">
        <v>956</v>
      </c>
      <c r="H204" s="4" t="s">
        <v>973</v>
      </c>
    </row>
    <row r="205" spans="7:8" x14ac:dyDescent="0.3">
      <c r="G205" s="4" t="s">
        <v>957</v>
      </c>
      <c r="H205" s="4" t="s">
        <v>974</v>
      </c>
    </row>
    <row r="206" spans="7:8" x14ac:dyDescent="0.3">
      <c r="G206" s="4" t="s">
        <v>958</v>
      </c>
      <c r="H206" s="4" t="s">
        <v>975</v>
      </c>
    </row>
    <row r="207" spans="7:8" x14ac:dyDescent="0.3">
      <c r="G207" s="4" t="s">
        <v>959</v>
      </c>
      <c r="H207" s="4" t="s">
        <v>976</v>
      </c>
    </row>
    <row r="208" spans="7:8" x14ac:dyDescent="0.3">
      <c r="G208" s="4" t="s">
        <v>960</v>
      </c>
      <c r="H208" s="4" t="s">
        <v>977</v>
      </c>
    </row>
    <row r="209" spans="7:8" x14ac:dyDescent="0.3">
      <c r="G209" s="4" t="s">
        <v>961</v>
      </c>
      <c r="H209" s="4" t="s">
        <v>978</v>
      </c>
    </row>
    <row r="210" spans="7:8" x14ac:dyDescent="0.3">
      <c r="G210" s="4" t="s">
        <v>962</v>
      </c>
      <c r="H210" s="4" t="s">
        <v>979</v>
      </c>
    </row>
    <row r="211" spans="7:8" x14ac:dyDescent="0.3">
      <c r="G211" s="4" t="s">
        <v>963</v>
      </c>
      <c r="H211" s="4" t="s">
        <v>980</v>
      </c>
    </row>
    <row r="212" spans="7:8" x14ac:dyDescent="0.3">
      <c r="G212" t="s">
        <v>1169</v>
      </c>
      <c r="H212" t="s">
        <v>1126</v>
      </c>
    </row>
    <row r="213" spans="7:8" x14ac:dyDescent="0.3">
      <c r="G213" s="4" t="s">
        <v>885</v>
      </c>
      <c r="H213" s="4" t="s">
        <v>186</v>
      </c>
    </row>
    <row r="214" spans="7:8" x14ac:dyDescent="0.3">
      <c r="G214" s="4" t="s">
        <v>1074</v>
      </c>
      <c r="H214" s="4" t="s">
        <v>1070</v>
      </c>
    </row>
    <row r="215" spans="7:8" x14ac:dyDescent="0.3">
      <c r="G215" s="4" t="s">
        <v>1075</v>
      </c>
      <c r="H215" s="4" t="s">
        <v>1071</v>
      </c>
    </row>
    <row r="216" spans="7:8" x14ac:dyDescent="0.3">
      <c r="G216" s="4" t="s">
        <v>1076</v>
      </c>
      <c r="H216" s="4" t="s">
        <v>1072</v>
      </c>
    </row>
    <row r="217" spans="7:8" x14ac:dyDescent="0.3">
      <c r="G217" s="4" t="s">
        <v>1077</v>
      </c>
      <c r="H217" s="4" t="s">
        <v>1073</v>
      </c>
    </row>
    <row r="218" spans="7:8" x14ac:dyDescent="0.3">
      <c r="G218" s="4" t="s">
        <v>886</v>
      </c>
      <c r="H218" s="4" t="s">
        <v>868</v>
      </c>
    </row>
    <row r="219" spans="7:8" x14ac:dyDescent="0.3">
      <c r="G219" s="4" t="s">
        <v>887</v>
      </c>
      <c r="H219" s="4" t="s">
        <v>869</v>
      </c>
    </row>
    <row r="220" spans="7:8" x14ac:dyDescent="0.3">
      <c r="G220" s="4" t="s">
        <v>888</v>
      </c>
      <c r="H220" s="4" t="s">
        <v>876</v>
      </c>
    </row>
    <row r="221" spans="7:8" x14ac:dyDescent="0.3">
      <c r="G221" s="4" t="s">
        <v>889</v>
      </c>
      <c r="H221" s="4" t="s">
        <v>877</v>
      </c>
    </row>
    <row r="222" spans="7:8" x14ac:dyDescent="0.3">
      <c r="G222" s="4" t="s">
        <v>890</v>
      </c>
      <c r="H222" s="4" t="s">
        <v>870</v>
      </c>
    </row>
    <row r="223" spans="7:8" x14ac:dyDescent="0.3">
      <c r="G223" t="s">
        <v>584</v>
      </c>
      <c r="H223" t="s">
        <v>228</v>
      </c>
    </row>
    <row r="224" spans="7:8" x14ac:dyDescent="0.3">
      <c r="G224" t="s">
        <v>585</v>
      </c>
      <c r="H224" t="s">
        <v>165</v>
      </c>
    </row>
    <row r="225" spans="7:8" x14ac:dyDescent="0.3">
      <c r="G225" s="4"/>
      <c r="H225" s="4"/>
    </row>
    <row r="226" spans="7:8" x14ac:dyDescent="0.3">
      <c r="G226" s="4"/>
      <c r="H226" s="4"/>
    </row>
    <row r="227" spans="7:8" x14ac:dyDescent="0.3">
      <c r="G227" s="4"/>
      <c r="H227" s="4"/>
    </row>
    <row r="229" spans="7:8" x14ac:dyDescent="0.3">
      <c r="G229" s="4"/>
      <c r="H229" s="4"/>
    </row>
    <row r="230" spans="7:8" x14ac:dyDescent="0.3">
      <c r="G230" s="4"/>
      <c r="H230" s="4"/>
    </row>
    <row r="231" spans="7:8" x14ac:dyDescent="0.3">
      <c r="G231" s="4"/>
      <c r="H231" s="4"/>
    </row>
    <row r="232" spans="7:8" x14ac:dyDescent="0.3">
      <c r="G232" s="4"/>
      <c r="H232" s="4"/>
    </row>
    <row r="233" spans="7:8" x14ac:dyDescent="0.3">
      <c r="G233" s="4"/>
      <c r="H233" s="4"/>
    </row>
    <row r="234" spans="7:8" x14ac:dyDescent="0.3">
      <c r="G234" s="4"/>
      <c r="H234" s="4"/>
    </row>
    <row r="235" spans="7:8" x14ac:dyDescent="0.3">
      <c r="G235" s="4"/>
      <c r="H235" s="4"/>
    </row>
    <row r="236" spans="7:8" x14ac:dyDescent="0.3">
      <c r="G236" s="4"/>
      <c r="H236" s="4"/>
    </row>
    <row r="237" spans="7:8" x14ac:dyDescent="0.3">
      <c r="G237" s="4"/>
      <c r="H237" s="4"/>
    </row>
    <row r="238" spans="7:8" x14ac:dyDescent="0.3">
      <c r="G238" s="4"/>
      <c r="H238" s="4"/>
    </row>
    <row r="255" spans="12:12" x14ac:dyDescent="0.3">
      <c r="L255" s="5"/>
    </row>
    <row r="256" spans="12:12" x14ac:dyDescent="0.3">
      <c r="L256" s="5"/>
    </row>
    <row r="257" spans="12:12" x14ac:dyDescent="0.3">
      <c r="L257" s="5"/>
    </row>
    <row r="258" spans="12:12" x14ac:dyDescent="0.3">
      <c r="L258" s="5"/>
    </row>
    <row r="260" spans="12:12" x14ac:dyDescent="0.3">
      <c r="L260" s="5"/>
    </row>
    <row r="277" spans="12:12" x14ac:dyDescent="0.3">
      <c r="L277" s="5"/>
    </row>
    <row r="278" spans="12:12" x14ac:dyDescent="0.3">
      <c r="L278" s="5"/>
    </row>
    <row r="279" spans="12:12" x14ac:dyDescent="0.3">
      <c r="L279" s="5"/>
    </row>
    <row r="280" spans="12:12" x14ac:dyDescent="0.3">
      <c r="L280" s="5"/>
    </row>
    <row r="281" spans="12:12" x14ac:dyDescent="0.3">
      <c r="L281" s="5"/>
    </row>
    <row r="282" spans="12:12" x14ac:dyDescent="0.3">
      <c r="L282" s="5"/>
    </row>
    <row r="283" spans="12:12" x14ac:dyDescent="0.3">
      <c r="L283" s="5"/>
    </row>
    <row r="284" spans="12:12" x14ac:dyDescent="0.3">
      <c r="L284" s="5"/>
    </row>
    <row r="307" spans="8:12" x14ac:dyDescent="0.3">
      <c r="H307" s="5"/>
    </row>
    <row r="308" spans="8:12" x14ac:dyDescent="0.3">
      <c r="H308" s="5"/>
    </row>
    <row r="309" spans="8:12" x14ac:dyDescent="0.3">
      <c r="H309" s="5"/>
    </row>
    <row r="310" spans="8:12" x14ac:dyDescent="0.3">
      <c r="H310" s="5"/>
    </row>
    <row r="312" spans="8:12" x14ac:dyDescent="0.3">
      <c r="L312" s="5"/>
    </row>
    <row r="313" spans="8:12" x14ac:dyDescent="0.3">
      <c r="L313" s="5"/>
    </row>
    <row r="314" spans="8:12" x14ac:dyDescent="0.3">
      <c r="L314" s="5"/>
    </row>
    <row r="315" spans="8:12" x14ac:dyDescent="0.3">
      <c r="L315" s="5"/>
    </row>
    <row r="382" spans="6:9" x14ac:dyDescent="0.3">
      <c r="F382" s="3"/>
      <c r="I382" s="3"/>
    </row>
    <row r="383" spans="6:9" x14ac:dyDescent="0.3">
      <c r="F383" s="3"/>
      <c r="I383" s="3"/>
    </row>
    <row r="384" spans="6:9" x14ac:dyDescent="0.3">
      <c r="F384" s="3"/>
      <c r="I384" s="3"/>
    </row>
    <row r="385" spans="6:9" x14ac:dyDescent="0.3">
      <c r="F385" s="3"/>
      <c r="I385" s="3"/>
    </row>
    <row r="386" spans="6:9" x14ac:dyDescent="0.3">
      <c r="F386" s="3"/>
      <c r="I386" s="3"/>
    </row>
    <row r="387" spans="6:9" x14ac:dyDescent="0.3">
      <c r="F387" s="3"/>
      <c r="I387" s="3"/>
    </row>
    <row r="388" spans="6:9" x14ac:dyDescent="0.3">
      <c r="F388" s="3"/>
      <c r="I388" s="3"/>
    </row>
    <row r="389" spans="6:9" x14ac:dyDescent="0.3">
      <c r="F389" s="3"/>
      <c r="I389" s="3"/>
    </row>
    <row r="390" spans="6:9" x14ac:dyDescent="0.3">
      <c r="F390" s="3"/>
      <c r="I390" s="3"/>
    </row>
    <row r="391" spans="6:9" x14ac:dyDescent="0.3">
      <c r="F391" s="3"/>
      <c r="I391" s="3"/>
    </row>
    <row r="392" spans="6:9" x14ac:dyDescent="0.3">
      <c r="F392" s="3"/>
      <c r="I392" s="3"/>
    </row>
    <row r="393" spans="6:9" x14ac:dyDescent="0.3">
      <c r="F393" s="3"/>
      <c r="I393" s="3"/>
    </row>
    <row r="394" spans="6:9" x14ac:dyDescent="0.3">
      <c r="F394" s="3"/>
      <c r="I394" s="3"/>
    </row>
    <row r="395" spans="6:9" x14ac:dyDescent="0.3">
      <c r="F395" s="3"/>
      <c r="I395" s="3"/>
    </row>
    <row r="396" spans="6:9" x14ac:dyDescent="0.3">
      <c r="F396" s="3"/>
      <c r="I396" s="3"/>
    </row>
    <row r="397" spans="6:9" x14ac:dyDescent="0.3">
      <c r="F397" s="3"/>
      <c r="I397" s="3"/>
    </row>
    <row r="398" spans="6:9" x14ac:dyDescent="0.3">
      <c r="F398" s="3"/>
      <c r="I398" s="3"/>
    </row>
    <row r="399" spans="6:9" x14ac:dyDescent="0.3">
      <c r="F399" s="3"/>
      <c r="I399" s="3"/>
    </row>
  </sheetData>
  <phoneticPr fontId="9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baseColWidth="10" defaultColWidth="10.88671875" defaultRowHeight="14.4" x14ac:dyDescent="0.3"/>
  <sheetData>
    <row r="1" spans="1:5" x14ac:dyDescent="0.3">
      <c r="B1" t="s">
        <v>39</v>
      </c>
      <c r="C1" t="s">
        <v>93</v>
      </c>
      <c r="D1" t="s">
        <v>40</v>
      </c>
      <c r="E1" t="s">
        <v>41</v>
      </c>
    </row>
    <row r="2" spans="1:5" x14ac:dyDescent="0.3">
      <c r="A2" t="s">
        <v>130</v>
      </c>
      <c r="B2" t="s">
        <v>343</v>
      </c>
    </row>
    <row r="3" spans="1:5" x14ac:dyDescent="0.3">
      <c r="A3" t="s">
        <v>345</v>
      </c>
    </row>
    <row r="4" spans="1:5" x14ac:dyDescent="0.3">
      <c r="A4" t="s">
        <v>220</v>
      </c>
    </row>
    <row r="5" spans="1:5" x14ac:dyDescent="0.3">
      <c r="A5" t="s">
        <v>344</v>
      </c>
    </row>
    <row r="11" spans="1:5" x14ac:dyDescent="0.3">
      <c r="B11" t="s">
        <v>39</v>
      </c>
      <c r="C11" t="s">
        <v>93</v>
      </c>
      <c r="D11" t="s">
        <v>40</v>
      </c>
    </row>
    <row r="12" spans="1:5" x14ac:dyDescent="0.3">
      <c r="A12" t="s">
        <v>283</v>
      </c>
      <c r="B12" t="s">
        <v>343</v>
      </c>
    </row>
    <row r="13" spans="1:5" x14ac:dyDescent="0.3">
      <c r="A13" t="s">
        <v>219</v>
      </c>
    </row>
    <row r="14" spans="1:5" x14ac:dyDescent="0.3">
      <c r="A14" t="s">
        <v>221</v>
      </c>
    </row>
    <row r="15" spans="1:5" x14ac:dyDescent="0.3">
      <c r="A15" t="s">
        <v>284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81"/>
  <sheetViews>
    <sheetView topLeftCell="A12" workbookViewId="0">
      <selection activeCell="B33" sqref="B33"/>
    </sheetView>
  </sheetViews>
  <sheetFormatPr baseColWidth="10" defaultColWidth="10.88671875" defaultRowHeight="14.4" x14ac:dyDescent="0.3"/>
  <cols>
    <col min="3" max="7" width="11.5546875" customWidth="1"/>
  </cols>
  <sheetData>
    <row r="2" spans="2:18" x14ac:dyDescent="0.3">
      <c r="C2" s="5" t="s">
        <v>1051</v>
      </c>
      <c r="D2" s="53" t="s">
        <v>909</v>
      </c>
      <c r="E2" s="58" t="s">
        <v>910</v>
      </c>
      <c r="F2" s="54" t="s">
        <v>1052</v>
      </c>
      <c r="G2" s="47" t="s">
        <v>123</v>
      </c>
      <c r="H2" s="61" t="s">
        <v>1057</v>
      </c>
      <c r="I2" s="116" t="s">
        <v>1378</v>
      </c>
      <c r="J2" s="62" t="s">
        <v>125</v>
      </c>
      <c r="K2" s="59" t="s">
        <v>1250</v>
      </c>
      <c r="L2" s="75" t="s">
        <v>1251</v>
      </c>
      <c r="M2" s="63" t="s">
        <v>1252</v>
      </c>
      <c r="N2" s="106" t="s">
        <v>1249</v>
      </c>
      <c r="O2" s="99" t="s">
        <v>1112</v>
      </c>
      <c r="P2" s="72" t="s">
        <v>1056</v>
      </c>
      <c r="Q2" s="81" t="s">
        <v>1054</v>
      </c>
      <c r="R2" s="49" t="s">
        <v>1113</v>
      </c>
    </row>
    <row r="3" spans="2:18" x14ac:dyDescent="0.3">
      <c r="C3" s="5">
        <v>0.5</v>
      </c>
      <c r="D3" s="53">
        <v>0.25</v>
      </c>
      <c r="E3" s="58">
        <v>0.25</v>
      </c>
      <c r="F3" s="54">
        <v>0.25</v>
      </c>
      <c r="G3" s="47">
        <v>0.25</v>
      </c>
      <c r="H3" s="61">
        <v>0.2</v>
      </c>
      <c r="I3" s="116">
        <v>2</v>
      </c>
      <c r="J3" s="62">
        <v>0.25</v>
      </c>
      <c r="K3" s="59">
        <v>0.1</v>
      </c>
      <c r="L3" s="75" t="s">
        <v>111</v>
      </c>
      <c r="M3" s="63">
        <v>0.1</v>
      </c>
      <c r="N3" s="106">
        <v>0.25</v>
      </c>
      <c r="O3" s="99">
        <v>0.1</v>
      </c>
      <c r="P3" s="72">
        <v>0.25</v>
      </c>
      <c r="Q3" s="81">
        <v>0.1</v>
      </c>
      <c r="R3" s="49">
        <v>0.25</v>
      </c>
    </row>
    <row r="4" spans="2:18" x14ac:dyDescent="0.3">
      <c r="B4" s="45"/>
      <c r="C4" s="5"/>
      <c r="D4" s="53"/>
      <c r="E4" s="58"/>
      <c r="F4" s="54"/>
      <c r="G4" s="47"/>
      <c r="H4" s="61"/>
      <c r="I4" s="116"/>
      <c r="J4" s="62"/>
      <c r="K4" s="59"/>
      <c r="L4" s="75"/>
      <c r="M4" s="63"/>
      <c r="N4" s="106"/>
      <c r="O4" s="99"/>
      <c r="P4" s="72"/>
      <c r="Q4" s="81"/>
      <c r="R4" s="49"/>
    </row>
    <row r="5" spans="2:18" x14ac:dyDescent="0.3">
      <c r="C5" s="5" t="s">
        <v>1051</v>
      </c>
      <c r="D5" s="53" t="s">
        <v>909</v>
      </c>
      <c r="E5" s="58" t="s">
        <v>910</v>
      </c>
      <c r="F5" s="54" t="s">
        <v>1052</v>
      </c>
      <c r="G5" s="47" t="s">
        <v>123</v>
      </c>
      <c r="H5" s="61" t="s">
        <v>1057</v>
      </c>
      <c r="I5" s="116" t="s">
        <v>1378</v>
      </c>
      <c r="J5" s="62" t="s">
        <v>125</v>
      </c>
      <c r="K5" s="59" t="s">
        <v>1250</v>
      </c>
      <c r="L5" s="75" t="s">
        <v>1251</v>
      </c>
      <c r="M5" s="63" t="s">
        <v>1252</v>
      </c>
      <c r="N5" s="106" t="s">
        <v>1249</v>
      </c>
      <c r="O5" s="99" t="s">
        <v>1112</v>
      </c>
      <c r="P5" s="72" t="s">
        <v>1056</v>
      </c>
      <c r="Q5" s="81" t="s">
        <v>1055</v>
      </c>
      <c r="R5" s="49" t="s">
        <v>1113</v>
      </c>
    </row>
    <row r="6" spans="2:18" x14ac:dyDescent="0.3">
      <c r="B6" s="50" t="s">
        <v>624</v>
      </c>
      <c r="C6" s="51">
        <v>1</v>
      </c>
      <c r="D6" s="52"/>
      <c r="E6" s="77"/>
      <c r="F6" s="55"/>
      <c r="G6" s="47"/>
      <c r="H6" s="60"/>
      <c r="I6" s="91"/>
      <c r="J6" s="62"/>
      <c r="K6" s="59"/>
      <c r="L6" s="75"/>
      <c r="M6" s="63"/>
      <c r="N6" s="106"/>
      <c r="O6" s="99"/>
      <c r="P6" s="72"/>
      <c r="Q6" s="81"/>
      <c r="R6" s="49"/>
    </row>
    <row r="7" spans="2:18" x14ac:dyDescent="0.3">
      <c r="B7" s="50" t="s">
        <v>625</v>
      </c>
      <c r="C7" s="51">
        <v>1</v>
      </c>
      <c r="D7" s="52"/>
      <c r="E7" s="77"/>
      <c r="F7" s="55"/>
      <c r="G7" s="47"/>
      <c r="H7" s="60"/>
      <c r="I7" s="91"/>
      <c r="J7" s="62"/>
      <c r="K7" s="59"/>
      <c r="L7" s="75"/>
      <c r="M7" s="63"/>
      <c r="N7" s="106"/>
      <c r="O7" s="99"/>
      <c r="P7" s="72"/>
      <c r="Q7" s="81"/>
      <c r="R7" s="49"/>
    </row>
    <row r="8" spans="2:18" x14ac:dyDescent="0.3">
      <c r="B8" s="50" t="s">
        <v>626</v>
      </c>
      <c r="C8" s="51">
        <v>1</v>
      </c>
      <c r="D8" s="52"/>
      <c r="E8" s="77"/>
      <c r="F8" s="55"/>
      <c r="G8" s="47"/>
      <c r="H8" s="60"/>
      <c r="I8" s="91"/>
      <c r="J8" s="62"/>
      <c r="K8" s="59"/>
      <c r="L8" s="75"/>
      <c r="M8" s="63"/>
      <c r="N8" s="106"/>
      <c r="O8" s="99"/>
      <c r="P8" s="72"/>
      <c r="Q8" s="81"/>
      <c r="R8" s="49"/>
    </row>
    <row r="9" spans="2:18" x14ac:dyDescent="0.3">
      <c r="B9" s="50" t="s">
        <v>627</v>
      </c>
      <c r="C9" s="51">
        <v>1</v>
      </c>
      <c r="D9" s="52"/>
      <c r="E9" s="77"/>
      <c r="F9" s="55"/>
      <c r="G9" s="47"/>
      <c r="H9" s="60"/>
      <c r="I9" s="91"/>
      <c r="J9" s="62"/>
      <c r="K9" s="59"/>
      <c r="L9" s="75"/>
      <c r="M9" s="63"/>
      <c r="N9" s="106"/>
      <c r="O9" s="99"/>
      <c r="P9" s="72"/>
      <c r="Q9" s="81"/>
      <c r="R9" s="49"/>
    </row>
    <row r="10" spans="2:18" x14ac:dyDescent="0.3">
      <c r="B10" s="50" t="s">
        <v>628</v>
      </c>
      <c r="C10" s="51">
        <v>1</v>
      </c>
      <c r="D10" s="52"/>
      <c r="E10" s="77"/>
      <c r="F10" s="55"/>
      <c r="G10" s="47"/>
      <c r="H10" s="60"/>
      <c r="I10" s="91"/>
      <c r="J10" s="62"/>
      <c r="K10" s="59"/>
      <c r="L10" s="75"/>
      <c r="M10" s="63"/>
      <c r="N10" s="106"/>
      <c r="O10" s="99"/>
      <c r="P10" s="72"/>
      <c r="Q10" s="81"/>
      <c r="R10" s="49"/>
    </row>
    <row r="11" spans="2:18" x14ac:dyDescent="0.3">
      <c r="B11" s="50" t="s">
        <v>629</v>
      </c>
      <c r="C11" s="51">
        <v>1</v>
      </c>
      <c r="D11" s="52"/>
      <c r="E11" s="77"/>
      <c r="F11" s="55"/>
      <c r="G11" s="47"/>
      <c r="H11" s="60"/>
      <c r="I11" s="91"/>
      <c r="J11" s="62"/>
      <c r="K11" s="59"/>
      <c r="L11" s="75"/>
      <c r="M11" s="63"/>
      <c r="N11" s="106"/>
      <c r="O11" s="99"/>
      <c r="P11" s="72"/>
      <c r="Q11" s="81"/>
      <c r="R11" s="49"/>
    </row>
    <row r="12" spans="2:18" x14ac:dyDescent="0.3">
      <c r="B12" s="50" t="s">
        <v>631</v>
      </c>
      <c r="C12" s="50">
        <v>1</v>
      </c>
      <c r="D12" s="52"/>
      <c r="E12" s="77"/>
      <c r="F12" s="55"/>
      <c r="G12" s="47"/>
      <c r="H12" s="60"/>
      <c r="I12" s="91"/>
      <c r="J12" s="62"/>
      <c r="K12" s="59"/>
      <c r="L12" s="75"/>
      <c r="M12" s="63"/>
      <c r="N12" s="106"/>
      <c r="O12" s="99"/>
      <c r="P12" s="72"/>
      <c r="Q12" s="81"/>
      <c r="R12" s="49"/>
    </row>
    <row r="13" spans="2:18" x14ac:dyDescent="0.3">
      <c r="B13" s="53" t="s">
        <v>632</v>
      </c>
      <c r="C13" s="53"/>
      <c r="D13" s="53">
        <v>1</v>
      </c>
      <c r="E13" s="77"/>
      <c r="F13" s="55"/>
      <c r="G13" s="47"/>
      <c r="H13" s="60"/>
      <c r="I13" s="91"/>
      <c r="J13" s="62"/>
      <c r="K13" s="59"/>
      <c r="L13" s="75"/>
      <c r="M13" s="63"/>
      <c r="N13" s="106"/>
      <c r="O13" s="99"/>
      <c r="P13" s="72"/>
      <c r="Q13" s="81"/>
      <c r="R13" s="49"/>
    </row>
    <row r="14" spans="2:18" x14ac:dyDescent="0.3">
      <c r="B14" s="53" t="s">
        <v>1097</v>
      </c>
      <c r="C14" s="53"/>
      <c r="D14" s="53">
        <v>1</v>
      </c>
      <c r="E14" s="77"/>
      <c r="F14" s="55"/>
      <c r="G14" s="47"/>
      <c r="H14" s="60"/>
      <c r="I14" s="91"/>
      <c r="J14" s="62"/>
      <c r="K14" s="59"/>
      <c r="L14" s="75"/>
      <c r="M14" s="63"/>
      <c r="N14" s="106"/>
      <c r="O14" s="99"/>
      <c r="P14" s="72"/>
      <c r="Q14" s="81"/>
      <c r="R14" s="49"/>
    </row>
    <row r="15" spans="2:18" x14ac:dyDescent="0.3">
      <c r="B15" s="53" t="s">
        <v>633</v>
      </c>
      <c r="C15" s="53"/>
      <c r="D15" s="53">
        <v>1</v>
      </c>
      <c r="E15" s="77"/>
      <c r="F15" s="55"/>
      <c r="G15" s="47"/>
      <c r="H15" s="60"/>
      <c r="I15" s="91"/>
      <c r="J15" s="62"/>
      <c r="K15" s="59"/>
      <c r="L15" s="75"/>
      <c r="M15" s="63"/>
      <c r="N15" s="106"/>
      <c r="O15" s="99"/>
      <c r="P15" s="72"/>
      <c r="Q15" s="81"/>
      <c r="R15" s="49"/>
    </row>
    <row r="16" spans="2:18" x14ac:dyDescent="0.3">
      <c r="B16" s="53" t="s">
        <v>634</v>
      </c>
      <c r="C16" s="53"/>
      <c r="D16" s="53">
        <v>1</v>
      </c>
      <c r="E16" s="77"/>
      <c r="F16" s="55"/>
      <c r="G16" s="47"/>
      <c r="H16" s="60"/>
      <c r="I16" s="91"/>
      <c r="J16" s="62"/>
      <c r="K16" s="59"/>
      <c r="L16" s="75"/>
      <c r="M16" s="63"/>
      <c r="N16" s="106"/>
      <c r="O16" s="99"/>
      <c r="P16" s="72"/>
      <c r="Q16" s="81"/>
      <c r="R16" s="49"/>
    </row>
    <row r="17" spans="2:18" x14ac:dyDescent="0.3">
      <c r="B17" s="53" t="s">
        <v>636</v>
      </c>
      <c r="C17" s="53"/>
      <c r="D17" s="53">
        <v>1</v>
      </c>
      <c r="E17" s="77"/>
      <c r="F17" s="55"/>
      <c r="G17" s="47"/>
      <c r="H17" s="60"/>
      <c r="I17" s="91"/>
      <c r="J17" s="62"/>
      <c r="K17" s="59"/>
      <c r="L17" s="75"/>
      <c r="M17" s="63"/>
      <c r="N17" s="106"/>
      <c r="O17" s="99"/>
      <c r="P17" s="72"/>
      <c r="Q17" s="81"/>
      <c r="R17" s="49"/>
    </row>
    <row r="18" spans="2:18" x14ac:dyDescent="0.3">
      <c r="B18" s="53" t="s">
        <v>637</v>
      </c>
      <c r="C18" s="53"/>
      <c r="D18" s="53">
        <v>1</v>
      </c>
      <c r="E18" s="77"/>
      <c r="F18" s="55"/>
      <c r="G18" s="47"/>
      <c r="H18" s="60"/>
      <c r="I18" s="91"/>
      <c r="J18" s="62"/>
      <c r="K18" s="59"/>
      <c r="L18" s="75"/>
      <c r="M18" s="63"/>
      <c r="N18" s="106"/>
      <c r="O18" s="99"/>
      <c r="P18" s="79"/>
      <c r="Q18" s="81"/>
      <c r="R18" s="49"/>
    </row>
    <row r="19" spans="2:18" x14ac:dyDescent="0.3">
      <c r="B19" s="53" t="s">
        <v>638</v>
      </c>
      <c r="C19" s="53"/>
      <c r="D19" s="53">
        <v>1</v>
      </c>
      <c r="E19" s="77"/>
      <c r="F19" s="55"/>
      <c r="G19" s="47"/>
      <c r="H19" s="60"/>
      <c r="I19" s="91"/>
      <c r="J19" s="62"/>
      <c r="K19" s="59"/>
      <c r="L19" s="75"/>
      <c r="M19" s="63"/>
      <c r="N19" s="106"/>
      <c r="O19" s="99"/>
      <c r="P19" s="79"/>
      <c r="Q19" s="81"/>
      <c r="R19" s="49"/>
    </row>
    <row r="20" spans="2:18" x14ac:dyDescent="0.3">
      <c r="B20" s="53" t="s">
        <v>640</v>
      </c>
      <c r="C20" s="53"/>
      <c r="D20" s="53">
        <v>1</v>
      </c>
      <c r="E20" s="77"/>
      <c r="F20" s="55"/>
      <c r="G20" s="47"/>
      <c r="H20" s="60"/>
      <c r="I20" s="91"/>
      <c r="J20" s="62"/>
      <c r="K20" s="59"/>
      <c r="L20" s="75"/>
      <c r="M20" s="63"/>
      <c r="N20" s="106"/>
      <c r="O20" s="99"/>
      <c r="P20" s="79"/>
      <c r="Q20" s="81"/>
      <c r="R20" s="49"/>
    </row>
    <row r="21" spans="2:18" x14ac:dyDescent="0.3">
      <c r="B21" s="103" t="s">
        <v>148</v>
      </c>
      <c r="C21" s="103"/>
      <c r="D21" s="103">
        <v>0.05</v>
      </c>
      <c r="E21" s="58">
        <v>0.1</v>
      </c>
      <c r="F21" s="54">
        <v>0.1</v>
      </c>
      <c r="G21" s="47">
        <v>0.05</v>
      </c>
      <c r="H21" s="60">
        <v>0.6</v>
      </c>
      <c r="I21" s="91"/>
      <c r="J21" s="62"/>
      <c r="K21" s="59"/>
      <c r="L21" s="75"/>
      <c r="M21" s="63">
        <v>0.1</v>
      </c>
      <c r="N21" s="106"/>
      <c r="O21" s="99"/>
      <c r="P21" s="79"/>
      <c r="Q21" s="81"/>
      <c r="R21" s="49"/>
    </row>
    <row r="22" spans="2:18" x14ac:dyDescent="0.3">
      <c r="B22" s="58" t="s">
        <v>639</v>
      </c>
      <c r="C22" s="58"/>
      <c r="D22" s="58"/>
      <c r="E22" s="78">
        <v>1</v>
      </c>
      <c r="F22" s="55"/>
      <c r="G22" s="47"/>
      <c r="H22" s="60"/>
      <c r="I22" s="91"/>
      <c r="J22" s="62"/>
      <c r="K22" s="59"/>
      <c r="L22" s="75"/>
      <c r="M22" s="63"/>
      <c r="N22" s="106"/>
      <c r="O22" s="99"/>
      <c r="P22" s="79"/>
      <c r="Q22" s="81"/>
      <c r="R22" s="49"/>
    </row>
    <row r="23" spans="2:18" x14ac:dyDescent="0.3">
      <c r="B23" s="58" t="s">
        <v>641</v>
      </c>
      <c r="C23" s="58"/>
      <c r="D23" s="58"/>
      <c r="E23" s="58">
        <v>1</v>
      </c>
      <c r="F23" s="55"/>
      <c r="G23" s="47"/>
      <c r="H23" s="60"/>
      <c r="I23" s="91"/>
      <c r="J23" s="62"/>
      <c r="K23" s="59"/>
      <c r="L23" s="75"/>
      <c r="M23" s="63"/>
      <c r="N23" s="106"/>
      <c r="O23" s="99"/>
      <c r="P23" s="79"/>
      <c r="Q23" s="81"/>
      <c r="R23" s="49"/>
    </row>
    <row r="24" spans="2:18" x14ac:dyDescent="0.3">
      <c r="B24" s="58" t="s">
        <v>642</v>
      </c>
      <c r="C24" s="58"/>
      <c r="D24" s="58"/>
      <c r="E24" s="58">
        <v>1</v>
      </c>
      <c r="F24" s="55"/>
      <c r="G24" s="47"/>
      <c r="H24" s="60"/>
      <c r="I24" s="91"/>
      <c r="J24" s="62"/>
      <c r="K24" s="59"/>
      <c r="L24" s="75"/>
      <c r="M24" s="63"/>
      <c r="N24" s="106"/>
      <c r="O24" s="99"/>
      <c r="P24" s="79"/>
      <c r="Q24" s="81"/>
      <c r="R24" s="49"/>
    </row>
    <row r="25" spans="2:18" x14ac:dyDescent="0.3">
      <c r="B25" s="58" t="s">
        <v>643</v>
      </c>
      <c r="C25" s="58"/>
      <c r="D25" s="58"/>
      <c r="E25" s="58">
        <v>1</v>
      </c>
      <c r="F25" s="55"/>
      <c r="G25" s="47"/>
      <c r="H25" s="60"/>
      <c r="I25" s="91"/>
      <c r="J25" s="62"/>
      <c r="K25" s="59"/>
      <c r="L25" s="75"/>
      <c r="M25" s="63"/>
      <c r="N25" s="106"/>
      <c r="O25" s="99"/>
      <c r="P25" s="79"/>
      <c r="Q25" s="81"/>
      <c r="R25" s="49"/>
    </row>
    <row r="26" spans="2:18" x14ac:dyDescent="0.3">
      <c r="B26" s="58" t="s">
        <v>139</v>
      </c>
      <c r="C26" s="58"/>
      <c r="D26" s="58"/>
      <c r="E26" s="58">
        <v>1</v>
      </c>
      <c r="F26" s="55"/>
      <c r="G26" s="47"/>
      <c r="H26" s="60"/>
      <c r="I26" s="91"/>
      <c r="J26" s="62"/>
      <c r="K26" s="59"/>
      <c r="L26" s="75"/>
      <c r="M26" s="63"/>
      <c r="N26" s="106"/>
      <c r="O26" s="99"/>
      <c r="P26" s="79"/>
      <c r="Q26" s="81"/>
      <c r="R26" s="49"/>
    </row>
    <row r="27" spans="2:18" x14ac:dyDescent="0.3">
      <c r="B27" s="54" t="s">
        <v>630</v>
      </c>
      <c r="C27" s="54" t="s">
        <v>461</v>
      </c>
      <c r="D27" s="54"/>
      <c r="E27" s="54" t="s">
        <v>461</v>
      </c>
      <c r="F27" s="54">
        <v>1</v>
      </c>
      <c r="G27" s="47"/>
      <c r="H27" s="60"/>
      <c r="I27" s="91"/>
      <c r="J27" s="62"/>
      <c r="K27" s="59"/>
      <c r="L27" s="75"/>
      <c r="M27" s="63"/>
      <c r="N27" s="106"/>
      <c r="O27" s="99"/>
      <c r="P27" s="72"/>
      <c r="Q27" s="81"/>
      <c r="R27" s="49"/>
    </row>
    <row r="28" spans="2:18" x14ac:dyDescent="0.3">
      <c r="B28" s="48" t="s">
        <v>635</v>
      </c>
      <c r="C28" s="48"/>
      <c r="D28" s="56" t="s">
        <v>461</v>
      </c>
      <c r="E28" s="57"/>
      <c r="F28" s="54">
        <v>1</v>
      </c>
      <c r="G28" s="47"/>
      <c r="H28" s="60"/>
      <c r="I28" s="91"/>
      <c r="J28" s="62"/>
      <c r="K28" s="59"/>
      <c r="L28" s="75"/>
      <c r="M28" s="63"/>
      <c r="N28" s="106"/>
      <c r="O28" s="99"/>
      <c r="P28" s="72"/>
      <c r="Q28" s="81"/>
      <c r="R28" s="49"/>
    </row>
    <row r="29" spans="2:18" x14ac:dyDescent="0.3">
      <c r="B29" s="54" t="s">
        <v>140</v>
      </c>
      <c r="C29" s="54"/>
      <c r="D29" s="54"/>
      <c r="E29" s="54"/>
      <c r="F29" s="54">
        <v>1</v>
      </c>
      <c r="G29" s="47" t="s">
        <v>461</v>
      </c>
      <c r="H29" s="60"/>
      <c r="I29" s="91"/>
      <c r="J29" s="62"/>
      <c r="K29" s="59"/>
      <c r="L29" s="75"/>
      <c r="M29" s="63"/>
      <c r="N29" s="106"/>
      <c r="O29" s="99"/>
      <c r="P29" s="79"/>
      <c r="Q29" s="81"/>
      <c r="R29" s="49"/>
    </row>
    <row r="30" spans="2:18" x14ac:dyDescent="0.3">
      <c r="B30" s="54" t="s">
        <v>645</v>
      </c>
      <c r="C30" s="54"/>
      <c r="D30" s="54"/>
      <c r="E30" s="54"/>
      <c r="F30" s="54">
        <v>1</v>
      </c>
      <c r="G30" s="47" t="s">
        <v>461</v>
      </c>
      <c r="H30" s="60"/>
      <c r="I30" s="91"/>
      <c r="J30" s="62"/>
      <c r="K30" s="59"/>
      <c r="L30" s="75"/>
      <c r="M30" s="63"/>
      <c r="N30" s="106"/>
      <c r="O30" s="99"/>
      <c r="P30" s="79"/>
      <c r="Q30" s="81"/>
      <c r="R30" s="49"/>
    </row>
    <row r="31" spans="2:18" x14ac:dyDescent="0.3">
      <c r="B31" s="54" t="s">
        <v>644</v>
      </c>
      <c r="C31" s="54"/>
      <c r="D31" s="54"/>
      <c r="E31" s="54"/>
      <c r="F31" s="54">
        <v>1</v>
      </c>
      <c r="G31" s="47" t="s">
        <v>461</v>
      </c>
      <c r="H31" s="60"/>
      <c r="I31" s="91"/>
      <c r="J31" s="62"/>
      <c r="K31" s="59"/>
      <c r="L31" s="75"/>
      <c r="M31" s="63"/>
      <c r="N31" s="106"/>
      <c r="O31" s="99"/>
      <c r="P31" s="79"/>
      <c r="Q31" s="81"/>
      <c r="R31" s="49"/>
    </row>
    <row r="32" spans="2:18" x14ac:dyDescent="0.3">
      <c r="B32" s="47" t="s">
        <v>136</v>
      </c>
      <c r="C32" s="47"/>
      <c r="D32" s="47"/>
      <c r="E32" s="64"/>
      <c r="F32" s="65"/>
      <c r="G32" s="47">
        <v>0.5</v>
      </c>
      <c r="H32" s="60"/>
      <c r="I32" s="91"/>
      <c r="J32" s="62"/>
      <c r="K32" s="59"/>
      <c r="L32" s="75"/>
      <c r="M32" s="63"/>
      <c r="N32" s="106"/>
      <c r="O32" s="99"/>
      <c r="P32" s="72"/>
      <c r="Q32" s="81"/>
      <c r="R32" s="49">
        <v>0.5</v>
      </c>
    </row>
    <row r="33" spans="2:18" x14ac:dyDescent="0.3">
      <c r="B33" s="47" t="s">
        <v>1356</v>
      </c>
      <c r="C33" s="47"/>
      <c r="D33" s="47"/>
      <c r="E33" s="64"/>
      <c r="F33" s="65"/>
      <c r="G33" s="47">
        <v>1</v>
      </c>
      <c r="H33" s="60"/>
      <c r="I33" s="91"/>
      <c r="J33" s="62"/>
      <c r="K33" s="59"/>
      <c r="L33" s="75"/>
      <c r="M33" s="63"/>
      <c r="N33" s="106"/>
      <c r="O33" s="99"/>
      <c r="P33" s="79"/>
      <c r="Q33" s="81"/>
      <c r="R33" s="49"/>
    </row>
    <row r="34" spans="2:18" x14ac:dyDescent="0.3">
      <c r="B34" s="47" t="s">
        <v>646</v>
      </c>
      <c r="C34" s="47"/>
      <c r="D34" s="47"/>
      <c r="E34" s="47"/>
      <c r="F34" s="65"/>
      <c r="G34" s="47">
        <v>1</v>
      </c>
      <c r="H34" s="60"/>
      <c r="I34" s="91"/>
      <c r="J34" s="62"/>
      <c r="K34" s="59"/>
      <c r="L34" s="75"/>
      <c r="M34" s="63"/>
      <c r="N34" s="106"/>
      <c r="O34" s="99"/>
      <c r="P34" s="79"/>
      <c r="Q34" s="81"/>
      <c r="R34" s="49"/>
    </row>
    <row r="35" spans="2:18" x14ac:dyDescent="0.3">
      <c r="B35" s="47" t="s">
        <v>226</v>
      </c>
      <c r="C35" s="47"/>
      <c r="D35" s="47"/>
      <c r="E35" s="47"/>
      <c r="F35" s="47"/>
      <c r="G35" s="47">
        <v>1</v>
      </c>
      <c r="H35" s="60"/>
      <c r="I35" s="91"/>
      <c r="J35" s="62"/>
      <c r="K35" s="59"/>
      <c r="L35" s="75"/>
      <c r="M35" s="63"/>
      <c r="N35" s="106"/>
      <c r="O35" s="99"/>
      <c r="P35" s="79"/>
      <c r="Q35" s="81"/>
      <c r="R35" s="49"/>
    </row>
    <row r="36" spans="2:18" x14ac:dyDescent="0.3">
      <c r="B36" s="47" t="s">
        <v>358</v>
      </c>
      <c r="C36" s="47"/>
      <c r="D36" s="47"/>
      <c r="E36" s="47"/>
      <c r="F36" s="47"/>
      <c r="G36" s="47">
        <v>1</v>
      </c>
      <c r="H36" s="60"/>
      <c r="I36" s="91"/>
      <c r="J36" s="62"/>
      <c r="K36" s="59"/>
      <c r="L36" s="75"/>
      <c r="M36" s="63"/>
      <c r="N36" s="106"/>
      <c r="O36" s="99"/>
      <c r="P36" s="79"/>
      <c r="Q36" s="81"/>
      <c r="R36" s="49"/>
    </row>
    <row r="37" spans="2:18" x14ac:dyDescent="0.3">
      <c r="B37" s="47" t="s">
        <v>261</v>
      </c>
      <c r="C37" s="47"/>
      <c r="D37" s="47"/>
      <c r="E37" s="47"/>
      <c r="F37" s="47"/>
      <c r="G37" s="47">
        <v>1</v>
      </c>
      <c r="H37" s="60"/>
      <c r="I37" s="91"/>
      <c r="J37" s="62"/>
      <c r="K37" s="59"/>
      <c r="L37" s="75"/>
      <c r="M37" s="63"/>
      <c r="N37" s="106"/>
      <c r="O37" s="99"/>
      <c r="P37" s="79"/>
      <c r="Q37" s="81"/>
      <c r="R37" s="49"/>
    </row>
    <row r="38" spans="2:18" x14ac:dyDescent="0.3">
      <c r="B38" s="47" t="s">
        <v>263</v>
      </c>
      <c r="C38" s="47"/>
      <c r="D38" s="47"/>
      <c r="E38" s="47"/>
      <c r="F38" s="47"/>
      <c r="G38" s="47">
        <v>1</v>
      </c>
      <c r="H38" s="60"/>
      <c r="I38" s="91"/>
      <c r="J38" s="62"/>
      <c r="K38" s="59"/>
      <c r="L38" s="75"/>
      <c r="M38" s="63"/>
      <c r="N38" s="106"/>
      <c r="O38" s="99"/>
      <c r="P38" s="79"/>
      <c r="Q38" s="81"/>
      <c r="R38" s="49"/>
    </row>
    <row r="39" spans="2:18" x14ac:dyDescent="0.3">
      <c r="B39" s="47" t="s">
        <v>265</v>
      </c>
      <c r="C39" s="47"/>
      <c r="D39" s="47"/>
      <c r="E39" s="47"/>
      <c r="F39" s="47"/>
      <c r="G39" s="47">
        <v>1</v>
      </c>
      <c r="H39" s="60"/>
      <c r="I39" s="91"/>
      <c r="J39" s="62"/>
      <c r="K39" s="59"/>
      <c r="L39" s="75"/>
      <c r="M39" s="63"/>
      <c r="N39" s="106"/>
      <c r="O39" s="99"/>
      <c r="P39" s="79"/>
      <c r="Q39" s="81"/>
      <c r="R39" s="49"/>
    </row>
    <row r="40" spans="2:18" x14ac:dyDescent="0.3">
      <c r="B40" s="47" t="s">
        <v>267</v>
      </c>
      <c r="C40" s="47"/>
      <c r="D40" s="47"/>
      <c r="E40" s="47"/>
      <c r="F40" s="47"/>
      <c r="G40" s="47">
        <v>1</v>
      </c>
      <c r="H40" s="60"/>
      <c r="I40" s="91"/>
      <c r="J40" s="62"/>
      <c r="K40" s="59"/>
      <c r="L40" s="75"/>
      <c r="M40" s="63"/>
      <c r="N40" s="106"/>
      <c r="O40" s="99"/>
      <c r="P40" s="79"/>
      <c r="Q40" s="81"/>
      <c r="R40" s="49"/>
    </row>
    <row r="41" spans="2:18" x14ac:dyDescent="0.3">
      <c r="B41" s="47" t="s">
        <v>144</v>
      </c>
      <c r="C41" s="47"/>
      <c r="D41" s="47"/>
      <c r="E41" s="47"/>
      <c r="F41" s="47"/>
      <c r="G41" s="47">
        <v>1</v>
      </c>
      <c r="H41" s="60"/>
      <c r="I41" s="91"/>
      <c r="J41" s="62"/>
      <c r="K41" s="59"/>
      <c r="L41" s="75"/>
      <c r="M41" s="63"/>
      <c r="N41" s="106"/>
      <c r="O41" s="99"/>
      <c r="P41" s="79"/>
      <c r="Q41" s="81"/>
      <c r="R41" s="49"/>
    </row>
    <row r="42" spans="2:18" x14ac:dyDescent="0.3">
      <c r="B42" s="47" t="s">
        <v>647</v>
      </c>
      <c r="C42" s="47"/>
      <c r="D42" s="47"/>
      <c r="E42" s="47"/>
      <c r="F42" s="47"/>
      <c r="G42" s="47">
        <v>1</v>
      </c>
      <c r="H42" s="60"/>
      <c r="I42" s="91"/>
      <c r="J42" s="62"/>
      <c r="K42" s="59"/>
      <c r="L42" s="75"/>
      <c r="M42" s="63"/>
      <c r="N42" s="106"/>
      <c r="O42" s="99"/>
      <c r="P42" s="79"/>
      <c r="Q42" s="81"/>
      <c r="R42" s="49"/>
    </row>
    <row r="43" spans="2:18" x14ac:dyDescent="0.3">
      <c r="B43" s="47" t="s">
        <v>1379</v>
      </c>
      <c r="C43" s="47"/>
      <c r="D43" s="47"/>
      <c r="E43" s="47"/>
      <c r="F43" s="47"/>
      <c r="G43" s="47">
        <v>1</v>
      </c>
      <c r="H43" s="60"/>
      <c r="I43" s="91"/>
      <c r="J43" s="62"/>
      <c r="K43" s="59"/>
      <c r="L43" s="75"/>
      <c r="M43" s="63"/>
      <c r="N43" s="106"/>
      <c r="O43" s="99"/>
      <c r="P43" s="79"/>
      <c r="Q43" s="81"/>
      <c r="R43" s="49"/>
    </row>
    <row r="44" spans="2:18" x14ac:dyDescent="0.3">
      <c r="B44" s="47" t="s">
        <v>648</v>
      </c>
      <c r="C44" s="47"/>
      <c r="D44" s="47"/>
      <c r="E44" s="47"/>
      <c r="F44" s="47"/>
      <c r="G44" s="47">
        <v>1</v>
      </c>
      <c r="H44" s="60"/>
      <c r="I44" s="91"/>
      <c r="J44" s="62"/>
      <c r="K44" s="59"/>
      <c r="L44" s="75"/>
      <c r="M44" s="63"/>
      <c r="N44" s="106"/>
      <c r="O44" s="99"/>
      <c r="P44" s="79"/>
      <c r="Q44" s="81"/>
      <c r="R44" s="49"/>
    </row>
    <row r="45" spans="2:18" x14ac:dyDescent="0.3">
      <c r="B45" s="47" t="s">
        <v>649</v>
      </c>
      <c r="C45" s="47"/>
      <c r="D45" s="47"/>
      <c r="E45" s="47"/>
      <c r="F45" s="47"/>
      <c r="G45" s="47">
        <v>1</v>
      </c>
      <c r="H45" s="60"/>
      <c r="I45" s="91"/>
      <c r="J45" s="62"/>
      <c r="K45" s="59"/>
      <c r="L45" s="75"/>
      <c r="M45" s="63"/>
      <c r="N45" s="106"/>
      <c r="O45" s="99"/>
      <c r="P45" s="79"/>
      <c r="Q45" s="81"/>
      <c r="R45" s="49"/>
    </row>
    <row r="46" spans="2:18" x14ac:dyDescent="0.3">
      <c r="B46" s="47" t="s">
        <v>146</v>
      </c>
      <c r="C46" s="47"/>
      <c r="D46" s="47"/>
      <c r="E46" s="47"/>
      <c r="F46" s="47"/>
      <c r="G46" s="47">
        <v>1</v>
      </c>
      <c r="H46" s="60"/>
      <c r="I46" s="91"/>
      <c r="J46" s="62"/>
      <c r="K46" s="59"/>
      <c r="L46" s="75"/>
      <c r="M46" s="63"/>
      <c r="N46" s="106"/>
      <c r="O46" s="99"/>
      <c r="P46" s="79"/>
      <c r="Q46" s="81"/>
      <c r="R46" s="49"/>
    </row>
    <row r="47" spans="2:18" x14ac:dyDescent="0.3">
      <c r="B47" s="47" t="s">
        <v>147</v>
      </c>
      <c r="C47" s="47"/>
      <c r="D47" s="47"/>
      <c r="E47" s="47"/>
      <c r="F47" s="47"/>
      <c r="G47" s="47">
        <v>1</v>
      </c>
      <c r="H47" s="60"/>
      <c r="I47" s="91"/>
      <c r="J47" s="62"/>
      <c r="K47" s="59"/>
      <c r="L47" s="75"/>
      <c r="M47" s="63"/>
      <c r="N47" s="106"/>
      <c r="O47" s="99"/>
      <c r="P47" s="79"/>
      <c r="Q47" s="81"/>
      <c r="R47" s="49"/>
    </row>
    <row r="48" spans="2:18" x14ac:dyDescent="0.3">
      <c r="B48" s="60" t="s">
        <v>1380</v>
      </c>
      <c r="C48" s="60"/>
      <c r="D48" s="60"/>
      <c r="E48" s="60"/>
      <c r="F48" s="60"/>
      <c r="G48" s="60" t="s">
        <v>461</v>
      </c>
      <c r="H48" s="60">
        <v>1</v>
      </c>
      <c r="I48" s="91"/>
      <c r="J48" s="62"/>
      <c r="K48" s="59"/>
      <c r="L48" s="75"/>
      <c r="M48" s="63"/>
      <c r="N48" s="106"/>
      <c r="O48" s="99"/>
      <c r="P48" s="79"/>
      <c r="Q48" s="81"/>
      <c r="R48" s="49"/>
    </row>
    <row r="49" spans="2:18" x14ac:dyDescent="0.3">
      <c r="B49" s="60" t="s">
        <v>149</v>
      </c>
      <c r="C49" s="60"/>
      <c r="D49" s="60"/>
      <c r="E49" s="60"/>
      <c r="F49" s="60"/>
      <c r="G49" s="60"/>
      <c r="H49" s="60">
        <v>1</v>
      </c>
      <c r="I49" s="91"/>
      <c r="J49" s="62"/>
      <c r="K49" s="59"/>
      <c r="L49" s="75"/>
      <c r="M49" s="63"/>
      <c r="N49" s="106"/>
      <c r="O49" s="99"/>
      <c r="P49" s="79"/>
      <c r="Q49" s="81"/>
      <c r="R49" s="49"/>
    </row>
    <row r="50" spans="2:18" x14ac:dyDescent="0.3">
      <c r="B50" s="91" t="s">
        <v>1373</v>
      </c>
      <c r="C50" s="91"/>
      <c r="D50" s="91"/>
      <c r="E50" s="91"/>
      <c r="F50" s="91"/>
      <c r="G50" s="91"/>
      <c r="H50" s="91"/>
      <c r="I50" s="91">
        <v>1</v>
      </c>
      <c r="J50" s="62"/>
      <c r="K50" s="59"/>
      <c r="L50" s="75"/>
      <c r="M50" s="63"/>
      <c r="N50" s="106"/>
      <c r="O50" s="99"/>
      <c r="P50" s="79"/>
      <c r="Q50" s="81"/>
      <c r="R50" s="49"/>
    </row>
    <row r="51" spans="2:18" x14ac:dyDescent="0.3">
      <c r="B51" s="91" t="s">
        <v>158</v>
      </c>
      <c r="C51" s="91"/>
      <c r="D51" s="91"/>
      <c r="E51" s="91"/>
      <c r="F51" s="91"/>
      <c r="G51" s="91"/>
      <c r="H51" s="91"/>
      <c r="I51" s="91">
        <v>1</v>
      </c>
      <c r="J51" s="62"/>
      <c r="K51" s="59"/>
      <c r="L51" s="75"/>
      <c r="M51" s="63"/>
      <c r="N51" s="106"/>
      <c r="O51" s="99"/>
      <c r="P51" s="79"/>
      <c r="Q51" s="81"/>
      <c r="R51" s="49"/>
    </row>
    <row r="52" spans="2:18" x14ac:dyDescent="0.3">
      <c r="B52" s="62" t="s">
        <v>1378</v>
      </c>
      <c r="C52" s="62"/>
      <c r="D52" s="62"/>
      <c r="E52" s="62"/>
      <c r="F52" s="62"/>
      <c r="G52" s="62"/>
      <c r="H52" s="62"/>
      <c r="I52" s="62" t="s">
        <v>461</v>
      </c>
      <c r="J52" s="62">
        <v>1</v>
      </c>
      <c r="K52" s="59"/>
      <c r="L52" s="75"/>
      <c r="M52" s="63"/>
      <c r="N52" s="106"/>
      <c r="O52" s="99"/>
      <c r="P52" s="79"/>
      <c r="Q52" s="81"/>
      <c r="R52" s="49"/>
    </row>
    <row r="53" spans="2:18" x14ac:dyDescent="0.3">
      <c r="B53" s="62" t="s">
        <v>157</v>
      </c>
      <c r="C53" s="62"/>
      <c r="D53" s="62"/>
      <c r="E53" s="62"/>
      <c r="F53" s="62"/>
      <c r="G53" s="62"/>
      <c r="H53" s="62"/>
      <c r="I53" s="62" t="s">
        <v>461</v>
      </c>
      <c r="J53" s="62">
        <v>1</v>
      </c>
      <c r="K53" s="59"/>
      <c r="L53" s="75"/>
      <c r="M53" s="63"/>
      <c r="N53" s="106"/>
      <c r="O53" s="99"/>
      <c r="P53" s="79"/>
      <c r="Q53" s="81"/>
      <c r="R53" s="49"/>
    </row>
    <row r="54" spans="2:18" x14ac:dyDescent="0.3">
      <c r="B54" s="62" t="s">
        <v>153</v>
      </c>
      <c r="C54" s="62"/>
      <c r="D54" s="62"/>
      <c r="E54" s="62"/>
      <c r="F54" s="62"/>
      <c r="G54" s="62"/>
      <c r="H54" s="62"/>
      <c r="I54" s="62"/>
      <c r="J54" s="62">
        <v>1</v>
      </c>
      <c r="K54" s="59"/>
      <c r="L54" s="75"/>
      <c r="M54" s="63"/>
      <c r="N54" s="106"/>
      <c r="O54" s="99"/>
      <c r="P54" s="79"/>
      <c r="Q54" s="81"/>
      <c r="R54" s="49"/>
    </row>
    <row r="55" spans="2:18" x14ac:dyDescent="0.3">
      <c r="B55" s="62" t="s">
        <v>154</v>
      </c>
      <c r="C55" s="62"/>
      <c r="D55" s="62"/>
      <c r="E55" s="62"/>
      <c r="F55" s="62"/>
      <c r="G55" s="62"/>
      <c r="H55" s="62"/>
      <c r="I55" s="62"/>
      <c r="J55" s="62">
        <v>1</v>
      </c>
      <c r="K55" s="59"/>
      <c r="L55" s="75"/>
      <c r="M55" s="63"/>
      <c r="N55" s="106"/>
      <c r="O55" s="99"/>
      <c r="P55" s="79"/>
      <c r="Q55" s="81"/>
      <c r="R55" s="49"/>
    </row>
    <row r="56" spans="2:18" x14ac:dyDescent="0.3">
      <c r="B56" s="62" t="s">
        <v>1358</v>
      </c>
      <c r="C56" s="62"/>
      <c r="D56" s="62"/>
      <c r="E56" s="62"/>
      <c r="F56" s="62"/>
      <c r="G56" s="62"/>
      <c r="H56" s="62"/>
      <c r="I56" s="62"/>
      <c r="J56" s="62">
        <v>0.8</v>
      </c>
      <c r="K56" s="59"/>
      <c r="L56" s="75"/>
      <c r="M56" s="63">
        <v>0.2</v>
      </c>
      <c r="N56" s="106"/>
      <c r="O56" s="99"/>
      <c r="P56" s="79"/>
      <c r="Q56" s="81"/>
      <c r="R56" s="49"/>
    </row>
    <row r="57" spans="2:18" x14ac:dyDescent="0.3">
      <c r="B57" s="62" t="s">
        <v>169</v>
      </c>
      <c r="C57" s="62"/>
      <c r="D57" s="62"/>
      <c r="E57" s="62"/>
      <c r="F57" s="62"/>
      <c r="G57" s="62"/>
      <c r="H57" s="62"/>
      <c r="I57" s="62"/>
      <c r="J57" s="62">
        <v>1</v>
      </c>
      <c r="K57" s="59"/>
      <c r="L57" s="75"/>
      <c r="M57" s="63"/>
      <c r="N57" s="106"/>
      <c r="O57" s="99"/>
      <c r="P57" s="79"/>
      <c r="Q57" s="81"/>
      <c r="R57" s="49"/>
    </row>
    <row r="58" spans="2:18" x14ac:dyDescent="0.3">
      <c r="B58" s="62" t="s">
        <v>156</v>
      </c>
      <c r="C58" s="62"/>
      <c r="D58" s="62"/>
      <c r="E58" s="62"/>
      <c r="F58" s="62"/>
      <c r="G58" s="62"/>
      <c r="H58" s="62"/>
      <c r="I58" s="62"/>
      <c r="J58" s="62">
        <v>1</v>
      </c>
      <c r="K58" s="59"/>
      <c r="L58" s="75"/>
      <c r="M58" s="63"/>
      <c r="N58" s="106"/>
      <c r="O58" s="99"/>
      <c r="P58" s="79"/>
      <c r="Q58" s="81"/>
      <c r="R58" s="49"/>
    </row>
    <row r="59" spans="2:18" x14ac:dyDescent="0.3">
      <c r="B59" s="62" t="s">
        <v>652</v>
      </c>
      <c r="C59" s="62"/>
      <c r="D59" s="62"/>
      <c r="E59" s="62"/>
      <c r="F59" s="62"/>
      <c r="G59" s="62"/>
      <c r="H59" s="62"/>
      <c r="I59" s="62"/>
      <c r="J59" s="62">
        <v>1</v>
      </c>
      <c r="K59" s="59"/>
      <c r="L59" s="75"/>
      <c r="M59" s="63"/>
      <c r="N59" s="106"/>
      <c r="O59" s="99"/>
      <c r="P59" s="79"/>
      <c r="Q59" s="81"/>
      <c r="R59" s="49"/>
    </row>
    <row r="60" spans="2:18" x14ac:dyDescent="0.3">
      <c r="B60" s="62" t="s">
        <v>651</v>
      </c>
      <c r="C60" s="62"/>
      <c r="D60" s="62"/>
      <c r="E60" s="62"/>
      <c r="F60" s="62"/>
      <c r="G60" s="62"/>
      <c r="H60" s="62"/>
      <c r="I60" s="62"/>
      <c r="J60" s="62">
        <v>1</v>
      </c>
      <c r="K60" s="59"/>
      <c r="L60" s="75"/>
      <c r="M60" s="63"/>
      <c r="N60" s="106"/>
      <c r="O60" s="99"/>
      <c r="P60" s="79"/>
      <c r="Q60" s="81"/>
      <c r="R60" s="49"/>
    </row>
    <row r="61" spans="2:18" x14ac:dyDescent="0.3">
      <c r="B61" s="62" t="s">
        <v>653</v>
      </c>
      <c r="C61" s="62"/>
      <c r="D61" s="62"/>
      <c r="E61" s="62"/>
      <c r="F61" s="62"/>
      <c r="G61" s="62"/>
      <c r="H61" s="62"/>
      <c r="I61" s="62"/>
      <c r="J61" s="62">
        <v>1</v>
      </c>
      <c r="K61" s="59"/>
      <c r="L61" s="75"/>
      <c r="M61" s="63"/>
      <c r="N61" s="106"/>
      <c r="O61" s="99"/>
      <c r="P61" s="79"/>
      <c r="Q61" s="81"/>
      <c r="R61" s="49"/>
    </row>
    <row r="62" spans="2:18" x14ac:dyDescent="0.3">
      <c r="B62" s="62" t="s">
        <v>1381</v>
      </c>
      <c r="C62" s="62"/>
      <c r="D62" s="62"/>
      <c r="E62" s="62"/>
      <c r="F62" s="62"/>
      <c r="G62" s="62"/>
      <c r="H62" s="62"/>
      <c r="I62" s="62"/>
      <c r="J62" s="62">
        <v>1</v>
      </c>
      <c r="K62" s="59"/>
      <c r="L62" s="75"/>
      <c r="M62" s="63"/>
      <c r="N62" s="106"/>
      <c r="O62" s="99"/>
      <c r="P62" s="79"/>
      <c r="Q62" s="81"/>
      <c r="R62" s="49"/>
    </row>
    <row r="63" spans="2:18" x14ac:dyDescent="0.3">
      <c r="B63" s="62" t="s">
        <v>1048</v>
      </c>
      <c r="C63" s="62"/>
      <c r="D63" s="62"/>
      <c r="E63" s="62"/>
      <c r="F63" s="62"/>
      <c r="G63" s="62"/>
      <c r="H63" s="62"/>
      <c r="I63" s="62"/>
      <c r="J63" s="62">
        <v>1</v>
      </c>
      <c r="K63" s="59"/>
      <c r="L63" s="75"/>
      <c r="M63" s="63"/>
      <c r="N63" s="106"/>
      <c r="O63" s="99"/>
      <c r="P63" s="79"/>
      <c r="Q63" s="81"/>
      <c r="R63" s="49"/>
    </row>
    <row r="64" spans="2:18" x14ac:dyDescent="0.3">
      <c r="B64" s="59" t="s">
        <v>1251</v>
      </c>
      <c r="C64" s="59"/>
      <c r="D64" s="69"/>
      <c r="E64" s="70"/>
      <c r="F64" s="71"/>
      <c r="G64" s="59"/>
      <c r="H64" s="59"/>
      <c r="I64" s="59"/>
      <c r="J64" s="59"/>
      <c r="K64" s="59">
        <v>1</v>
      </c>
      <c r="L64" s="75"/>
      <c r="M64" s="63"/>
      <c r="N64" s="106"/>
      <c r="O64" s="99"/>
      <c r="P64" s="79"/>
      <c r="Q64" s="81"/>
      <c r="R64" s="49"/>
    </row>
    <row r="65" spans="2:18" x14ac:dyDescent="0.3">
      <c r="B65" s="59" t="s">
        <v>1252</v>
      </c>
      <c r="C65" s="59"/>
      <c r="D65" s="69"/>
      <c r="E65" s="70"/>
      <c r="F65" s="71"/>
      <c r="G65" s="59"/>
      <c r="H65" s="59"/>
      <c r="I65" s="59"/>
      <c r="J65" s="59"/>
      <c r="K65" s="59">
        <v>1</v>
      </c>
      <c r="L65" s="75"/>
      <c r="M65" s="63"/>
      <c r="N65" s="106"/>
      <c r="O65" s="99"/>
      <c r="P65" s="79"/>
      <c r="Q65" s="81"/>
      <c r="R65" s="49"/>
    </row>
    <row r="66" spans="2:18" x14ac:dyDescent="0.3">
      <c r="B66" s="76" t="s">
        <v>141</v>
      </c>
      <c r="C66" s="76"/>
      <c r="D66" s="76"/>
      <c r="E66" s="76"/>
      <c r="F66" s="76"/>
      <c r="G66" s="76"/>
      <c r="H66" s="76"/>
      <c r="I66" s="76"/>
      <c r="J66" s="76"/>
      <c r="K66" s="76" t="s">
        <v>461</v>
      </c>
      <c r="L66" s="75">
        <v>0.5</v>
      </c>
      <c r="M66" s="63"/>
      <c r="N66" s="106"/>
      <c r="O66" s="99"/>
      <c r="P66" s="80">
        <v>0.5</v>
      </c>
      <c r="Q66" s="81"/>
      <c r="R66" s="49"/>
    </row>
    <row r="67" spans="2:18" x14ac:dyDescent="0.3">
      <c r="B67" s="63" t="s">
        <v>150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>
        <v>1</v>
      </c>
      <c r="N67" s="106"/>
      <c r="O67" s="99"/>
      <c r="P67" s="79"/>
      <c r="Q67" s="81"/>
      <c r="R67" s="49"/>
    </row>
    <row r="68" spans="2:18" x14ac:dyDescent="0.3">
      <c r="B68" s="63" t="s">
        <v>269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>
        <v>1</v>
      </c>
      <c r="N68" s="106"/>
      <c r="O68" s="99"/>
      <c r="P68" s="79"/>
      <c r="Q68" s="81"/>
      <c r="R68" s="49"/>
    </row>
    <row r="69" spans="2:18" x14ac:dyDescent="0.3">
      <c r="B69" s="63" t="s">
        <v>650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>
        <v>1</v>
      </c>
      <c r="N69" s="106"/>
      <c r="O69" s="99"/>
      <c r="P69" s="79"/>
      <c r="Q69" s="81"/>
      <c r="R69" s="49"/>
    </row>
    <row r="70" spans="2:18" x14ac:dyDescent="0.3">
      <c r="B70" s="106" t="s">
        <v>151</v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>
        <v>1</v>
      </c>
      <c r="O70" s="99"/>
      <c r="P70" s="79"/>
      <c r="Q70" s="81"/>
      <c r="R70" s="49"/>
    </row>
    <row r="71" spans="2:18" x14ac:dyDescent="0.3">
      <c r="B71" s="106" t="s">
        <v>152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>
        <v>1</v>
      </c>
      <c r="O71" s="99"/>
      <c r="P71" s="79"/>
      <c r="Q71" s="81"/>
      <c r="R71" s="49"/>
    </row>
    <row r="72" spans="2:18" x14ac:dyDescent="0.3">
      <c r="B72" s="106" t="s">
        <v>1250</v>
      </c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>
        <v>1</v>
      </c>
      <c r="O72" s="99"/>
      <c r="P72" s="79"/>
      <c r="Q72" s="81"/>
      <c r="R72" s="49"/>
    </row>
    <row r="73" spans="2:18" x14ac:dyDescent="0.3">
      <c r="B73" s="99" t="s">
        <v>137</v>
      </c>
      <c r="C73" s="99"/>
      <c r="D73" s="99"/>
      <c r="E73" s="101"/>
      <c r="F73" s="102"/>
      <c r="G73" s="99"/>
      <c r="H73" s="99"/>
      <c r="I73" s="99"/>
      <c r="J73" s="99"/>
      <c r="K73" s="99"/>
      <c r="L73" s="99"/>
      <c r="M73" s="99"/>
      <c r="N73" s="99"/>
      <c r="O73" s="99">
        <v>1</v>
      </c>
      <c r="P73" s="72"/>
      <c r="Q73" s="81"/>
      <c r="R73" s="49"/>
    </row>
    <row r="74" spans="2:18" x14ac:dyDescent="0.3">
      <c r="B74" s="99" t="s">
        <v>145</v>
      </c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>
        <v>1</v>
      </c>
      <c r="P74" s="80"/>
      <c r="Q74" s="81"/>
      <c r="R74" s="49"/>
    </row>
    <row r="75" spans="2:18" x14ac:dyDescent="0.3">
      <c r="B75" s="72" t="s">
        <v>1112</v>
      </c>
      <c r="C75" s="72"/>
      <c r="D75" s="72"/>
      <c r="E75" s="73"/>
      <c r="F75" s="74"/>
      <c r="G75" s="72"/>
      <c r="H75" s="72"/>
      <c r="I75" s="72"/>
      <c r="J75" s="72"/>
      <c r="K75" s="72"/>
      <c r="L75" s="72"/>
      <c r="M75" s="72"/>
      <c r="N75" s="72"/>
      <c r="O75" s="72"/>
      <c r="P75" s="72">
        <v>1</v>
      </c>
      <c r="Q75" s="81"/>
      <c r="R75" s="49"/>
    </row>
    <row r="76" spans="2:18" x14ac:dyDescent="0.3">
      <c r="B76" s="72" t="s">
        <v>227</v>
      </c>
      <c r="C76" s="72"/>
      <c r="D76" s="72"/>
      <c r="E76" s="73"/>
      <c r="F76" s="74"/>
      <c r="G76" s="72"/>
      <c r="H76" s="72"/>
      <c r="I76" s="72"/>
      <c r="J76" s="72"/>
      <c r="K76" s="72"/>
      <c r="L76" s="72"/>
      <c r="M76" s="72"/>
      <c r="N76" s="72"/>
      <c r="O76" s="72"/>
      <c r="P76" s="72">
        <v>1</v>
      </c>
      <c r="Q76" s="81"/>
      <c r="R76" s="49"/>
    </row>
    <row r="77" spans="2:18" x14ac:dyDescent="0.3">
      <c r="B77" s="72" t="s">
        <v>234</v>
      </c>
      <c r="C77" s="72"/>
      <c r="D77" s="72"/>
      <c r="E77" s="73"/>
      <c r="F77" s="74"/>
      <c r="G77" s="72"/>
      <c r="H77" s="72"/>
      <c r="I77" s="72"/>
      <c r="J77" s="72"/>
      <c r="K77" s="72"/>
      <c r="L77" s="72"/>
      <c r="M77" s="72"/>
      <c r="N77" s="72"/>
      <c r="O77" s="72"/>
      <c r="P77" s="72">
        <v>1</v>
      </c>
      <c r="Q77" s="81"/>
      <c r="R77" s="49"/>
    </row>
    <row r="78" spans="2:18" x14ac:dyDescent="0.3">
      <c r="B78" s="81" t="s">
        <v>166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2"/>
      <c r="Q78" s="81">
        <v>1</v>
      </c>
      <c r="R78" s="49"/>
    </row>
    <row r="79" spans="2:18" x14ac:dyDescent="0.3">
      <c r="B79" s="49" t="s">
        <v>1056</v>
      </c>
      <c r="C79" s="49"/>
      <c r="D79" s="66"/>
      <c r="E79" s="67"/>
      <c r="F79" s="68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>
        <v>1</v>
      </c>
    </row>
    <row r="80" spans="2:18" x14ac:dyDescent="0.3">
      <c r="B80" s="49" t="s">
        <v>1054</v>
      </c>
      <c r="C80" s="49"/>
      <c r="D80" s="66"/>
      <c r="E80" s="67"/>
      <c r="F80" s="68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>
        <v>1</v>
      </c>
    </row>
    <row r="81" spans="2:4" x14ac:dyDescent="0.3">
      <c r="B81" s="5"/>
      <c r="C81" s="5"/>
      <c r="D81" s="5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B2:V193"/>
  <sheetViews>
    <sheetView topLeftCell="A118" workbookViewId="0">
      <selection activeCell="C134" sqref="C134"/>
    </sheetView>
  </sheetViews>
  <sheetFormatPr baseColWidth="10" defaultColWidth="8.88671875" defaultRowHeight="14.4" x14ac:dyDescent="0.3"/>
  <cols>
    <col min="3" max="3" width="14.6640625" bestFit="1" customWidth="1"/>
    <col min="6" max="6" width="12.109375" customWidth="1"/>
    <col min="9" max="9" width="15" customWidth="1"/>
    <col min="13" max="13" width="12.6640625" customWidth="1"/>
    <col min="14" max="14" width="11.33203125" customWidth="1"/>
    <col min="17" max="17" width="11.77734375" customWidth="1"/>
    <col min="21" max="21" width="17.109375" customWidth="1"/>
    <col min="22" max="22" width="13.5546875" customWidth="1"/>
  </cols>
  <sheetData>
    <row r="2" spans="2:22" x14ac:dyDescent="0.3">
      <c r="D2" s="85" t="s">
        <v>338</v>
      </c>
      <c r="E2" s="59" t="s">
        <v>337</v>
      </c>
      <c r="F2" s="85" t="s">
        <v>1176</v>
      </c>
      <c r="G2" s="88" t="s">
        <v>673</v>
      </c>
      <c r="H2" s="90" t="s">
        <v>339</v>
      </c>
      <c r="I2" s="91" t="s">
        <v>1175</v>
      </c>
      <c r="J2" s="92" t="s">
        <v>282</v>
      </c>
      <c r="K2" s="94" t="s">
        <v>678</v>
      </c>
      <c r="L2" s="93" t="s">
        <v>679</v>
      </c>
      <c r="M2" s="63" t="s">
        <v>680</v>
      </c>
      <c r="N2" s="84" t="s">
        <v>681</v>
      </c>
      <c r="O2" s="49" t="s">
        <v>982</v>
      </c>
      <c r="P2" s="93" t="s">
        <v>682</v>
      </c>
      <c r="Q2" s="96" t="s">
        <v>683</v>
      </c>
      <c r="R2" s="98" t="s">
        <v>341</v>
      </c>
      <c r="S2" s="5" t="s">
        <v>340</v>
      </c>
      <c r="T2" s="72" t="s">
        <v>675</v>
      </c>
      <c r="U2" s="105" t="s">
        <v>1244</v>
      </c>
      <c r="V2" s="48" t="s">
        <v>1245</v>
      </c>
    </row>
    <row r="3" spans="2:22" x14ac:dyDescent="0.3">
      <c r="C3" s="3" t="s">
        <v>1101</v>
      </c>
      <c r="D3" s="85">
        <v>0.5</v>
      </c>
      <c r="E3" s="59">
        <v>0.5</v>
      </c>
      <c r="F3" s="85">
        <v>0.25</v>
      </c>
      <c r="G3" s="88">
        <v>0.2</v>
      </c>
      <c r="H3" s="90">
        <v>0.7</v>
      </c>
      <c r="I3" s="91">
        <v>0.25</v>
      </c>
      <c r="J3" s="92">
        <v>0.5</v>
      </c>
      <c r="K3" s="94" t="s">
        <v>111</v>
      </c>
      <c r="L3" s="93" t="s">
        <v>111</v>
      </c>
      <c r="M3" s="63">
        <v>0.7</v>
      </c>
      <c r="N3" s="84">
        <v>0.5</v>
      </c>
      <c r="O3" s="49">
        <v>7.5</v>
      </c>
      <c r="P3" s="93">
        <v>2</v>
      </c>
      <c r="Q3" s="96">
        <v>2</v>
      </c>
      <c r="R3" s="99" t="s">
        <v>111</v>
      </c>
      <c r="S3" s="5" t="s">
        <v>111</v>
      </c>
      <c r="T3" s="72">
        <v>0.5</v>
      </c>
      <c r="U3" s="105">
        <v>0.25</v>
      </c>
      <c r="V3" s="48">
        <v>0.5</v>
      </c>
    </row>
    <row r="4" spans="2:22" x14ac:dyDescent="0.3">
      <c r="C4" s="3" t="s">
        <v>831</v>
      </c>
      <c r="D4" s="85"/>
      <c r="E4" s="59"/>
      <c r="F4" s="85"/>
      <c r="G4" s="88"/>
      <c r="H4" s="90"/>
      <c r="I4" s="91"/>
      <c r="J4" s="92">
        <v>1</v>
      </c>
      <c r="K4" s="94"/>
      <c r="L4" s="93"/>
      <c r="M4" s="63">
        <v>1</v>
      </c>
      <c r="N4" s="84">
        <v>1</v>
      </c>
      <c r="O4" s="49"/>
      <c r="P4" s="93"/>
      <c r="Q4" s="96"/>
      <c r="R4" s="99"/>
      <c r="S4" s="5"/>
      <c r="T4" s="72"/>
      <c r="U4" s="105"/>
      <c r="V4" s="48"/>
    </row>
    <row r="5" spans="2:22" x14ac:dyDescent="0.3">
      <c r="D5" s="85"/>
      <c r="E5" s="59"/>
      <c r="F5" s="85"/>
      <c r="G5" s="88"/>
      <c r="H5" s="90"/>
      <c r="I5" s="91"/>
      <c r="J5" s="92"/>
      <c r="K5" s="94"/>
      <c r="L5" s="93"/>
      <c r="M5" s="63"/>
      <c r="N5" s="84"/>
      <c r="O5" s="49"/>
      <c r="P5" s="93"/>
      <c r="Q5" s="96"/>
      <c r="R5" s="99"/>
      <c r="S5" s="5"/>
      <c r="T5" s="72"/>
      <c r="U5" s="105"/>
      <c r="V5" s="48"/>
    </row>
    <row r="6" spans="2:22" x14ac:dyDescent="0.3">
      <c r="D6" s="85" t="s">
        <v>338</v>
      </c>
      <c r="E6" s="59" t="s">
        <v>337</v>
      </c>
      <c r="F6" s="85" t="s">
        <v>1176</v>
      </c>
      <c r="G6" s="88" t="s">
        <v>673</v>
      </c>
      <c r="H6" s="90" t="s">
        <v>339</v>
      </c>
      <c r="I6" s="91" t="s">
        <v>1175</v>
      </c>
      <c r="J6" s="92" t="s">
        <v>282</v>
      </c>
      <c r="K6" s="94" t="s">
        <v>678</v>
      </c>
      <c r="L6" s="93" t="s">
        <v>679</v>
      </c>
      <c r="M6" s="63" t="s">
        <v>680</v>
      </c>
      <c r="N6" s="84" t="s">
        <v>681</v>
      </c>
      <c r="O6" s="49" t="s">
        <v>982</v>
      </c>
      <c r="P6" s="93" t="s">
        <v>682</v>
      </c>
      <c r="Q6" s="96" t="s">
        <v>683</v>
      </c>
      <c r="R6" s="98" t="s">
        <v>341</v>
      </c>
      <c r="S6" s="5" t="s">
        <v>340</v>
      </c>
      <c r="T6" s="72" t="s">
        <v>675</v>
      </c>
      <c r="U6" s="105" t="s">
        <v>1244</v>
      </c>
      <c r="V6" s="48" t="s">
        <v>1245</v>
      </c>
    </row>
    <row r="7" spans="2:22" x14ac:dyDescent="0.3">
      <c r="B7" t="s">
        <v>1174</v>
      </c>
      <c r="C7" s="86" t="s">
        <v>660</v>
      </c>
      <c r="D7" s="85">
        <v>1</v>
      </c>
      <c r="E7" s="59"/>
      <c r="F7" s="85"/>
      <c r="G7" s="88"/>
      <c r="H7" s="90"/>
      <c r="I7" s="91"/>
      <c r="J7" s="92"/>
      <c r="K7" s="94"/>
      <c r="L7" s="93"/>
      <c r="M7" s="63"/>
      <c r="N7" s="84"/>
      <c r="O7" s="49"/>
      <c r="P7" s="93"/>
      <c r="Q7" s="96"/>
      <c r="R7" s="99"/>
      <c r="S7" s="5"/>
      <c r="T7" s="72"/>
      <c r="U7" s="105"/>
      <c r="V7" s="48"/>
    </row>
    <row r="8" spans="2:22" x14ac:dyDescent="0.3">
      <c r="B8" t="s">
        <v>1174</v>
      </c>
      <c r="C8" s="86" t="s">
        <v>657</v>
      </c>
      <c r="D8" s="85">
        <v>1</v>
      </c>
      <c r="E8" s="59"/>
      <c r="F8" s="85"/>
      <c r="G8" s="88"/>
      <c r="H8" s="90"/>
      <c r="I8" s="91"/>
      <c r="J8" s="92"/>
      <c r="K8" s="94"/>
      <c r="L8" s="93"/>
      <c r="M8" s="63"/>
      <c r="N8" s="84"/>
      <c r="O8" s="49"/>
      <c r="P8" s="93"/>
      <c r="Q8" s="96"/>
      <c r="R8" s="99"/>
      <c r="S8" s="5"/>
      <c r="T8" s="72"/>
      <c r="U8" s="105"/>
      <c r="V8" s="48"/>
    </row>
    <row r="9" spans="2:22" x14ac:dyDescent="0.3">
      <c r="B9" t="s">
        <v>1174</v>
      </c>
      <c r="C9" s="86" t="s">
        <v>1255</v>
      </c>
      <c r="D9" s="85">
        <v>1</v>
      </c>
      <c r="E9" s="59"/>
      <c r="F9" s="85"/>
      <c r="G9" s="88"/>
      <c r="H9" s="90"/>
      <c r="I9" s="91"/>
      <c r="J9" s="92"/>
      <c r="K9" s="94"/>
      <c r="L9" s="93"/>
      <c r="M9" s="63"/>
      <c r="N9" s="84"/>
      <c r="O9" s="49"/>
      <c r="P9" s="93"/>
      <c r="Q9" s="96"/>
      <c r="R9" s="99"/>
      <c r="S9" s="5"/>
      <c r="T9" s="72"/>
      <c r="U9" s="105"/>
      <c r="V9" s="48"/>
    </row>
    <row r="10" spans="2:22" x14ac:dyDescent="0.3">
      <c r="B10" t="s">
        <v>1174</v>
      </c>
      <c r="C10" s="86" t="s">
        <v>1253</v>
      </c>
      <c r="D10" s="85">
        <v>1</v>
      </c>
      <c r="E10" s="59"/>
      <c r="F10" s="85"/>
      <c r="G10" s="88"/>
      <c r="H10" s="90"/>
      <c r="I10" s="91"/>
      <c r="J10" s="92"/>
      <c r="K10" s="94"/>
      <c r="L10" s="93"/>
      <c r="M10" s="63"/>
      <c r="N10" s="84"/>
      <c r="O10" s="49"/>
      <c r="P10" s="93"/>
      <c r="Q10" s="96"/>
      <c r="R10" s="99"/>
      <c r="S10" s="5"/>
      <c r="T10" s="72"/>
      <c r="U10" s="105"/>
      <c r="V10" s="48"/>
    </row>
    <row r="11" spans="2:22" x14ac:dyDescent="0.3">
      <c r="B11" t="s">
        <v>1174</v>
      </c>
      <c r="C11" s="86" t="s">
        <v>1264</v>
      </c>
      <c r="D11" s="85">
        <v>1</v>
      </c>
      <c r="E11" s="59"/>
      <c r="F11" s="85"/>
      <c r="G11" s="88"/>
      <c r="H11" s="90"/>
      <c r="I11" s="91"/>
      <c r="J11" s="92"/>
      <c r="K11" s="94"/>
      <c r="L11" s="93"/>
      <c r="M11" s="63"/>
      <c r="N11" s="84"/>
      <c r="O11" s="49"/>
      <c r="P11" s="93"/>
      <c r="Q11" s="96"/>
      <c r="R11" s="99"/>
      <c r="S11" s="5"/>
      <c r="T11" s="72"/>
      <c r="U11" s="105"/>
      <c r="V11" s="48"/>
    </row>
    <row r="12" spans="2:22" x14ac:dyDescent="0.3">
      <c r="B12" t="s">
        <v>1174</v>
      </c>
      <c r="C12" s="86" t="s">
        <v>1262</v>
      </c>
      <c r="D12" s="85">
        <v>1</v>
      </c>
      <c r="E12" s="59"/>
      <c r="F12" s="85"/>
      <c r="G12" s="88"/>
      <c r="H12" s="90"/>
      <c r="I12" s="91"/>
      <c r="J12" s="92"/>
      <c r="K12" s="94"/>
      <c r="L12" s="93"/>
      <c r="M12" s="63"/>
      <c r="N12" s="84"/>
      <c r="O12" s="49"/>
      <c r="P12" s="93"/>
      <c r="Q12" s="96"/>
      <c r="R12" s="99"/>
      <c r="S12" s="5"/>
      <c r="T12" s="72"/>
      <c r="U12" s="105"/>
      <c r="V12" s="48"/>
    </row>
    <row r="13" spans="2:22" x14ac:dyDescent="0.3">
      <c r="B13" t="s">
        <v>1174</v>
      </c>
      <c r="C13" s="86" t="s">
        <v>1078</v>
      </c>
      <c r="D13" s="85">
        <v>1</v>
      </c>
      <c r="E13" s="59"/>
      <c r="F13" s="85"/>
      <c r="G13" s="88"/>
      <c r="H13" s="90"/>
      <c r="I13" s="91"/>
      <c r="J13" s="92"/>
      <c r="K13" s="94"/>
      <c r="L13" s="93"/>
      <c r="M13" s="63"/>
      <c r="N13" s="84"/>
      <c r="O13" s="49"/>
      <c r="P13" s="93"/>
      <c r="Q13" s="96"/>
      <c r="R13" s="99"/>
      <c r="S13" s="5"/>
      <c r="T13" s="72"/>
      <c r="U13" s="105"/>
      <c r="V13" s="48"/>
    </row>
    <row r="14" spans="2:22" x14ac:dyDescent="0.3">
      <c r="B14" t="s">
        <v>1174</v>
      </c>
      <c r="C14" s="86" t="s">
        <v>1079</v>
      </c>
      <c r="D14" s="85">
        <v>1</v>
      </c>
      <c r="E14" s="59"/>
      <c r="F14" s="85"/>
      <c r="G14" s="88"/>
      <c r="H14" s="90"/>
      <c r="I14" s="91"/>
      <c r="J14" s="92"/>
      <c r="K14" s="94"/>
      <c r="L14" s="93"/>
      <c r="M14" s="63"/>
      <c r="N14" s="84"/>
      <c r="O14" s="49"/>
      <c r="P14" s="93"/>
      <c r="Q14" s="96"/>
      <c r="R14" s="99"/>
      <c r="S14" s="5"/>
      <c r="T14" s="72"/>
      <c r="U14" s="105"/>
      <c r="V14" s="48"/>
    </row>
    <row r="15" spans="2:22" x14ac:dyDescent="0.3">
      <c r="B15" t="s">
        <v>1174</v>
      </c>
      <c r="C15" s="87" t="s">
        <v>658</v>
      </c>
      <c r="D15" s="59"/>
      <c r="E15" s="59">
        <v>1</v>
      </c>
      <c r="F15" s="85"/>
      <c r="G15" s="88"/>
      <c r="H15" s="90"/>
      <c r="I15" s="91"/>
      <c r="J15" s="92"/>
      <c r="K15" s="94"/>
      <c r="L15" s="93"/>
      <c r="M15" s="63"/>
      <c r="N15" s="84"/>
      <c r="O15" s="49"/>
      <c r="P15" s="93"/>
      <c r="Q15" s="96"/>
      <c r="R15" s="99"/>
      <c r="S15" s="5"/>
      <c r="T15" s="72"/>
      <c r="U15" s="105"/>
      <c r="V15" s="48"/>
    </row>
    <row r="16" spans="2:22" x14ac:dyDescent="0.3">
      <c r="B16" t="s">
        <v>1174</v>
      </c>
      <c r="C16" s="59" t="s">
        <v>659</v>
      </c>
      <c r="D16" s="59"/>
      <c r="E16" s="59">
        <v>1</v>
      </c>
      <c r="F16" s="85"/>
      <c r="G16" s="88"/>
      <c r="H16" s="90"/>
      <c r="I16" s="91"/>
      <c r="J16" s="92"/>
      <c r="K16" s="94"/>
      <c r="L16" s="93"/>
      <c r="M16" s="63"/>
      <c r="N16" s="84"/>
      <c r="O16" s="49"/>
      <c r="P16" s="93"/>
      <c r="Q16" s="96"/>
      <c r="R16" s="99"/>
      <c r="S16" s="5"/>
      <c r="T16" s="72"/>
      <c r="U16" s="105"/>
      <c r="V16" s="48"/>
    </row>
    <row r="17" spans="2:22" x14ac:dyDescent="0.3">
      <c r="B17" t="s">
        <v>1174</v>
      </c>
      <c r="C17" s="87" t="s">
        <v>661</v>
      </c>
      <c r="D17" s="59"/>
      <c r="E17" s="59">
        <v>1</v>
      </c>
      <c r="F17" s="85"/>
      <c r="G17" s="88"/>
      <c r="H17" s="90"/>
      <c r="I17" s="91"/>
      <c r="J17" s="92"/>
      <c r="K17" s="94"/>
      <c r="L17" s="93"/>
      <c r="M17" s="63"/>
      <c r="N17" s="84"/>
      <c r="O17" s="49"/>
      <c r="P17" s="93"/>
      <c r="Q17" s="96"/>
      <c r="R17" s="99"/>
      <c r="S17" s="5"/>
      <c r="T17" s="72"/>
      <c r="U17" s="105"/>
      <c r="V17" s="48"/>
    </row>
    <row r="18" spans="2:22" x14ac:dyDescent="0.3">
      <c r="B18" t="s">
        <v>1174</v>
      </c>
      <c r="C18" s="87" t="s">
        <v>1271</v>
      </c>
      <c r="D18" s="59"/>
      <c r="E18" s="59">
        <v>1</v>
      </c>
      <c r="F18" s="85"/>
      <c r="G18" s="88"/>
      <c r="H18" s="90"/>
      <c r="I18" s="91"/>
      <c r="J18" s="92"/>
      <c r="K18" s="94"/>
      <c r="L18" s="93"/>
      <c r="M18" s="63"/>
      <c r="N18" s="84"/>
      <c r="O18" s="49"/>
      <c r="P18" s="93"/>
      <c r="Q18" s="96"/>
      <c r="R18" s="99"/>
      <c r="S18" s="5"/>
      <c r="T18" s="72"/>
      <c r="U18" s="105"/>
      <c r="V18" s="48"/>
    </row>
    <row r="19" spans="2:22" x14ac:dyDescent="0.3">
      <c r="B19" t="s">
        <v>1174</v>
      </c>
      <c r="C19" s="59" t="s">
        <v>1254</v>
      </c>
      <c r="D19" s="59"/>
      <c r="E19" s="59">
        <v>1</v>
      </c>
      <c r="F19" s="85"/>
      <c r="G19" s="88"/>
      <c r="H19" s="90"/>
      <c r="I19" s="91"/>
      <c r="J19" s="92"/>
      <c r="K19" s="94"/>
      <c r="L19" s="93"/>
      <c r="M19" s="63"/>
      <c r="N19" s="84"/>
      <c r="O19" s="49"/>
      <c r="P19" s="93"/>
      <c r="Q19" s="96"/>
      <c r="R19" s="99"/>
      <c r="S19" s="5"/>
      <c r="T19" s="72"/>
      <c r="U19" s="105"/>
      <c r="V19" s="48"/>
    </row>
    <row r="20" spans="2:22" x14ac:dyDescent="0.3">
      <c r="B20" t="s">
        <v>1174</v>
      </c>
      <c r="C20" s="87" t="s">
        <v>1256</v>
      </c>
      <c r="D20" s="59"/>
      <c r="E20" s="59">
        <v>1</v>
      </c>
      <c r="F20" s="85"/>
      <c r="G20" s="88"/>
      <c r="H20" s="90"/>
      <c r="I20" s="91"/>
      <c r="J20" s="92"/>
      <c r="K20" s="94"/>
      <c r="L20" s="93"/>
      <c r="M20" s="63"/>
      <c r="N20" s="84"/>
      <c r="O20" s="49"/>
      <c r="P20" s="93"/>
      <c r="Q20" s="96"/>
      <c r="R20" s="99"/>
      <c r="S20" s="5"/>
      <c r="T20" s="72"/>
      <c r="U20" s="105"/>
      <c r="V20" s="48"/>
    </row>
    <row r="21" spans="2:22" x14ac:dyDescent="0.3">
      <c r="B21" t="s">
        <v>1174</v>
      </c>
      <c r="C21" s="87" t="s">
        <v>1306</v>
      </c>
      <c r="D21" s="59"/>
      <c r="E21" s="59">
        <v>1</v>
      </c>
      <c r="F21" s="85"/>
      <c r="G21" s="88"/>
      <c r="H21" s="90"/>
      <c r="I21" s="91"/>
      <c r="J21" s="92"/>
      <c r="K21" s="94"/>
      <c r="L21" s="93"/>
      <c r="M21" s="63"/>
      <c r="N21" s="84"/>
      <c r="O21" s="49"/>
      <c r="P21" s="93"/>
      <c r="Q21" s="96"/>
      <c r="R21" s="99"/>
      <c r="S21" s="5"/>
      <c r="T21" s="72"/>
      <c r="U21" s="105"/>
      <c r="V21" s="48"/>
    </row>
    <row r="22" spans="2:22" x14ac:dyDescent="0.3">
      <c r="B22" t="s">
        <v>1174</v>
      </c>
      <c r="C22" s="59" t="s">
        <v>1263</v>
      </c>
      <c r="D22" s="59"/>
      <c r="E22" s="59">
        <v>1</v>
      </c>
      <c r="F22" s="85"/>
      <c r="G22" s="88"/>
      <c r="H22" s="90"/>
      <c r="I22" s="91"/>
      <c r="J22" s="92"/>
      <c r="K22" s="94"/>
      <c r="L22" s="93"/>
      <c r="M22" s="63"/>
      <c r="N22" s="84"/>
      <c r="O22" s="49"/>
      <c r="P22" s="93"/>
      <c r="Q22" s="96"/>
      <c r="R22" s="99"/>
      <c r="S22" s="5"/>
      <c r="T22" s="72"/>
      <c r="U22" s="105"/>
      <c r="V22" s="48"/>
    </row>
    <row r="23" spans="2:22" x14ac:dyDescent="0.3">
      <c r="B23" t="s">
        <v>1174</v>
      </c>
      <c r="C23" s="87" t="s">
        <v>1265</v>
      </c>
      <c r="D23" s="59"/>
      <c r="E23" s="59">
        <v>1</v>
      </c>
      <c r="F23" s="85"/>
      <c r="G23" s="88"/>
      <c r="H23" s="90"/>
      <c r="I23" s="91"/>
      <c r="J23" s="92"/>
      <c r="K23" s="94"/>
      <c r="L23" s="93"/>
      <c r="M23" s="63"/>
      <c r="N23" s="84"/>
      <c r="O23" s="49"/>
      <c r="P23" s="93"/>
      <c r="Q23" s="96"/>
      <c r="R23" s="99"/>
      <c r="S23" s="5"/>
      <c r="T23" s="72"/>
      <c r="U23" s="105"/>
      <c r="V23" s="48"/>
    </row>
    <row r="24" spans="2:22" x14ac:dyDescent="0.3">
      <c r="B24" t="s">
        <v>1174</v>
      </c>
      <c r="C24" s="87" t="s">
        <v>1080</v>
      </c>
      <c r="D24" s="59"/>
      <c r="E24" s="59">
        <v>1</v>
      </c>
      <c r="F24" s="85"/>
      <c r="G24" s="88"/>
      <c r="H24" s="90"/>
      <c r="I24" s="91"/>
      <c r="J24" s="92"/>
      <c r="K24" s="94"/>
      <c r="L24" s="93"/>
      <c r="M24" s="63"/>
      <c r="N24" s="84"/>
      <c r="O24" s="49"/>
      <c r="P24" s="93"/>
      <c r="Q24" s="96"/>
      <c r="R24" s="99"/>
      <c r="S24" s="5"/>
      <c r="T24" s="72"/>
      <c r="U24" s="105"/>
      <c r="V24" s="48"/>
    </row>
    <row r="25" spans="2:22" x14ac:dyDescent="0.3">
      <c r="B25" t="s">
        <v>1174</v>
      </c>
      <c r="C25" s="87" t="s">
        <v>1081</v>
      </c>
      <c r="D25" s="59"/>
      <c r="E25" s="59">
        <v>1</v>
      </c>
      <c r="F25" s="85"/>
      <c r="G25" s="88"/>
      <c r="H25" s="90"/>
      <c r="I25" s="91"/>
      <c r="J25" s="92"/>
      <c r="K25" s="94"/>
      <c r="L25" s="93"/>
      <c r="M25" s="63"/>
      <c r="N25" s="84"/>
      <c r="O25" s="49"/>
      <c r="P25" s="93"/>
      <c r="Q25" s="96"/>
      <c r="R25" s="99"/>
      <c r="S25" s="5"/>
      <c r="T25" s="72"/>
      <c r="U25" s="105"/>
      <c r="V25" s="48"/>
    </row>
    <row r="26" spans="2:22" x14ac:dyDescent="0.3">
      <c r="B26" t="s">
        <v>1174</v>
      </c>
      <c r="C26" s="86" t="s">
        <v>337</v>
      </c>
      <c r="D26" s="85"/>
      <c r="E26" s="85"/>
      <c r="F26" s="85">
        <v>1</v>
      </c>
      <c r="G26" s="88"/>
      <c r="H26" s="90"/>
      <c r="I26" s="91"/>
      <c r="J26" s="92"/>
      <c r="K26" s="94"/>
      <c r="L26" s="93"/>
      <c r="M26" s="63"/>
      <c r="N26" s="84"/>
      <c r="O26" s="49"/>
      <c r="P26" s="93"/>
      <c r="Q26" s="96"/>
      <c r="R26" s="99"/>
      <c r="S26" s="5"/>
      <c r="T26" s="72"/>
      <c r="U26" s="105"/>
      <c r="V26" s="48"/>
    </row>
    <row r="27" spans="2:22" x14ac:dyDescent="0.3">
      <c r="B27" t="s">
        <v>1174</v>
      </c>
      <c r="C27" s="85" t="s">
        <v>338</v>
      </c>
      <c r="D27" s="85"/>
      <c r="E27" s="85"/>
      <c r="F27" s="85">
        <v>0.5</v>
      </c>
      <c r="G27" s="88">
        <v>0.5</v>
      </c>
      <c r="H27" s="90"/>
      <c r="I27" s="91"/>
      <c r="J27" s="92"/>
      <c r="K27" s="94"/>
      <c r="L27" s="93"/>
      <c r="M27" s="63"/>
      <c r="N27" s="84"/>
      <c r="O27" s="49"/>
      <c r="P27" s="93"/>
      <c r="Q27" s="96"/>
      <c r="R27" s="99"/>
      <c r="S27" s="5"/>
      <c r="T27" s="72"/>
      <c r="U27" s="105"/>
      <c r="V27" s="48"/>
    </row>
    <row r="28" spans="2:22" x14ac:dyDescent="0.3">
      <c r="B28" t="s">
        <v>1174</v>
      </c>
      <c r="C28" s="88" t="s">
        <v>161</v>
      </c>
      <c r="D28" s="88"/>
      <c r="E28" s="88"/>
      <c r="F28" s="88"/>
      <c r="G28" s="88">
        <v>1</v>
      </c>
      <c r="H28" s="90"/>
      <c r="I28" s="91"/>
      <c r="J28" s="92"/>
      <c r="K28" s="94"/>
      <c r="L28" s="93"/>
      <c r="M28" s="63"/>
      <c r="N28" s="84"/>
      <c r="O28" s="49"/>
      <c r="P28" s="93"/>
      <c r="Q28" s="96"/>
      <c r="R28" s="99"/>
      <c r="S28" s="5"/>
      <c r="T28" s="72"/>
      <c r="U28" s="105"/>
      <c r="V28" s="48"/>
    </row>
    <row r="29" spans="2:22" x14ac:dyDescent="0.3">
      <c r="B29" t="s">
        <v>1174</v>
      </c>
      <c r="C29" s="89" t="s">
        <v>353</v>
      </c>
      <c r="D29" s="90"/>
      <c r="E29" s="90"/>
      <c r="F29" s="90"/>
      <c r="G29" s="90"/>
      <c r="H29" s="90">
        <v>1</v>
      </c>
      <c r="I29" s="91"/>
      <c r="J29" s="92"/>
      <c r="K29" s="94"/>
      <c r="L29" s="93"/>
      <c r="M29" s="63"/>
      <c r="N29" s="84"/>
      <c r="O29" s="49"/>
      <c r="P29" s="93"/>
      <c r="Q29" s="96"/>
      <c r="R29" s="99"/>
      <c r="S29" s="5"/>
      <c r="T29" s="72"/>
      <c r="U29" s="105"/>
      <c r="V29" s="48"/>
    </row>
    <row r="30" spans="2:22" x14ac:dyDescent="0.3">
      <c r="B30" t="s">
        <v>1174</v>
      </c>
      <c r="C30" s="90" t="s">
        <v>1176</v>
      </c>
      <c r="D30" s="90"/>
      <c r="E30" s="90"/>
      <c r="F30" s="90"/>
      <c r="G30" s="90"/>
      <c r="H30" s="90">
        <v>1</v>
      </c>
      <c r="I30" s="91"/>
      <c r="J30" s="92"/>
      <c r="K30" s="94"/>
      <c r="L30" s="93"/>
      <c r="M30" s="63"/>
      <c r="N30" s="84"/>
      <c r="O30" s="49"/>
      <c r="P30" s="93"/>
      <c r="Q30" s="96"/>
      <c r="R30" s="99"/>
      <c r="S30" s="5"/>
      <c r="T30" s="72"/>
      <c r="U30" s="105"/>
      <c r="V30" s="48"/>
    </row>
    <row r="31" spans="2:22" x14ac:dyDescent="0.3">
      <c r="B31" t="s">
        <v>1174</v>
      </c>
      <c r="C31" s="90" t="s">
        <v>1175</v>
      </c>
      <c r="D31" s="90"/>
      <c r="E31" s="90"/>
      <c r="F31" s="90"/>
      <c r="G31" s="90"/>
      <c r="H31" s="90">
        <v>1</v>
      </c>
      <c r="I31" s="91"/>
      <c r="J31" s="92"/>
      <c r="K31" s="94"/>
      <c r="L31" s="93"/>
      <c r="M31" s="63"/>
      <c r="N31" s="84"/>
      <c r="O31" s="49"/>
      <c r="P31" s="93"/>
      <c r="Q31" s="96"/>
      <c r="R31" s="99"/>
      <c r="S31" s="5"/>
      <c r="T31" s="72"/>
      <c r="U31" s="105"/>
      <c r="V31" s="48"/>
    </row>
    <row r="32" spans="2:22" x14ac:dyDescent="0.3">
      <c r="B32" t="s">
        <v>1174</v>
      </c>
      <c r="C32" s="90" t="s">
        <v>839</v>
      </c>
      <c r="D32" s="90"/>
      <c r="E32" s="90"/>
      <c r="F32" s="90"/>
      <c r="G32" s="90"/>
      <c r="H32" s="90">
        <v>1</v>
      </c>
      <c r="I32" s="91"/>
      <c r="J32" s="92"/>
      <c r="K32" s="94"/>
      <c r="L32" s="93"/>
      <c r="M32" s="63"/>
      <c r="N32" s="84"/>
      <c r="O32" s="49"/>
      <c r="P32" s="93"/>
      <c r="Q32" s="96"/>
      <c r="R32" s="99"/>
      <c r="S32" s="5"/>
      <c r="T32" s="72"/>
      <c r="U32" s="105"/>
      <c r="V32" s="48"/>
    </row>
    <row r="33" spans="2:22" x14ac:dyDescent="0.3">
      <c r="B33" t="s">
        <v>1174</v>
      </c>
      <c r="C33" s="90" t="s">
        <v>1125</v>
      </c>
      <c r="D33" s="90"/>
      <c r="E33" s="90"/>
      <c r="F33" s="90"/>
      <c r="G33" s="90"/>
      <c r="H33" s="90">
        <v>1</v>
      </c>
      <c r="I33" s="91"/>
      <c r="J33" s="92"/>
      <c r="K33" s="94"/>
      <c r="L33" s="93"/>
      <c r="M33" s="63"/>
      <c r="N33" s="84"/>
      <c r="O33" s="49"/>
      <c r="P33" s="93"/>
      <c r="Q33" s="96"/>
      <c r="R33" s="99"/>
      <c r="S33" s="5"/>
      <c r="T33" s="72" t="s">
        <v>111</v>
      </c>
      <c r="U33" s="105" t="s">
        <v>111</v>
      </c>
      <c r="V33" s="48" t="s">
        <v>111</v>
      </c>
    </row>
    <row r="34" spans="2:22" x14ac:dyDescent="0.3">
      <c r="B34" t="s">
        <v>1174</v>
      </c>
      <c r="C34" s="90" t="s">
        <v>982</v>
      </c>
      <c r="D34" s="90"/>
      <c r="E34" s="90"/>
      <c r="F34" s="90"/>
      <c r="G34" s="90"/>
      <c r="H34" s="90">
        <v>1</v>
      </c>
      <c r="I34" s="91"/>
      <c r="J34" s="92"/>
      <c r="K34" s="94"/>
      <c r="L34" s="93"/>
      <c r="M34" s="63"/>
      <c r="N34" s="84"/>
      <c r="O34" s="49"/>
      <c r="P34" s="93"/>
      <c r="Q34" s="96"/>
      <c r="R34" s="99"/>
      <c r="S34" s="5"/>
      <c r="T34" s="72"/>
      <c r="U34" s="105"/>
      <c r="V34" s="48"/>
    </row>
    <row r="35" spans="2:22" x14ac:dyDescent="0.3">
      <c r="B35" s="90" t="s">
        <v>586</v>
      </c>
      <c r="C35" s="90" t="s">
        <v>1244</v>
      </c>
      <c r="D35" s="90"/>
      <c r="E35" s="90"/>
      <c r="F35" s="90"/>
      <c r="G35" s="90"/>
      <c r="H35" s="90">
        <v>1</v>
      </c>
      <c r="I35" s="91"/>
      <c r="J35" s="92"/>
      <c r="K35" s="94"/>
      <c r="L35" s="93"/>
      <c r="M35" s="63"/>
      <c r="N35" s="84"/>
      <c r="O35" s="49"/>
      <c r="P35" s="93"/>
      <c r="Q35" s="96"/>
      <c r="R35" s="99"/>
      <c r="S35" s="5"/>
      <c r="T35" s="72"/>
      <c r="U35" s="105"/>
      <c r="V35" s="48"/>
    </row>
    <row r="36" spans="2:22" x14ac:dyDescent="0.3">
      <c r="B36" s="90" t="s">
        <v>587</v>
      </c>
      <c r="C36" s="90" t="s">
        <v>1244</v>
      </c>
      <c r="D36" s="90"/>
      <c r="E36" s="90"/>
      <c r="F36" s="90"/>
      <c r="G36" s="90"/>
      <c r="H36" s="90">
        <v>1</v>
      </c>
      <c r="I36" s="91"/>
      <c r="J36" s="92"/>
      <c r="K36" s="94"/>
      <c r="L36" s="93"/>
      <c r="M36" s="63"/>
      <c r="N36" s="84"/>
      <c r="O36" s="49"/>
      <c r="P36" s="93"/>
      <c r="Q36" s="96"/>
      <c r="R36" s="99"/>
      <c r="S36" s="5"/>
      <c r="T36" s="72"/>
      <c r="U36" s="105"/>
      <c r="V36" s="48"/>
    </row>
    <row r="37" spans="2:22" x14ac:dyDescent="0.3">
      <c r="B37" s="90" t="s">
        <v>588</v>
      </c>
      <c r="C37" s="90" t="s">
        <v>1244</v>
      </c>
      <c r="D37" s="90"/>
      <c r="E37" s="90"/>
      <c r="F37" s="90"/>
      <c r="G37" s="90"/>
      <c r="H37" s="90">
        <v>1</v>
      </c>
      <c r="I37" s="91"/>
      <c r="J37" s="92"/>
      <c r="K37" s="94"/>
      <c r="L37" s="93"/>
      <c r="M37" s="63"/>
      <c r="N37" s="84"/>
      <c r="O37" s="49"/>
      <c r="P37" s="93"/>
      <c r="Q37" s="96"/>
      <c r="R37" s="99"/>
      <c r="S37" s="5"/>
      <c r="T37" s="72"/>
      <c r="U37" s="105"/>
      <c r="V37" s="48"/>
    </row>
    <row r="38" spans="2:22" x14ac:dyDescent="0.3">
      <c r="B38" s="90" t="s">
        <v>589</v>
      </c>
      <c r="C38" s="90" t="s">
        <v>1244</v>
      </c>
      <c r="D38" s="90"/>
      <c r="E38" s="90"/>
      <c r="F38" s="90"/>
      <c r="G38" s="90"/>
      <c r="H38" s="90">
        <v>1</v>
      </c>
      <c r="I38" s="91"/>
      <c r="J38" s="92"/>
      <c r="K38" s="94"/>
      <c r="L38" s="93"/>
      <c r="M38" s="63"/>
      <c r="N38" s="84"/>
      <c r="O38" s="49"/>
      <c r="P38" s="93"/>
      <c r="Q38" s="96"/>
      <c r="R38" s="99"/>
      <c r="S38" s="5"/>
      <c r="T38" s="72"/>
      <c r="U38" s="105"/>
      <c r="V38" s="48"/>
    </row>
    <row r="39" spans="2:22" x14ac:dyDescent="0.3">
      <c r="B39" s="90" t="s">
        <v>590</v>
      </c>
      <c r="C39" s="90" t="s">
        <v>1244</v>
      </c>
      <c r="D39" s="90"/>
      <c r="E39" s="90"/>
      <c r="F39" s="90"/>
      <c r="G39" s="90"/>
      <c r="H39" s="90">
        <v>1</v>
      </c>
      <c r="I39" s="91"/>
      <c r="J39" s="92"/>
      <c r="K39" s="94"/>
      <c r="L39" s="93"/>
      <c r="M39" s="63"/>
      <c r="N39" s="84"/>
      <c r="O39" s="49"/>
      <c r="P39" s="93"/>
      <c r="Q39" s="96"/>
      <c r="R39" s="99"/>
      <c r="S39" s="5"/>
      <c r="T39" s="72"/>
      <c r="U39" s="105"/>
      <c r="V39" s="48"/>
    </row>
    <row r="40" spans="2:22" x14ac:dyDescent="0.3">
      <c r="B40" s="90" t="s">
        <v>591</v>
      </c>
      <c r="C40" s="90" t="s">
        <v>1244</v>
      </c>
      <c r="D40" s="90"/>
      <c r="E40" s="90"/>
      <c r="F40" s="90"/>
      <c r="G40" s="90"/>
      <c r="H40" s="90">
        <v>1</v>
      </c>
      <c r="I40" s="91"/>
      <c r="J40" s="92"/>
      <c r="K40" s="94"/>
      <c r="L40" s="93"/>
      <c r="M40" s="63"/>
      <c r="N40" s="84"/>
      <c r="O40" s="49"/>
      <c r="P40" s="93"/>
      <c r="Q40" s="96"/>
      <c r="R40" s="99"/>
      <c r="S40" s="5"/>
      <c r="T40" s="72"/>
      <c r="U40" s="105"/>
      <c r="V40" s="48"/>
    </row>
    <row r="41" spans="2:22" x14ac:dyDescent="0.3">
      <c r="B41" s="90" t="s">
        <v>592</v>
      </c>
      <c r="C41" s="90" t="s">
        <v>1244</v>
      </c>
      <c r="D41" s="90"/>
      <c r="E41" s="90"/>
      <c r="F41" s="90"/>
      <c r="G41" s="90"/>
      <c r="H41" s="90">
        <v>1</v>
      </c>
      <c r="I41" s="91"/>
      <c r="J41" s="92"/>
      <c r="K41" s="94"/>
      <c r="L41" s="93"/>
      <c r="M41" s="63"/>
      <c r="N41" s="84"/>
      <c r="O41" s="49"/>
      <c r="P41" s="93"/>
      <c r="Q41" s="96"/>
      <c r="R41" s="99"/>
      <c r="S41" s="5"/>
      <c r="T41" s="72"/>
      <c r="U41" s="105"/>
      <c r="V41" s="48"/>
    </row>
    <row r="42" spans="2:22" x14ac:dyDescent="0.3">
      <c r="B42" s="90" t="s">
        <v>593</v>
      </c>
      <c r="C42" s="90" t="s">
        <v>1244</v>
      </c>
      <c r="D42" s="90"/>
      <c r="E42" s="90"/>
      <c r="F42" s="90"/>
      <c r="G42" s="90"/>
      <c r="H42" s="90">
        <v>1</v>
      </c>
      <c r="I42" s="91"/>
      <c r="J42" s="92"/>
      <c r="K42" s="94"/>
      <c r="L42" s="93"/>
      <c r="M42" s="63"/>
      <c r="N42" s="84"/>
      <c r="O42" s="49"/>
      <c r="P42" s="93"/>
      <c r="Q42" s="96"/>
      <c r="R42" s="99"/>
      <c r="S42" s="5"/>
      <c r="T42" s="72"/>
      <c r="U42" s="105"/>
      <c r="V42" s="48"/>
    </row>
    <row r="43" spans="2:22" x14ac:dyDescent="0.3">
      <c r="B43" s="90" t="s">
        <v>594</v>
      </c>
      <c r="C43" s="90" t="s">
        <v>1245</v>
      </c>
      <c r="D43" s="90"/>
      <c r="E43" s="90"/>
      <c r="F43" s="90"/>
      <c r="G43" s="90"/>
      <c r="H43" s="90">
        <v>1</v>
      </c>
      <c r="I43" s="91"/>
      <c r="J43" s="92"/>
      <c r="K43" s="94"/>
      <c r="L43" s="93"/>
      <c r="M43" s="63"/>
      <c r="N43" s="84"/>
      <c r="O43" s="49"/>
      <c r="P43" s="93"/>
      <c r="Q43" s="96"/>
      <c r="R43" s="99"/>
      <c r="S43" s="5"/>
      <c r="T43" s="72"/>
      <c r="U43" s="105"/>
      <c r="V43" s="48"/>
    </row>
    <row r="44" spans="2:22" x14ac:dyDescent="0.3">
      <c r="B44" s="90" t="s">
        <v>595</v>
      </c>
      <c r="C44" s="90" t="s">
        <v>1245</v>
      </c>
      <c r="D44" s="90"/>
      <c r="E44" s="90"/>
      <c r="F44" s="90"/>
      <c r="G44" s="90"/>
      <c r="H44" s="90">
        <v>1</v>
      </c>
      <c r="I44" s="91"/>
      <c r="J44" s="92"/>
      <c r="K44" s="94"/>
      <c r="L44" s="93"/>
      <c r="M44" s="63"/>
      <c r="N44" s="84"/>
      <c r="O44" s="49"/>
      <c r="P44" s="93"/>
      <c r="Q44" s="96"/>
      <c r="R44" s="99"/>
      <c r="S44" s="5"/>
      <c r="T44" s="72"/>
      <c r="U44" s="105"/>
      <c r="V44" s="48"/>
    </row>
    <row r="45" spans="2:22" x14ac:dyDescent="0.3">
      <c r="B45" s="90" t="s">
        <v>596</v>
      </c>
      <c r="C45" s="90" t="s">
        <v>1245</v>
      </c>
      <c r="D45" s="90"/>
      <c r="E45" s="90"/>
      <c r="F45" s="90"/>
      <c r="G45" s="90"/>
      <c r="H45" s="90">
        <v>1</v>
      </c>
      <c r="I45" s="91"/>
      <c r="J45" s="92"/>
      <c r="K45" s="94"/>
      <c r="L45" s="93"/>
      <c r="M45" s="63"/>
      <c r="N45" s="84"/>
      <c r="O45" s="49"/>
      <c r="P45" s="93"/>
      <c r="Q45" s="96"/>
      <c r="R45" s="99"/>
      <c r="S45" s="5"/>
      <c r="T45" s="72"/>
      <c r="U45" s="105"/>
      <c r="V45" s="48"/>
    </row>
    <row r="46" spans="2:22" x14ac:dyDescent="0.3">
      <c r="B46" s="90" t="s">
        <v>1094</v>
      </c>
      <c r="C46" s="90" t="s">
        <v>1245</v>
      </c>
      <c r="D46" s="90"/>
      <c r="E46" s="90"/>
      <c r="F46" s="90"/>
      <c r="G46" s="90"/>
      <c r="H46" s="90">
        <v>1</v>
      </c>
      <c r="I46" s="91"/>
      <c r="J46" s="92"/>
      <c r="K46" s="94"/>
      <c r="L46" s="93"/>
      <c r="M46" s="63"/>
      <c r="N46" s="84"/>
      <c r="O46" s="49"/>
      <c r="P46" s="93"/>
      <c r="Q46" s="96"/>
      <c r="R46" s="99"/>
      <c r="S46" s="5"/>
      <c r="T46" s="72"/>
      <c r="U46" s="105"/>
      <c r="V46" s="48"/>
    </row>
    <row r="47" spans="2:22" x14ac:dyDescent="0.3">
      <c r="B47" s="90" t="s">
        <v>597</v>
      </c>
      <c r="C47" s="90" t="s">
        <v>1245</v>
      </c>
      <c r="D47" s="90"/>
      <c r="E47" s="90"/>
      <c r="F47" s="90"/>
      <c r="G47" s="90"/>
      <c r="H47" s="90">
        <v>1</v>
      </c>
      <c r="I47" s="91"/>
      <c r="J47" s="92"/>
      <c r="K47" s="94"/>
      <c r="L47" s="93"/>
      <c r="M47" s="63"/>
      <c r="N47" s="84"/>
      <c r="O47" s="49"/>
      <c r="P47" s="93"/>
      <c r="Q47" s="96"/>
      <c r="R47" s="99"/>
      <c r="S47" s="5"/>
      <c r="T47" s="72"/>
      <c r="U47" s="105"/>
      <c r="V47" s="48"/>
    </row>
    <row r="48" spans="2:22" x14ac:dyDescent="0.3">
      <c r="B48" t="s">
        <v>1174</v>
      </c>
      <c r="C48" s="91" t="s">
        <v>673</v>
      </c>
      <c r="D48" s="91"/>
      <c r="E48" s="91"/>
      <c r="F48" s="91"/>
      <c r="G48" s="91"/>
      <c r="H48" s="91"/>
      <c r="I48" s="91">
        <v>1</v>
      </c>
      <c r="J48" s="92"/>
      <c r="K48" s="94"/>
      <c r="L48" s="93"/>
      <c r="M48" s="63"/>
      <c r="N48" s="84"/>
      <c r="O48" s="49"/>
      <c r="P48" s="93"/>
      <c r="Q48" s="96"/>
      <c r="R48" s="99"/>
      <c r="S48" s="5"/>
      <c r="T48" s="72"/>
      <c r="U48" s="105"/>
      <c r="V48" s="48"/>
    </row>
    <row r="49" spans="2:22" x14ac:dyDescent="0.3">
      <c r="B49" t="s">
        <v>1174</v>
      </c>
      <c r="C49" s="91" t="s">
        <v>282</v>
      </c>
      <c r="D49" s="91"/>
      <c r="E49" s="91"/>
      <c r="F49" s="91"/>
      <c r="G49" s="91"/>
      <c r="H49" s="91"/>
      <c r="I49" s="91">
        <v>1</v>
      </c>
      <c r="J49" s="92"/>
      <c r="K49" s="94"/>
      <c r="L49" s="93"/>
      <c r="M49" s="63"/>
      <c r="N49" s="84"/>
      <c r="O49" s="49"/>
      <c r="P49" s="93"/>
      <c r="Q49" s="96"/>
      <c r="R49" s="99"/>
      <c r="S49" s="5"/>
      <c r="T49" s="72"/>
      <c r="U49" s="105"/>
      <c r="V49" s="48"/>
    </row>
    <row r="50" spans="2:22" x14ac:dyDescent="0.3">
      <c r="B50" t="s">
        <v>1174</v>
      </c>
      <c r="C50" s="92" t="s">
        <v>681</v>
      </c>
      <c r="D50" s="92"/>
      <c r="E50" s="92"/>
      <c r="F50" s="92"/>
      <c r="G50" s="92"/>
      <c r="H50" s="92"/>
      <c r="I50" s="92"/>
      <c r="J50" s="92">
        <v>1</v>
      </c>
      <c r="K50" s="94"/>
      <c r="L50" s="93"/>
      <c r="M50" s="63"/>
      <c r="N50" s="84"/>
      <c r="O50" s="49"/>
      <c r="P50" s="93"/>
      <c r="Q50" s="96"/>
      <c r="R50" s="99"/>
      <c r="S50" s="5"/>
      <c r="T50" s="72"/>
      <c r="U50" s="105"/>
      <c r="V50" s="48"/>
    </row>
    <row r="51" spans="2:22" ht="13.8" customHeight="1" x14ac:dyDescent="0.3">
      <c r="B51" t="s">
        <v>1174</v>
      </c>
      <c r="C51" s="92" t="s">
        <v>678</v>
      </c>
      <c r="D51" s="92"/>
      <c r="E51" s="92"/>
      <c r="F51" s="92"/>
      <c r="G51" s="92"/>
      <c r="H51" s="92"/>
      <c r="I51" s="92"/>
      <c r="J51" s="92">
        <v>1</v>
      </c>
      <c r="K51" s="94"/>
      <c r="L51" s="93"/>
      <c r="M51" s="63"/>
      <c r="N51" s="84"/>
      <c r="O51" s="49"/>
      <c r="P51" s="93"/>
      <c r="Q51" s="96"/>
      <c r="R51" s="99"/>
      <c r="S51" s="5"/>
      <c r="T51" s="72"/>
      <c r="U51" s="105"/>
      <c r="V51" s="48"/>
    </row>
    <row r="52" spans="2:22" x14ac:dyDescent="0.3">
      <c r="B52" t="s">
        <v>1174</v>
      </c>
      <c r="C52" s="92" t="s">
        <v>141</v>
      </c>
      <c r="D52" s="92"/>
      <c r="E52" s="92"/>
      <c r="F52" s="92"/>
      <c r="G52" s="92"/>
      <c r="H52" s="92"/>
      <c r="I52" s="92"/>
      <c r="J52" s="92">
        <v>1</v>
      </c>
      <c r="K52" s="94"/>
      <c r="L52" s="93"/>
      <c r="M52" s="63"/>
      <c r="N52" s="84"/>
      <c r="O52" s="49"/>
      <c r="P52" s="93"/>
      <c r="Q52" s="95"/>
      <c r="R52" s="99"/>
      <c r="S52" s="5"/>
      <c r="T52" s="72"/>
      <c r="U52" s="105"/>
      <c r="V52" s="48"/>
    </row>
    <row r="53" spans="2:22" x14ac:dyDescent="0.3">
      <c r="B53" t="s">
        <v>1174</v>
      </c>
      <c r="C53" s="94" t="s">
        <v>166</v>
      </c>
      <c r="D53" s="94"/>
      <c r="E53" s="94"/>
      <c r="F53" s="94"/>
      <c r="G53" s="94"/>
      <c r="H53" s="94"/>
      <c r="I53" s="94"/>
      <c r="J53" s="94"/>
      <c r="K53" s="94">
        <v>1</v>
      </c>
      <c r="L53" s="93"/>
      <c r="M53" s="63"/>
      <c r="N53" s="84"/>
      <c r="O53" s="49"/>
      <c r="P53" s="93"/>
      <c r="Q53" s="96"/>
      <c r="R53" s="99"/>
      <c r="S53" s="5"/>
      <c r="T53" s="72"/>
      <c r="U53" s="105"/>
      <c r="V53" s="48"/>
    </row>
    <row r="54" spans="2:22" x14ac:dyDescent="0.3">
      <c r="B54" t="s">
        <v>1174</v>
      </c>
      <c r="C54" s="93" t="s">
        <v>145</v>
      </c>
      <c r="D54" s="93"/>
      <c r="E54" s="93"/>
      <c r="F54" s="93"/>
      <c r="G54" s="93"/>
      <c r="H54" s="93"/>
      <c r="I54" s="93"/>
      <c r="J54" s="93"/>
      <c r="K54" s="93"/>
      <c r="L54" s="93">
        <v>1</v>
      </c>
      <c r="M54" s="63"/>
      <c r="N54" s="84"/>
      <c r="O54" s="49"/>
      <c r="P54" s="93"/>
      <c r="Q54" s="96"/>
      <c r="R54" s="99"/>
      <c r="S54" s="5"/>
      <c r="T54" s="72"/>
      <c r="U54" s="105"/>
      <c r="V54" s="48"/>
    </row>
    <row r="55" spans="2:22" x14ac:dyDescent="0.3">
      <c r="B55" t="s">
        <v>1174</v>
      </c>
      <c r="C55" s="93" t="s">
        <v>137</v>
      </c>
      <c r="D55" s="93"/>
      <c r="E55" s="93"/>
      <c r="F55" s="93"/>
      <c r="G55" s="93"/>
      <c r="H55" s="93"/>
      <c r="I55" s="93"/>
      <c r="J55" s="93"/>
      <c r="K55" s="93"/>
      <c r="L55" s="93">
        <v>1</v>
      </c>
      <c r="M55" s="63"/>
      <c r="N55" s="84"/>
      <c r="O55" s="49"/>
      <c r="P55" s="93"/>
      <c r="Q55" s="96"/>
      <c r="R55" s="99"/>
      <c r="S55" s="5"/>
      <c r="T55" s="72"/>
      <c r="U55" s="105"/>
      <c r="V55" s="48"/>
    </row>
    <row r="56" spans="2:22" x14ac:dyDescent="0.3">
      <c r="B56" t="s">
        <v>1174</v>
      </c>
      <c r="C56" s="63" t="s">
        <v>234</v>
      </c>
      <c r="D56" s="63"/>
      <c r="E56" s="63"/>
      <c r="F56" s="63"/>
      <c r="G56" s="63"/>
      <c r="H56" s="63"/>
      <c r="I56" s="63"/>
      <c r="J56" s="63"/>
      <c r="K56" s="63"/>
      <c r="L56" s="63"/>
      <c r="M56" s="63">
        <v>1</v>
      </c>
      <c r="N56" s="84"/>
      <c r="O56" s="49"/>
      <c r="P56" s="93"/>
      <c r="Q56" s="96"/>
      <c r="R56" s="99"/>
      <c r="S56" s="5"/>
      <c r="T56" s="72"/>
      <c r="U56" s="105"/>
      <c r="V56" s="48"/>
    </row>
    <row r="57" spans="2:22" x14ac:dyDescent="0.3">
      <c r="B57" t="s">
        <v>1174</v>
      </c>
      <c r="C57" s="63" t="s">
        <v>679</v>
      </c>
      <c r="D57" s="63"/>
      <c r="E57" s="63"/>
      <c r="F57" s="63"/>
      <c r="G57" s="63"/>
      <c r="H57" s="63"/>
      <c r="I57" s="63"/>
      <c r="J57" s="63"/>
      <c r="K57" s="63"/>
      <c r="L57" s="63"/>
      <c r="M57" s="63">
        <v>1</v>
      </c>
      <c r="N57" s="84"/>
      <c r="O57" s="49"/>
      <c r="P57" s="93"/>
      <c r="Q57" s="96"/>
      <c r="R57" s="99"/>
      <c r="S57" s="5"/>
      <c r="T57" s="72"/>
      <c r="U57" s="105"/>
      <c r="V57" s="48"/>
    </row>
    <row r="58" spans="2:22" x14ac:dyDescent="0.3">
      <c r="B58" t="s">
        <v>1174</v>
      </c>
      <c r="C58" s="84" t="s">
        <v>680</v>
      </c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>
        <v>1</v>
      </c>
      <c r="O58" s="49"/>
      <c r="P58" s="93"/>
      <c r="Q58" s="96"/>
      <c r="R58" s="99"/>
      <c r="S58" s="5"/>
      <c r="T58" s="72"/>
      <c r="U58" s="105"/>
      <c r="V58" s="48"/>
    </row>
    <row r="59" spans="2:22" ht="15.6" customHeight="1" x14ac:dyDescent="0.3">
      <c r="B59" t="s">
        <v>1174</v>
      </c>
      <c r="C59" s="84" t="s">
        <v>227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>
        <v>1</v>
      </c>
      <c r="O59" s="49"/>
      <c r="P59" s="93"/>
      <c r="Q59" s="96"/>
      <c r="R59" s="99"/>
      <c r="S59" s="5"/>
      <c r="T59" s="72"/>
      <c r="U59" s="105"/>
      <c r="V59" s="48"/>
    </row>
    <row r="60" spans="2:22" x14ac:dyDescent="0.3">
      <c r="B60" t="s">
        <v>1174</v>
      </c>
      <c r="C60" s="97" t="s">
        <v>929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>
        <v>1</v>
      </c>
      <c r="P60" s="93"/>
      <c r="Q60" s="96"/>
      <c r="R60" s="99"/>
      <c r="S60" s="5"/>
      <c r="T60" s="72"/>
      <c r="U60" s="105"/>
      <c r="V60" s="48"/>
    </row>
    <row r="61" spans="2:22" x14ac:dyDescent="0.3">
      <c r="B61" t="s">
        <v>1174</v>
      </c>
      <c r="C61" s="97" t="s">
        <v>930</v>
      </c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>
        <v>1</v>
      </c>
      <c r="P61" s="93"/>
      <c r="Q61" s="96"/>
      <c r="R61" s="99"/>
      <c r="S61" s="5"/>
      <c r="T61" s="72"/>
      <c r="U61" s="105"/>
      <c r="V61" s="48"/>
    </row>
    <row r="62" spans="2:22" x14ac:dyDescent="0.3">
      <c r="B62" t="s">
        <v>1174</v>
      </c>
      <c r="C62" s="97" t="s">
        <v>931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>
        <v>1</v>
      </c>
      <c r="P62" s="93"/>
      <c r="Q62" s="96"/>
      <c r="R62" s="99"/>
      <c r="S62" s="5"/>
      <c r="T62" s="72"/>
      <c r="U62" s="105"/>
      <c r="V62" s="48"/>
    </row>
    <row r="63" spans="2:22" x14ac:dyDescent="0.3">
      <c r="B63" t="s">
        <v>1174</v>
      </c>
      <c r="C63" s="97" t="s">
        <v>932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>
        <v>1</v>
      </c>
      <c r="P63" s="93"/>
      <c r="Q63" s="96"/>
      <c r="R63" s="99"/>
      <c r="S63" s="5"/>
      <c r="T63" s="72"/>
      <c r="U63" s="105"/>
      <c r="V63" s="48"/>
    </row>
    <row r="64" spans="2:22" x14ac:dyDescent="0.3">
      <c r="B64" t="s">
        <v>1174</v>
      </c>
      <c r="C64" s="97" t="s">
        <v>933</v>
      </c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>
        <v>1</v>
      </c>
      <c r="P64" s="93"/>
      <c r="Q64" s="96"/>
      <c r="R64" s="99"/>
      <c r="S64" s="5"/>
      <c r="T64" s="72"/>
      <c r="U64" s="105"/>
      <c r="V64" s="48"/>
    </row>
    <row r="65" spans="2:22" x14ac:dyDescent="0.3">
      <c r="B65" t="s">
        <v>1174</v>
      </c>
      <c r="C65" s="97" t="s">
        <v>934</v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>
        <v>1</v>
      </c>
      <c r="P65" s="93"/>
      <c r="Q65" s="96"/>
      <c r="R65" s="99"/>
      <c r="S65" s="5"/>
      <c r="T65" s="72"/>
      <c r="U65" s="105"/>
      <c r="V65" s="48"/>
    </row>
    <row r="66" spans="2:22" x14ac:dyDescent="0.3">
      <c r="B66" t="s">
        <v>1174</v>
      </c>
      <c r="C66" s="97" t="s">
        <v>935</v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>
        <v>1</v>
      </c>
      <c r="P66" s="93"/>
      <c r="Q66" s="96"/>
      <c r="R66" s="99"/>
      <c r="S66" s="5"/>
      <c r="T66" s="72"/>
      <c r="U66" s="105"/>
      <c r="V66" s="48"/>
    </row>
    <row r="67" spans="2:22" x14ac:dyDescent="0.3">
      <c r="B67" t="s">
        <v>1174</v>
      </c>
      <c r="C67" s="97" t="s">
        <v>936</v>
      </c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>
        <v>1</v>
      </c>
      <c r="P67" s="93"/>
      <c r="Q67" s="96"/>
      <c r="R67" s="99"/>
      <c r="S67" s="5"/>
      <c r="T67" s="72"/>
      <c r="U67" s="105"/>
      <c r="V67" s="48"/>
    </row>
    <row r="68" spans="2:22" x14ac:dyDescent="0.3">
      <c r="B68" t="s">
        <v>1174</v>
      </c>
      <c r="C68" s="97" t="s">
        <v>937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>
        <v>1</v>
      </c>
      <c r="P68" s="93"/>
      <c r="Q68" s="96"/>
      <c r="R68" s="99"/>
      <c r="S68" s="5"/>
      <c r="T68" s="72"/>
      <c r="U68" s="105"/>
      <c r="V68" s="48"/>
    </row>
    <row r="69" spans="2:22" x14ac:dyDescent="0.3">
      <c r="B69" t="s">
        <v>1174</v>
      </c>
      <c r="C69" s="97" t="s">
        <v>938</v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>
        <v>1</v>
      </c>
      <c r="P69" s="93"/>
      <c r="Q69" s="96"/>
      <c r="R69" s="99"/>
      <c r="S69" s="5"/>
      <c r="T69" s="72"/>
      <c r="U69" s="105"/>
      <c r="V69" s="48"/>
    </row>
    <row r="70" spans="2:22" x14ac:dyDescent="0.3">
      <c r="B70" t="s">
        <v>1174</v>
      </c>
      <c r="C70" s="97" t="s">
        <v>939</v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>
        <v>1</v>
      </c>
      <c r="P70" s="93"/>
      <c r="Q70" s="96"/>
      <c r="R70" s="99"/>
      <c r="S70" s="5"/>
      <c r="T70" s="72"/>
      <c r="U70" s="105"/>
      <c r="V70" s="48"/>
    </row>
    <row r="71" spans="2:22" x14ac:dyDescent="0.3">
      <c r="B71" t="s">
        <v>1174</v>
      </c>
      <c r="C71" s="97" t="s">
        <v>940</v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>
        <v>1</v>
      </c>
      <c r="P71" s="93"/>
      <c r="Q71" s="96"/>
      <c r="R71" s="99"/>
      <c r="S71" s="5"/>
      <c r="T71" s="72"/>
      <c r="U71" s="105"/>
      <c r="V71" s="48"/>
    </row>
    <row r="72" spans="2:22" x14ac:dyDescent="0.3">
      <c r="B72" t="s">
        <v>1174</v>
      </c>
      <c r="C72" s="97" t="s">
        <v>941</v>
      </c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>
        <v>1</v>
      </c>
      <c r="P72" s="93"/>
      <c r="Q72" s="96"/>
      <c r="R72" s="99"/>
      <c r="S72" s="5"/>
      <c r="T72" s="72"/>
      <c r="U72" s="105"/>
      <c r="V72" s="48"/>
    </row>
    <row r="73" spans="2:22" x14ac:dyDescent="0.3">
      <c r="B73" t="s">
        <v>1174</v>
      </c>
      <c r="C73" s="97" t="s">
        <v>942</v>
      </c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>
        <v>1</v>
      </c>
      <c r="P73" s="93"/>
      <c r="Q73" s="96"/>
      <c r="R73" s="99"/>
      <c r="S73" s="5"/>
      <c r="T73" s="72"/>
      <c r="U73" s="105"/>
      <c r="V73" s="48"/>
    </row>
    <row r="74" spans="2:22" x14ac:dyDescent="0.3">
      <c r="B74" t="s">
        <v>1174</v>
      </c>
      <c r="C74" s="97" t="s">
        <v>943</v>
      </c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>
        <v>1</v>
      </c>
      <c r="P74" s="93"/>
      <c r="Q74" s="96"/>
      <c r="R74" s="99"/>
      <c r="S74" s="5"/>
      <c r="T74" s="72"/>
      <c r="U74" s="105"/>
      <c r="V74" s="48"/>
    </row>
    <row r="75" spans="2:22" x14ac:dyDescent="0.3">
      <c r="B75" t="s">
        <v>1174</v>
      </c>
      <c r="C75" s="97" t="s">
        <v>944</v>
      </c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>
        <v>1</v>
      </c>
      <c r="P75" s="93"/>
      <c r="Q75" s="96"/>
      <c r="R75" s="99"/>
      <c r="S75" s="5"/>
      <c r="T75" s="72"/>
      <c r="U75" s="105"/>
      <c r="V75" s="48"/>
    </row>
    <row r="76" spans="2:22" x14ac:dyDescent="0.3">
      <c r="B76" t="s">
        <v>1174</v>
      </c>
      <c r="C76" s="97" t="s">
        <v>945</v>
      </c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>
        <v>1</v>
      </c>
      <c r="P76" s="93"/>
      <c r="Q76" s="96"/>
      <c r="R76" s="99"/>
      <c r="S76" s="5"/>
      <c r="T76" s="72"/>
      <c r="U76" s="105"/>
      <c r="V76" s="48"/>
    </row>
    <row r="77" spans="2:22" x14ac:dyDescent="0.3">
      <c r="B77" t="s">
        <v>1174</v>
      </c>
      <c r="C77" s="97" t="s">
        <v>946</v>
      </c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>
        <v>1</v>
      </c>
      <c r="P77" s="93"/>
      <c r="Q77" s="96"/>
      <c r="R77" s="99"/>
      <c r="S77" s="5"/>
      <c r="T77" s="72"/>
      <c r="U77" s="105"/>
      <c r="V77" s="48"/>
    </row>
    <row r="78" spans="2:22" x14ac:dyDescent="0.3">
      <c r="B78" t="s">
        <v>1174</v>
      </c>
      <c r="C78" s="93" t="s">
        <v>624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>
        <v>1</v>
      </c>
      <c r="Q78" s="96"/>
      <c r="R78" s="99"/>
      <c r="S78" s="5"/>
      <c r="T78" s="72"/>
      <c r="U78" s="105"/>
      <c r="V78" s="48"/>
    </row>
    <row r="79" spans="2:22" x14ac:dyDescent="0.3">
      <c r="B79" t="s">
        <v>1174</v>
      </c>
      <c r="C79" s="93" t="s">
        <v>625</v>
      </c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>
        <v>1</v>
      </c>
      <c r="Q79" s="96"/>
      <c r="R79" s="99"/>
      <c r="S79" s="5"/>
      <c r="T79" s="72"/>
      <c r="U79" s="105"/>
      <c r="V79" s="48"/>
    </row>
    <row r="80" spans="2:22" x14ac:dyDescent="0.3">
      <c r="B80" t="s">
        <v>1174</v>
      </c>
      <c r="C80" s="93" t="s">
        <v>626</v>
      </c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>
        <v>1</v>
      </c>
      <c r="Q80" s="96"/>
      <c r="R80" s="99"/>
      <c r="S80" s="5"/>
      <c r="T80" s="72"/>
      <c r="U80" s="105"/>
      <c r="V80" s="48"/>
    </row>
    <row r="81" spans="2:22" x14ac:dyDescent="0.3">
      <c r="B81" t="s">
        <v>1174</v>
      </c>
      <c r="C81" s="93" t="s">
        <v>627</v>
      </c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>
        <v>1</v>
      </c>
      <c r="Q81" s="96"/>
      <c r="R81" s="99"/>
      <c r="S81" s="5"/>
      <c r="T81" s="72"/>
      <c r="U81" s="105"/>
      <c r="V81" s="48"/>
    </row>
    <row r="82" spans="2:22" x14ac:dyDescent="0.3">
      <c r="B82" t="s">
        <v>1174</v>
      </c>
      <c r="C82" s="93" t="s">
        <v>628</v>
      </c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>
        <v>1</v>
      </c>
      <c r="Q82" s="96"/>
      <c r="R82" s="99"/>
      <c r="S82" s="5"/>
      <c r="T82" s="72"/>
      <c r="U82" s="105"/>
      <c r="V82" s="48"/>
    </row>
    <row r="83" spans="2:22" x14ac:dyDescent="0.3">
      <c r="B83" t="s">
        <v>1174</v>
      </c>
      <c r="C83" s="93" t="s">
        <v>629</v>
      </c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>
        <v>1</v>
      </c>
      <c r="Q83" s="96"/>
      <c r="R83" s="99"/>
      <c r="S83" s="5"/>
      <c r="T83" s="72"/>
      <c r="U83" s="105"/>
      <c r="V83" s="48"/>
    </row>
    <row r="84" spans="2:22" x14ac:dyDescent="0.3">
      <c r="B84" t="s">
        <v>1174</v>
      </c>
      <c r="C84" s="93" t="s">
        <v>630</v>
      </c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>
        <v>1</v>
      </c>
      <c r="Q84" s="96"/>
      <c r="R84" s="99"/>
      <c r="S84" s="5"/>
      <c r="T84" s="72"/>
      <c r="U84" s="105"/>
      <c r="V84" s="48"/>
    </row>
    <row r="85" spans="2:22" x14ac:dyDescent="0.3">
      <c r="B85" t="s">
        <v>1174</v>
      </c>
      <c r="C85" s="93" t="s">
        <v>631</v>
      </c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>
        <v>1</v>
      </c>
      <c r="Q85" s="96"/>
      <c r="R85" s="99"/>
      <c r="S85" s="5"/>
      <c r="T85" s="72"/>
      <c r="U85" s="105"/>
      <c r="V85" s="48"/>
    </row>
    <row r="86" spans="2:22" x14ac:dyDescent="0.3">
      <c r="B86" t="s">
        <v>1174</v>
      </c>
      <c r="C86" s="93" t="s">
        <v>641</v>
      </c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>
        <v>1</v>
      </c>
      <c r="Q86" s="96"/>
      <c r="R86" s="99"/>
      <c r="S86" s="5"/>
      <c r="T86" s="72"/>
      <c r="U86" s="105"/>
      <c r="V86" s="48"/>
    </row>
    <row r="87" spans="2:22" x14ac:dyDescent="0.3">
      <c r="B87" t="s">
        <v>1174</v>
      </c>
      <c r="C87" s="96" t="s">
        <v>632</v>
      </c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>
        <v>1</v>
      </c>
      <c r="R87" s="99"/>
      <c r="S87" s="5"/>
      <c r="T87" s="72"/>
      <c r="U87" s="105"/>
      <c r="V87" s="48"/>
    </row>
    <row r="88" spans="2:22" x14ac:dyDescent="0.3">
      <c r="B88" t="s">
        <v>1174</v>
      </c>
      <c r="C88" s="96" t="s">
        <v>1097</v>
      </c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>
        <v>1</v>
      </c>
      <c r="R88" s="99"/>
      <c r="S88" s="5"/>
      <c r="T88" s="72"/>
      <c r="U88" s="105"/>
      <c r="V88" s="48"/>
    </row>
    <row r="89" spans="2:22" x14ac:dyDescent="0.3">
      <c r="B89" t="s">
        <v>1174</v>
      </c>
      <c r="C89" s="96" t="s">
        <v>633</v>
      </c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>
        <v>1</v>
      </c>
      <c r="R89" s="99"/>
      <c r="S89" s="5"/>
      <c r="T89" s="72"/>
      <c r="U89" s="105"/>
      <c r="V89" s="48"/>
    </row>
    <row r="90" spans="2:22" x14ac:dyDescent="0.3">
      <c r="B90" t="s">
        <v>1174</v>
      </c>
      <c r="C90" s="96" t="s">
        <v>634</v>
      </c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>
        <v>1</v>
      </c>
      <c r="R90" s="99"/>
      <c r="S90" s="5"/>
      <c r="T90" s="72"/>
      <c r="U90" s="105"/>
      <c r="V90" s="48"/>
    </row>
    <row r="91" spans="2:22" x14ac:dyDescent="0.3">
      <c r="B91" t="s">
        <v>1174</v>
      </c>
      <c r="C91" s="96" t="s">
        <v>635</v>
      </c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>
        <v>1</v>
      </c>
      <c r="R91" s="99"/>
      <c r="S91" s="5"/>
      <c r="T91" s="72"/>
      <c r="U91" s="105"/>
      <c r="V91" s="48"/>
    </row>
    <row r="92" spans="2:22" x14ac:dyDescent="0.3">
      <c r="B92" t="s">
        <v>1174</v>
      </c>
      <c r="C92" s="96" t="s">
        <v>637</v>
      </c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>
        <v>1</v>
      </c>
      <c r="R92" s="99"/>
      <c r="S92" s="5"/>
      <c r="T92" s="72"/>
      <c r="U92" s="105"/>
      <c r="V92" s="48"/>
    </row>
    <row r="93" spans="2:22" x14ac:dyDescent="0.3">
      <c r="B93" t="s">
        <v>1174</v>
      </c>
      <c r="C93" s="96" t="s">
        <v>638</v>
      </c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>
        <v>1</v>
      </c>
      <c r="R93" s="99"/>
      <c r="S93" s="5"/>
      <c r="T93" s="72"/>
      <c r="U93" s="105"/>
      <c r="V93" s="48"/>
    </row>
    <row r="94" spans="2:22" x14ac:dyDescent="0.3">
      <c r="B94" t="s">
        <v>1174</v>
      </c>
      <c r="C94" s="99" t="s">
        <v>339</v>
      </c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>
        <v>1</v>
      </c>
      <c r="S94" s="5"/>
      <c r="T94" s="72"/>
      <c r="U94" s="105"/>
      <c r="V94" s="48"/>
    </row>
    <row r="95" spans="2:22" x14ac:dyDescent="0.3">
      <c r="B95" t="s">
        <v>1174</v>
      </c>
      <c r="C95" s="99" t="s">
        <v>340</v>
      </c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>
        <v>1</v>
      </c>
      <c r="S95" s="5"/>
      <c r="T95" s="72"/>
      <c r="U95" s="105"/>
      <c r="V95" s="48"/>
    </row>
    <row r="96" spans="2:22" x14ac:dyDescent="0.3">
      <c r="B96" s="99" t="s">
        <v>586</v>
      </c>
      <c r="C96" s="99" t="s">
        <v>340</v>
      </c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>
        <v>0.5</v>
      </c>
      <c r="S96" s="5"/>
      <c r="T96" s="72"/>
      <c r="U96" s="105">
        <v>0.5</v>
      </c>
      <c r="V96" s="48"/>
    </row>
    <row r="97" spans="2:22" x14ac:dyDescent="0.3">
      <c r="B97" s="99" t="s">
        <v>587</v>
      </c>
      <c r="C97" s="99" t="s">
        <v>340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>
        <v>0.5</v>
      </c>
      <c r="S97" s="5"/>
      <c r="T97" s="72"/>
      <c r="U97" s="105">
        <v>0.5</v>
      </c>
      <c r="V97" s="48"/>
    </row>
    <row r="98" spans="2:22" x14ac:dyDescent="0.3">
      <c r="B98" s="99" t="s">
        <v>588</v>
      </c>
      <c r="C98" s="99" t="s">
        <v>340</v>
      </c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>
        <v>0.5</v>
      </c>
      <c r="S98" s="5"/>
      <c r="T98" s="72"/>
      <c r="U98" s="105">
        <v>0.5</v>
      </c>
      <c r="V98" s="48"/>
    </row>
    <row r="99" spans="2:22" x14ac:dyDescent="0.3">
      <c r="B99" s="99" t="s">
        <v>589</v>
      </c>
      <c r="C99" s="99" t="s">
        <v>340</v>
      </c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>
        <v>0.5</v>
      </c>
      <c r="S99" s="5"/>
      <c r="T99" s="72"/>
      <c r="U99" s="105">
        <v>0.5</v>
      </c>
      <c r="V99" s="48"/>
    </row>
    <row r="100" spans="2:22" x14ac:dyDescent="0.3">
      <c r="B100" s="99" t="s">
        <v>590</v>
      </c>
      <c r="C100" s="99" t="s">
        <v>340</v>
      </c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>
        <v>0.5</v>
      </c>
      <c r="S100" s="5"/>
      <c r="T100" s="72"/>
      <c r="U100" s="105">
        <v>0.5</v>
      </c>
      <c r="V100" s="48"/>
    </row>
    <row r="101" spans="2:22" x14ac:dyDescent="0.3">
      <c r="B101" s="99" t="s">
        <v>591</v>
      </c>
      <c r="C101" s="99" t="s">
        <v>340</v>
      </c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>
        <v>0.5</v>
      </c>
      <c r="S101" s="5"/>
      <c r="T101" s="72"/>
      <c r="U101" s="105">
        <v>0.5</v>
      </c>
      <c r="V101" s="48"/>
    </row>
    <row r="102" spans="2:22" x14ac:dyDescent="0.3">
      <c r="B102" s="99" t="s">
        <v>592</v>
      </c>
      <c r="C102" s="99" t="s">
        <v>340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>
        <v>0.5</v>
      </c>
      <c r="S102" s="5"/>
      <c r="T102" s="72"/>
      <c r="U102" s="105">
        <v>0.5</v>
      </c>
      <c r="V102" s="48"/>
    </row>
    <row r="103" spans="2:22" x14ac:dyDescent="0.3">
      <c r="B103" s="99" t="s">
        <v>593</v>
      </c>
      <c r="C103" s="99" t="s">
        <v>340</v>
      </c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>
        <v>0.5</v>
      </c>
      <c r="S103" s="5"/>
      <c r="T103" s="72"/>
      <c r="U103" s="105">
        <v>0.5</v>
      </c>
      <c r="V103" s="48"/>
    </row>
    <row r="104" spans="2:22" x14ac:dyDescent="0.3">
      <c r="B104" t="s">
        <v>1174</v>
      </c>
      <c r="C104" s="5" t="s">
        <v>682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1</v>
      </c>
      <c r="T104" s="72"/>
      <c r="U104" s="105"/>
      <c r="V104" s="48"/>
    </row>
    <row r="105" spans="2:22" x14ac:dyDescent="0.3">
      <c r="B105" t="s">
        <v>1174</v>
      </c>
      <c r="C105" s="5" t="s">
        <v>683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</v>
      </c>
      <c r="T105" s="72"/>
      <c r="U105" s="105"/>
      <c r="V105" s="48"/>
    </row>
    <row r="106" spans="2:22" x14ac:dyDescent="0.3">
      <c r="B106" t="s">
        <v>1174</v>
      </c>
      <c r="C106" s="5" t="s">
        <v>136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1</v>
      </c>
      <c r="T106" s="72"/>
      <c r="U106" s="105"/>
      <c r="V106" s="48"/>
    </row>
    <row r="107" spans="2:22" x14ac:dyDescent="0.3">
      <c r="B107" t="s">
        <v>1174</v>
      </c>
      <c r="C107" s="5" t="s">
        <v>636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</v>
      </c>
      <c r="T107" s="72"/>
      <c r="U107" s="105"/>
      <c r="V107" s="48"/>
    </row>
    <row r="108" spans="2:22" x14ac:dyDescent="0.3">
      <c r="B108" t="s">
        <v>1174</v>
      </c>
      <c r="C108" s="5" t="s">
        <v>1356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1</v>
      </c>
      <c r="T108" s="72"/>
      <c r="U108" s="105"/>
      <c r="V108" s="48"/>
    </row>
    <row r="109" spans="2:22" x14ac:dyDescent="0.3">
      <c r="B109" t="s">
        <v>1174</v>
      </c>
      <c r="C109" s="5" t="s">
        <v>639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1</v>
      </c>
      <c r="T109" s="72"/>
      <c r="U109" s="105"/>
      <c r="V109" s="48"/>
    </row>
    <row r="110" spans="2:22" x14ac:dyDescent="0.3">
      <c r="B110" t="s">
        <v>1174</v>
      </c>
      <c r="C110" s="5" t="s">
        <v>640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</v>
      </c>
      <c r="T110" s="72"/>
      <c r="U110" s="105"/>
      <c r="V110" s="48"/>
    </row>
    <row r="111" spans="2:22" x14ac:dyDescent="0.3">
      <c r="B111" t="s">
        <v>1174</v>
      </c>
      <c r="C111" s="5" t="s">
        <v>642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1</v>
      </c>
      <c r="T111" s="72"/>
      <c r="U111" s="105"/>
      <c r="V111" s="48"/>
    </row>
    <row r="112" spans="2:22" x14ac:dyDescent="0.3">
      <c r="B112" t="s">
        <v>1174</v>
      </c>
      <c r="C112" s="5" t="s">
        <v>643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</v>
      </c>
      <c r="T112" s="72"/>
      <c r="U112" s="105"/>
      <c r="V112" s="48"/>
    </row>
    <row r="113" spans="2:22" x14ac:dyDescent="0.3">
      <c r="B113" t="s">
        <v>1174</v>
      </c>
      <c r="C113" s="5" t="s">
        <v>139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1</v>
      </c>
      <c r="T113" s="72"/>
      <c r="U113" s="105"/>
      <c r="V113" s="48"/>
    </row>
    <row r="114" spans="2:22" x14ac:dyDescent="0.3">
      <c r="B114" t="s">
        <v>1174</v>
      </c>
      <c r="C114" s="5" t="s">
        <v>140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1</v>
      </c>
      <c r="T114" s="72"/>
      <c r="U114" s="105"/>
      <c r="V114" s="48"/>
    </row>
    <row r="115" spans="2:22" x14ac:dyDescent="0.3">
      <c r="B115" t="s">
        <v>1174</v>
      </c>
      <c r="C115" s="5" t="s">
        <v>644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v>1</v>
      </c>
      <c r="T115" s="72"/>
      <c r="U115" s="105"/>
      <c r="V115" s="48"/>
    </row>
    <row r="116" spans="2:22" x14ac:dyDescent="0.3">
      <c r="B116" t="s">
        <v>1174</v>
      </c>
      <c r="C116" s="5" t="s">
        <v>645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>
        <v>1</v>
      </c>
      <c r="T116" s="72"/>
      <c r="U116" s="105"/>
      <c r="V116" s="48"/>
    </row>
    <row r="117" spans="2:22" x14ac:dyDescent="0.3">
      <c r="B117" t="s">
        <v>1174</v>
      </c>
      <c r="C117" s="5" t="s">
        <v>646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>
        <v>1</v>
      </c>
      <c r="T117" s="72"/>
      <c r="U117" s="105"/>
      <c r="V117" s="48"/>
    </row>
    <row r="118" spans="2:22" x14ac:dyDescent="0.3">
      <c r="B118" t="s">
        <v>1174</v>
      </c>
      <c r="C118" s="5" t="s">
        <v>647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>
        <v>1</v>
      </c>
      <c r="T118" s="72"/>
      <c r="U118" s="105"/>
      <c r="V118" s="48"/>
    </row>
    <row r="119" spans="2:22" x14ac:dyDescent="0.3">
      <c r="B119" t="s">
        <v>1174</v>
      </c>
      <c r="C119" s="5" t="s">
        <v>226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>
        <v>1</v>
      </c>
      <c r="T119" s="72"/>
      <c r="U119" s="105"/>
      <c r="V119" s="48"/>
    </row>
    <row r="120" spans="2:22" x14ac:dyDescent="0.3">
      <c r="B120" t="s">
        <v>1174</v>
      </c>
      <c r="C120" s="5" t="s">
        <v>358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>
        <v>1</v>
      </c>
      <c r="T120" s="72"/>
      <c r="U120" s="105"/>
      <c r="V120" s="48"/>
    </row>
    <row r="121" spans="2:22" x14ac:dyDescent="0.3">
      <c r="B121" t="s">
        <v>1174</v>
      </c>
      <c r="C121" s="5" t="s">
        <v>261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>
        <v>1</v>
      </c>
      <c r="T121" s="72"/>
      <c r="U121" s="105"/>
      <c r="V121" s="48"/>
    </row>
    <row r="122" spans="2:22" x14ac:dyDescent="0.3">
      <c r="B122" t="s">
        <v>1174</v>
      </c>
      <c r="C122" s="5" t="s">
        <v>263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>
        <v>1</v>
      </c>
      <c r="T122" s="72"/>
      <c r="U122" s="105"/>
      <c r="V122" s="48"/>
    </row>
    <row r="123" spans="2:22" x14ac:dyDescent="0.3">
      <c r="B123" t="s">
        <v>1174</v>
      </c>
      <c r="C123" s="5" t="s">
        <v>265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>
        <v>1</v>
      </c>
      <c r="T123" s="72"/>
      <c r="U123" s="105"/>
      <c r="V123" s="48"/>
    </row>
    <row r="124" spans="2:22" x14ac:dyDescent="0.3">
      <c r="B124" t="s">
        <v>1174</v>
      </c>
      <c r="C124" s="5" t="s">
        <v>267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>
        <v>1</v>
      </c>
      <c r="T124" s="72"/>
      <c r="U124" s="105"/>
      <c r="V124" s="48"/>
    </row>
    <row r="125" spans="2:22" x14ac:dyDescent="0.3">
      <c r="B125" t="s">
        <v>1174</v>
      </c>
      <c r="C125" s="5" t="s">
        <v>649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>
        <v>1</v>
      </c>
      <c r="T125" s="72"/>
      <c r="U125" s="105"/>
      <c r="V125" s="48"/>
    </row>
    <row r="126" spans="2:22" x14ac:dyDescent="0.3">
      <c r="B126" t="s">
        <v>1174</v>
      </c>
      <c r="C126" s="5" t="s">
        <v>269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>
        <v>1</v>
      </c>
      <c r="T126" s="72"/>
      <c r="U126" s="105"/>
      <c r="V126" s="48"/>
    </row>
    <row r="127" spans="2:22" x14ac:dyDescent="0.3">
      <c r="B127" t="s">
        <v>1174</v>
      </c>
      <c r="C127" s="5" t="s">
        <v>650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1</v>
      </c>
      <c r="T127" s="72"/>
      <c r="U127" s="105"/>
      <c r="V127" s="48"/>
    </row>
    <row r="128" spans="2:22" x14ac:dyDescent="0.3">
      <c r="B128" t="s">
        <v>1174</v>
      </c>
      <c r="C128" s="5" t="s">
        <v>144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>
        <v>1</v>
      </c>
      <c r="T128" s="72"/>
      <c r="U128" s="105"/>
      <c r="V128" s="48"/>
    </row>
    <row r="129" spans="2:22" x14ac:dyDescent="0.3">
      <c r="B129" t="s">
        <v>1174</v>
      </c>
      <c r="C129" s="5" t="s">
        <v>147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>
        <v>1</v>
      </c>
      <c r="T129" s="72"/>
      <c r="U129" s="105"/>
      <c r="V129" s="48"/>
    </row>
    <row r="130" spans="2:22" x14ac:dyDescent="0.3">
      <c r="B130" t="s">
        <v>1174</v>
      </c>
      <c r="C130" s="5" t="s">
        <v>148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>
        <v>1</v>
      </c>
      <c r="T130" s="72"/>
      <c r="U130" s="105"/>
      <c r="V130" s="48"/>
    </row>
    <row r="131" spans="2:22" x14ac:dyDescent="0.3">
      <c r="B131" t="s">
        <v>1174</v>
      </c>
      <c r="C131" s="5" t="s">
        <v>150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>
        <v>1</v>
      </c>
      <c r="T131" s="72"/>
      <c r="U131" s="105"/>
      <c r="V131" s="48"/>
    </row>
    <row r="132" spans="2:22" x14ac:dyDescent="0.3">
      <c r="B132" t="s">
        <v>1174</v>
      </c>
      <c r="C132" s="5" t="s">
        <v>151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1</v>
      </c>
      <c r="T132" s="72"/>
      <c r="U132" s="105"/>
      <c r="V132" s="48"/>
    </row>
    <row r="133" spans="2:22" x14ac:dyDescent="0.3">
      <c r="B133" t="s">
        <v>1174</v>
      </c>
      <c r="C133" s="5" t="s">
        <v>152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1</v>
      </c>
      <c r="T133" s="72"/>
      <c r="U133" s="105"/>
      <c r="V133" s="48"/>
    </row>
    <row r="134" spans="2:22" x14ac:dyDescent="0.3">
      <c r="B134" t="s">
        <v>1174</v>
      </c>
      <c r="C134" s="5" t="s">
        <v>153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>
        <v>1</v>
      </c>
      <c r="T134" s="72"/>
      <c r="U134" s="105"/>
      <c r="V134" s="48"/>
    </row>
    <row r="135" spans="2:22" x14ac:dyDescent="0.3">
      <c r="B135" t="s">
        <v>1174</v>
      </c>
      <c r="C135" s="5" t="s">
        <v>154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1</v>
      </c>
      <c r="T135" s="72"/>
      <c r="U135" s="105"/>
      <c r="V135" s="48"/>
    </row>
    <row r="136" spans="2:22" x14ac:dyDescent="0.3">
      <c r="B136" t="s">
        <v>1174</v>
      </c>
      <c r="C136" s="5" t="s">
        <v>1358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>
        <v>1</v>
      </c>
      <c r="T136" s="72"/>
      <c r="U136" s="105"/>
      <c r="V136" s="48"/>
    </row>
    <row r="137" spans="2:22" x14ac:dyDescent="0.3">
      <c r="B137" t="s">
        <v>1174</v>
      </c>
      <c r="C137" s="5" t="s">
        <v>651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>
        <v>1</v>
      </c>
      <c r="T137" s="72"/>
      <c r="U137" s="105"/>
      <c r="V137" s="48"/>
    </row>
    <row r="138" spans="2:22" x14ac:dyDescent="0.3">
      <c r="B138" t="s">
        <v>1174</v>
      </c>
      <c r="C138" s="5" t="s">
        <v>652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>
        <v>1</v>
      </c>
      <c r="T138" s="72"/>
      <c r="U138" s="105"/>
      <c r="V138" s="48"/>
    </row>
    <row r="139" spans="2:22" x14ac:dyDescent="0.3">
      <c r="B139" t="s">
        <v>1174</v>
      </c>
      <c r="C139" s="5" t="s">
        <v>156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>
        <v>1</v>
      </c>
      <c r="T139" s="72"/>
      <c r="U139" s="105"/>
      <c r="V139" s="48"/>
    </row>
    <row r="140" spans="2:22" x14ac:dyDescent="0.3">
      <c r="B140" t="s">
        <v>1174</v>
      </c>
      <c r="C140" s="100" t="s">
        <v>653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>
        <v>1</v>
      </c>
      <c r="T140" s="72"/>
      <c r="U140" s="105"/>
      <c r="V140" s="48"/>
    </row>
    <row r="141" spans="2:22" x14ac:dyDescent="0.3">
      <c r="B141" t="s">
        <v>1174</v>
      </c>
      <c r="C141" s="5" t="s">
        <v>1048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>
        <v>1</v>
      </c>
      <c r="T141" s="72"/>
      <c r="U141" s="105"/>
      <c r="V141" s="48"/>
    </row>
    <row r="142" spans="2:22" x14ac:dyDescent="0.3">
      <c r="B142" t="s">
        <v>1174</v>
      </c>
      <c r="C142" s="5" t="s">
        <v>146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>
        <v>1</v>
      </c>
      <c r="T142" s="72"/>
      <c r="U142" s="105"/>
      <c r="V142" s="48"/>
    </row>
    <row r="143" spans="2:22" x14ac:dyDescent="0.3">
      <c r="B143" s="5" t="s">
        <v>594</v>
      </c>
      <c r="C143" s="5" t="s">
        <v>682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>
        <v>0.5</v>
      </c>
      <c r="T143" s="72"/>
      <c r="U143" s="105"/>
      <c r="V143" s="48">
        <v>0.5</v>
      </c>
    </row>
    <row r="144" spans="2:22" x14ac:dyDescent="0.3">
      <c r="B144" s="5" t="s">
        <v>595</v>
      </c>
      <c r="C144" s="5" t="s">
        <v>682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>
        <v>0.5</v>
      </c>
      <c r="T144" s="72"/>
      <c r="U144" s="105"/>
      <c r="V144" s="48">
        <v>0.5</v>
      </c>
    </row>
    <row r="145" spans="2:22" x14ac:dyDescent="0.3">
      <c r="B145" s="5" t="s">
        <v>596</v>
      </c>
      <c r="C145" s="5" t="s">
        <v>682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>
        <v>0.5</v>
      </c>
      <c r="T145" s="72"/>
      <c r="U145" s="105"/>
      <c r="V145" s="48">
        <v>0.5</v>
      </c>
    </row>
    <row r="146" spans="2:22" x14ac:dyDescent="0.3">
      <c r="B146" s="5" t="s">
        <v>1094</v>
      </c>
      <c r="C146" s="5" t="s">
        <v>682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0.5</v>
      </c>
      <c r="T146" s="72"/>
      <c r="U146" s="105"/>
      <c r="V146" s="48">
        <v>0.5</v>
      </c>
    </row>
    <row r="147" spans="2:22" x14ac:dyDescent="0.3">
      <c r="B147" s="5" t="s">
        <v>597</v>
      </c>
      <c r="C147" s="5" t="s">
        <v>682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>
        <v>0.5</v>
      </c>
      <c r="T147" s="72"/>
      <c r="U147" s="105"/>
      <c r="V147" s="48">
        <v>0.5</v>
      </c>
    </row>
    <row r="148" spans="2:22" x14ac:dyDescent="0.3">
      <c r="B148" s="5" t="s">
        <v>241</v>
      </c>
      <c r="C148" s="5" t="s">
        <v>234</v>
      </c>
      <c r="D148" s="5"/>
      <c r="E148" s="5"/>
      <c r="F148" s="5"/>
      <c r="G148" s="5"/>
      <c r="H148" s="5"/>
      <c r="I148" s="5"/>
      <c r="J148" s="5"/>
      <c r="K148" s="5"/>
      <c r="L148" s="5"/>
      <c r="M148" s="5">
        <v>0.05</v>
      </c>
      <c r="N148" s="5"/>
      <c r="O148" s="5"/>
      <c r="P148" s="5"/>
      <c r="Q148" s="5"/>
      <c r="R148" s="5"/>
      <c r="S148" s="5">
        <v>0.95</v>
      </c>
      <c r="T148" s="72"/>
      <c r="U148" s="105"/>
      <c r="V148" s="48"/>
    </row>
    <row r="149" spans="2:22" x14ac:dyDescent="0.3">
      <c r="B149" s="5" t="s">
        <v>241</v>
      </c>
      <c r="C149" s="5" t="s">
        <v>141</v>
      </c>
      <c r="D149" s="5"/>
      <c r="E149" s="5"/>
      <c r="F149" s="5"/>
      <c r="G149" s="5"/>
      <c r="H149" s="5"/>
      <c r="I149" s="5"/>
      <c r="J149" s="5">
        <v>0.05</v>
      </c>
      <c r="K149" s="5"/>
      <c r="L149" s="5"/>
      <c r="M149" s="5"/>
      <c r="N149" s="5"/>
      <c r="O149" s="5"/>
      <c r="P149" s="5"/>
      <c r="Q149" s="5"/>
      <c r="R149" s="5"/>
      <c r="S149" s="5">
        <v>0.95</v>
      </c>
      <c r="T149" s="72"/>
      <c r="U149" s="105"/>
      <c r="V149" s="48"/>
    </row>
    <row r="150" spans="2:22" x14ac:dyDescent="0.3">
      <c r="B150" s="5" t="s">
        <v>222</v>
      </c>
      <c r="C150" s="5" t="s">
        <v>234</v>
      </c>
      <c r="D150" s="5"/>
      <c r="E150" s="5"/>
      <c r="F150" s="5"/>
      <c r="G150" s="5"/>
      <c r="H150" s="5"/>
      <c r="I150" s="5"/>
      <c r="J150" s="5"/>
      <c r="K150" s="5"/>
      <c r="L150" s="5"/>
      <c r="M150" s="5">
        <v>0.2</v>
      </c>
      <c r="N150" s="5"/>
      <c r="O150" s="5"/>
      <c r="P150" s="5"/>
      <c r="Q150" s="5"/>
      <c r="R150" s="5"/>
      <c r="S150" s="5">
        <v>0.8</v>
      </c>
      <c r="T150" s="72"/>
      <c r="U150" s="105"/>
      <c r="V150" s="48"/>
    </row>
    <row r="151" spans="2:22" x14ac:dyDescent="0.3">
      <c r="B151" s="5" t="s">
        <v>222</v>
      </c>
      <c r="C151" s="5" t="s">
        <v>141</v>
      </c>
      <c r="D151" s="5"/>
      <c r="E151" s="5"/>
      <c r="F151" s="5"/>
      <c r="G151" s="5"/>
      <c r="H151" s="5"/>
      <c r="I151" s="5"/>
      <c r="J151" s="5">
        <v>0.2</v>
      </c>
      <c r="K151" s="5"/>
      <c r="L151" s="5"/>
      <c r="M151" s="5"/>
      <c r="N151" s="5"/>
      <c r="O151" s="5"/>
      <c r="P151" s="5"/>
      <c r="Q151" s="5"/>
      <c r="R151" s="5"/>
      <c r="S151" s="5">
        <v>0.8</v>
      </c>
      <c r="T151" s="72"/>
      <c r="U151" s="105"/>
      <c r="V151" s="48"/>
    </row>
    <row r="152" spans="2:22" x14ac:dyDescent="0.3">
      <c r="B152" s="72" t="s">
        <v>586</v>
      </c>
      <c r="C152" s="72" t="s">
        <v>839</v>
      </c>
      <c r="D152" s="72"/>
      <c r="E152" s="72"/>
      <c r="F152" s="72"/>
      <c r="G152" s="72"/>
      <c r="H152" s="72" t="s">
        <v>111</v>
      </c>
      <c r="I152" s="72"/>
      <c r="J152" s="72"/>
      <c r="K152" s="72"/>
      <c r="L152" s="72"/>
      <c r="M152" s="72"/>
      <c r="N152" s="72"/>
      <c r="O152" s="72"/>
      <c r="P152" s="72"/>
      <c r="Q152" s="72"/>
      <c r="R152" s="72" t="s">
        <v>461</v>
      </c>
      <c r="S152" s="72"/>
      <c r="T152" s="72">
        <v>1</v>
      </c>
      <c r="U152" s="105"/>
      <c r="V152" s="48"/>
    </row>
    <row r="153" spans="2:22" x14ac:dyDescent="0.3">
      <c r="B153" s="72" t="s">
        <v>587</v>
      </c>
      <c r="C153" s="72" t="s">
        <v>839</v>
      </c>
      <c r="D153" s="72"/>
      <c r="E153" s="72"/>
      <c r="F153" s="72"/>
      <c r="G153" s="72"/>
      <c r="H153" s="72" t="s">
        <v>111</v>
      </c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>
        <v>1</v>
      </c>
      <c r="U153" s="105"/>
      <c r="V153" s="48"/>
    </row>
    <row r="154" spans="2:22" x14ac:dyDescent="0.3">
      <c r="B154" s="72" t="s">
        <v>588</v>
      </c>
      <c r="C154" s="72" t="s">
        <v>839</v>
      </c>
      <c r="D154" s="72"/>
      <c r="E154" s="72"/>
      <c r="F154" s="72"/>
      <c r="G154" s="72"/>
      <c r="H154" s="72" t="s">
        <v>111</v>
      </c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>
        <v>1</v>
      </c>
      <c r="U154" s="105"/>
      <c r="V154" s="48"/>
    </row>
    <row r="155" spans="2:22" x14ac:dyDescent="0.3">
      <c r="B155" s="72" t="s">
        <v>589</v>
      </c>
      <c r="C155" s="72" t="s">
        <v>839</v>
      </c>
      <c r="D155" s="72"/>
      <c r="E155" s="72"/>
      <c r="F155" s="72"/>
      <c r="G155" s="72"/>
      <c r="H155" s="72" t="s">
        <v>111</v>
      </c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>
        <v>1</v>
      </c>
      <c r="U155" s="105"/>
      <c r="V155" s="48"/>
    </row>
    <row r="156" spans="2:22" x14ac:dyDescent="0.3">
      <c r="B156" s="72" t="s">
        <v>590</v>
      </c>
      <c r="C156" s="72" t="s">
        <v>839</v>
      </c>
      <c r="D156" s="72"/>
      <c r="E156" s="72"/>
      <c r="F156" s="72"/>
      <c r="G156" s="72"/>
      <c r="H156" s="72" t="s">
        <v>111</v>
      </c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>
        <v>1</v>
      </c>
      <c r="U156" s="105"/>
      <c r="V156" s="48"/>
    </row>
    <row r="157" spans="2:22" x14ac:dyDescent="0.3">
      <c r="B157" s="72" t="s">
        <v>591</v>
      </c>
      <c r="C157" s="72" t="s">
        <v>839</v>
      </c>
      <c r="D157" s="72"/>
      <c r="E157" s="72"/>
      <c r="F157" s="72"/>
      <c r="G157" s="72"/>
      <c r="H157" s="72" t="s">
        <v>111</v>
      </c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>
        <v>1</v>
      </c>
      <c r="U157" s="105"/>
      <c r="V157" s="48"/>
    </row>
    <row r="158" spans="2:22" x14ac:dyDescent="0.3">
      <c r="B158" s="72" t="s">
        <v>592</v>
      </c>
      <c r="C158" s="72" t="s">
        <v>839</v>
      </c>
      <c r="D158" s="72"/>
      <c r="E158" s="72"/>
      <c r="F158" s="72"/>
      <c r="G158" s="72"/>
      <c r="H158" s="72" t="s">
        <v>111</v>
      </c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>
        <v>1</v>
      </c>
      <c r="U158" s="105"/>
      <c r="V158" s="48"/>
    </row>
    <row r="159" spans="2:22" x14ac:dyDescent="0.3">
      <c r="B159" s="72" t="s">
        <v>593</v>
      </c>
      <c r="C159" s="72" t="s">
        <v>839</v>
      </c>
      <c r="D159" s="72"/>
      <c r="E159" s="72"/>
      <c r="F159" s="72"/>
      <c r="G159" s="72"/>
      <c r="H159" s="72" t="s">
        <v>111</v>
      </c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>
        <v>1</v>
      </c>
      <c r="U159" s="105"/>
      <c r="V159" s="48"/>
    </row>
    <row r="160" spans="2:22" x14ac:dyDescent="0.3">
      <c r="B160" s="72" t="s">
        <v>586</v>
      </c>
      <c r="C160" s="72" t="s">
        <v>982</v>
      </c>
      <c r="D160" s="72"/>
      <c r="E160" s="72"/>
      <c r="F160" s="72"/>
      <c r="G160" s="72"/>
      <c r="H160" s="72" t="s">
        <v>111</v>
      </c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>
        <v>1</v>
      </c>
      <c r="U160" s="105"/>
      <c r="V160" s="48"/>
    </row>
    <row r="161" spans="2:22" x14ac:dyDescent="0.3">
      <c r="B161" s="72" t="s">
        <v>587</v>
      </c>
      <c r="C161" s="72" t="s">
        <v>982</v>
      </c>
      <c r="D161" s="72"/>
      <c r="E161" s="72"/>
      <c r="F161" s="72"/>
      <c r="G161" s="72"/>
      <c r="H161" s="72" t="s">
        <v>111</v>
      </c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>
        <v>1</v>
      </c>
      <c r="U161" s="105"/>
      <c r="V161" s="48"/>
    </row>
    <row r="162" spans="2:22" x14ac:dyDescent="0.3">
      <c r="B162" s="72" t="s">
        <v>588</v>
      </c>
      <c r="C162" s="72" t="s">
        <v>982</v>
      </c>
      <c r="D162" s="72"/>
      <c r="E162" s="72"/>
      <c r="F162" s="72"/>
      <c r="G162" s="72"/>
      <c r="H162" s="72" t="s">
        <v>111</v>
      </c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>
        <v>1</v>
      </c>
      <c r="U162" s="105"/>
      <c r="V162" s="48"/>
    </row>
    <row r="163" spans="2:22" x14ac:dyDescent="0.3">
      <c r="B163" s="72" t="s">
        <v>589</v>
      </c>
      <c r="C163" s="72" t="s">
        <v>982</v>
      </c>
      <c r="D163" s="72"/>
      <c r="E163" s="72"/>
      <c r="F163" s="72"/>
      <c r="G163" s="72"/>
      <c r="H163" s="72" t="s">
        <v>111</v>
      </c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>
        <v>1</v>
      </c>
      <c r="U163" s="105"/>
      <c r="V163" s="48"/>
    </row>
    <row r="164" spans="2:22" x14ac:dyDescent="0.3">
      <c r="B164" s="72" t="s">
        <v>590</v>
      </c>
      <c r="C164" s="72" t="s">
        <v>982</v>
      </c>
      <c r="D164" s="72"/>
      <c r="E164" s="72"/>
      <c r="F164" s="72"/>
      <c r="G164" s="72"/>
      <c r="H164" s="72" t="s">
        <v>111</v>
      </c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>
        <v>1</v>
      </c>
      <c r="U164" s="105"/>
      <c r="V164" s="48"/>
    </row>
    <row r="165" spans="2:22" x14ac:dyDescent="0.3">
      <c r="B165" s="72" t="s">
        <v>591</v>
      </c>
      <c r="C165" s="72" t="s">
        <v>982</v>
      </c>
      <c r="D165" s="72"/>
      <c r="E165" s="72"/>
      <c r="F165" s="72"/>
      <c r="G165" s="72"/>
      <c r="H165" s="72" t="s">
        <v>111</v>
      </c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>
        <v>1</v>
      </c>
      <c r="U165" s="105"/>
      <c r="V165" s="48"/>
    </row>
    <row r="166" spans="2:22" x14ac:dyDescent="0.3">
      <c r="B166" s="72" t="s">
        <v>592</v>
      </c>
      <c r="C166" s="72" t="s">
        <v>982</v>
      </c>
      <c r="D166" s="72"/>
      <c r="E166" s="72"/>
      <c r="F166" s="72"/>
      <c r="G166" s="72"/>
      <c r="H166" s="72" t="s">
        <v>111</v>
      </c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>
        <v>1</v>
      </c>
      <c r="U166" s="105"/>
      <c r="V166" s="48"/>
    </row>
    <row r="167" spans="2:22" x14ac:dyDescent="0.3">
      <c r="B167" s="72" t="s">
        <v>593</v>
      </c>
      <c r="C167" s="72" t="s">
        <v>982</v>
      </c>
      <c r="D167" s="72"/>
      <c r="E167" s="72"/>
      <c r="F167" s="72"/>
      <c r="G167" s="72"/>
      <c r="H167" s="72" t="s">
        <v>111</v>
      </c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>
        <v>1</v>
      </c>
      <c r="U167" s="105"/>
      <c r="V167" s="48"/>
    </row>
    <row r="168" spans="2:22" x14ac:dyDescent="0.3">
      <c r="B168" s="72" t="s">
        <v>586</v>
      </c>
      <c r="C168" s="72" t="s">
        <v>1125</v>
      </c>
      <c r="D168" s="72"/>
      <c r="E168" s="72"/>
      <c r="F168" s="72"/>
      <c r="G168" s="72"/>
      <c r="H168" s="72" t="s">
        <v>111</v>
      </c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>
        <v>1</v>
      </c>
      <c r="U168" s="105"/>
      <c r="V168" s="48"/>
    </row>
    <row r="169" spans="2:22" x14ac:dyDescent="0.3">
      <c r="B169" s="72" t="s">
        <v>587</v>
      </c>
      <c r="C169" s="72" t="s">
        <v>1125</v>
      </c>
      <c r="D169" s="72"/>
      <c r="E169" s="72"/>
      <c r="F169" s="72"/>
      <c r="G169" s="72"/>
      <c r="H169" s="72" t="s">
        <v>111</v>
      </c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>
        <v>1</v>
      </c>
      <c r="U169" s="105"/>
      <c r="V169" s="48"/>
    </row>
    <row r="170" spans="2:22" x14ac:dyDescent="0.3">
      <c r="B170" s="72" t="s">
        <v>588</v>
      </c>
      <c r="C170" s="72" t="s">
        <v>1125</v>
      </c>
      <c r="D170" s="72"/>
      <c r="E170" s="72"/>
      <c r="F170" s="72"/>
      <c r="G170" s="72"/>
      <c r="H170" s="72" t="s">
        <v>111</v>
      </c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>
        <v>1</v>
      </c>
      <c r="U170" s="105"/>
      <c r="V170" s="48"/>
    </row>
    <row r="171" spans="2:22" x14ac:dyDescent="0.3">
      <c r="B171" s="72" t="s">
        <v>589</v>
      </c>
      <c r="C171" s="72" t="s">
        <v>1125</v>
      </c>
      <c r="D171" s="72"/>
      <c r="E171" s="72"/>
      <c r="F171" s="72"/>
      <c r="G171" s="72"/>
      <c r="H171" s="72" t="s">
        <v>111</v>
      </c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>
        <v>1</v>
      </c>
      <c r="U171" s="105"/>
      <c r="V171" s="48"/>
    </row>
    <row r="172" spans="2:22" x14ac:dyDescent="0.3">
      <c r="B172" s="72" t="s">
        <v>590</v>
      </c>
      <c r="C172" s="72" t="s">
        <v>1125</v>
      </c>
      <c r="D172" s="72"/>
      <c r="E172" s="72"/>
      <c r="F172" s="72"/>
      <c r="G172" s="72"/>
      <c r="H172" s="72" t="s">
        <v>111</v>
      </c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>
        <v>1</v>
      </c>
      <c r="U172" s="105"/>
      <c r="V172" s="48"/>
    </row>
    <row r="173" spans="2:22" x14ac:dyDescent="0.3">
      <c r="B173" s="72" t="s">
        <v>591</v>
      </c>
      <c r="C173" s="72" t="s">
        <v>1125</v>
      </c>
      <c r="D173" s="72"/>
      <c r="E173" s="72"/>
      <c r="F173" s="72"/>
      <c r="G173" s="72"/>
      <c r="H173" s="72" t="s">
        <v>111</v>
      </c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>
        <v>1</v>
      </c>
      <c r="U173" s="105"/>
      <c r="V173" s="48"/>
    </row>
    <row r="174" spans="2:22" x14ac:dyDescent="0.3">
      <c r="B174" s="72" t="s">
        <v>592</v>
      </c>
      <c r="C174" s="72" t="s">
        <v>1125</v>
      </c>
      <c r="D174" s="72"/>
      <c r="E174" s="72"/>
      <c r="F174" s="72"/>
      <c r="G174" s="72"/>
      <c r="H174" s="72" t="s">
        <v>111</v>
      </c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>
        <v>1</v>
      </c>
      <c r="U174" s="105"/>
      <c r="V174" s="48"/>
    </row>
    <row r="175" spans="2:22" x14ac:dyDescent="0.3">
      <c r="B175" s="72" t="s">
        <v>593</v>
      </c>
      <c r="C175" s="72" t="s">
        <v>1125</v>
      </c>
      <c r="D175" s="72"/>
      <c r="E175" s="72"/>
      <c r="F175" s="72"/>
      <c r="G175" s="72"/>
      <c r="H175" s="72" t="s">
        <v>111</v>
      </c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>
        <v>1</v>
      </c>
      <c r="U175" s="105"/>
      <c r="V175" s="48"/>
    </row>
    <row r="176" spans="2:22" x14ac:dyDescent="0.3">
      <c r="B176" s="105" t="s">
        <v>586</v>
      </c>
      <c r="C176" s="105" t="s">
        <v>675</v>
      </c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>
        <v>1</v>
      </c>
      <c r="V176" s="48"/>
    </row>
    <row r="177" spans="2:22" x14ac:dyDescent="0.3">
      <c r="B177" s="105" t="s">
        <v>587</v>
      </c>
      <c r="C177" s="105" t="s">
        <v>675</v>
      </c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>
        <v>1</v>
      </c>
      <c r="V177" s="48"/>
    </row>
    <row r="178" spans="2:22" x14ac:dyDescent="0.3">
      <c r="B178" s="105" t="s">
        <v>588</v>
      </c>
      <c r="C178" s="105" t="s">
        <v>675</v>
      </c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>
        <v>1</v>
      </c>
      <c r="V178" s="48"/>
    </row>
    <row r="179" spans="2:22" x14ac:dyDescent="0.3">
      <c r="B179" s="105" t="s">
        <v>589</v>
      </c>
      <c r="C179" s="105" t="s">
        <v>675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>
        <v>1</v>
      </c>
      <c r="V179" s="48"/>
    </row>
    <row r="180" spans="2:22" x14ac:dyDescent="0.3">
      <c r="B180" s="105" t="s">
        <v>590</v>
      </c>
      <c r="C180" s="105" t="s">
        <v>675</v>
      </c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>
        <v>1</v>
      </c>
      <c r="V180" s="48"/>
    </row>
    <row r="181" spans="2:22" x14ac:dyDescent="0.3">
      <c r="B181" s="105" t="s">
        <v>591</v>
      </c>
      <c r="C181" s="105" t="s">
        <v>675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>
        <v>1</v>
      </c>
      <c r="V181" s="48"/>
    </row>
    <row r="182" spans="2:22" x14ac:dyDescent="0.3">
      <c r="B182" s="105" t="s">
        <v>592</v>
      </c>
      <c r="C182" s="105" t="s">
        <v>675</v>
      </c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>
        <v>1</v>
      </c>
      <c r="V182" s="48"/>
    </row>
    <row r="183" spans="2:22" x14ac:dyDescent="0.3">
      <c r="B183" s="105" t="s">
        <v>593</v>
      </c>
      <c r="C183" s="105" t="s">
        <v>675</v>
      </c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>
        <v>1</v>
      </c>
      <c r="V183" s="48"/>
    </row>
    <row r="184" spans="2:22" x14ac:dyDescent="0.3">
      <c r="B184" s="48" t="s">
        <v>594</v>
      </c>
      <c r="C184" s="48" t="s">
        <v>839</v>
      </c>
      <c r="D184" s="48"/>
      <c r="E184" s="48"/>
      <c r="F184" s="48"/>
      <c r="G184" s="48"/>
      <c r="H184" s="48" t="s">
        <v>111</v>
      </c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>
        <v>1</v>
      </c>
    </row>
    <row r="185" spans="2:22" x14ac:dyDescent="0.3">
      <c r="B185" s="48" t="s">
        <v>595</v>
      </c>
      <c r="C185" s="48" t="s">
        <v>839</v>
      </c>
      <c r="D185" s="48"/>
      <c r="E185" s="48"/>
      <c r="F185" s="48"/>
      <c r="G185" s="48"/>
      <c r="H185" s="48" t="s">
        <v>111</v>
      </c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>
        <v>1</v>
      </c>
    </row>
    <row r="186" spans="2:22" x14ac:dyDescent="0.3">
      <c r="B186" s="48" t="s">
        <v>596</v>
      </c>
      <c r="C186" s="48" t="s">
        <v>839</v>
      </c>
      <c r="D186" s="48"/>
      <c r="E186" s="48"/>
      <c r="F186" s="48"/>
      <c r="G186" s="48"/>
      <c r="H186" s="48" t="s">
        <v>111</v>
      </c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>
        <v>1</v>
      </c>
    </row>
    <row r="187" spans="2:22" x14ac:dyDescent="0.3">
      <c r="B187" s="48" t="s">
        <v>1094</v>
      </c>
      <c r="C187" s="48" t="s">
        <v>839</v>
      </c>
      <c r="D187" s="48"/>
      <c r="E187" s="48"/>
      <c r="F187" s="48"/>
      <c r="G187" s="48"/>
      <c r="H187" s="48" t="s">
        <v>111</v>
      </c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>
        <v>1</v>
      </c>
    </row>
    <row r="188" spans="2:22" x14ac:dyDescent="0.3">
      <c r="B188" s="48" t="s">
        <v>597</v>
      </c>
      <c r="C188" s="48" t="s">
        <v>839</v>
      </c>
      <c r="D188" s="48"/>
      <c r="E188" s="48"/>
      <c r="F188" s="48"/>
      <c r="G188" s="48"/>
      <c r="H188" s="48" t="s">
        <v>111</v>
      </c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>
        <v>1</v>
      </c>
    </row>
    <row r="189" spans="2:22" x14ac:dyDescent="0.3">
      <c r="B189" s="48" t="s">
        <v>594</v>
      </c>
      <c r="C189" s="48" t="s">
        <v>982</v>
      </c>
      <c r="D189" s="48"/>
      <c r="E189" s="48"/>
      <c r="F189" s="48"/>
      <c r="G189" s="48"/>
      <c r="H189" s="48" t="s">
        <v>111</v>
      </c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>
        <v>1</v>
      </c>
    </row>
    <row r="190" spans="2:22" x14ac:dyDescent="0.3">
      <c r="B190" s="48" t="s">
        <v>595</v>
      </c>
      <c r="C190" s="48" t="s">
        <v>982</v>
      </c>
      <c r="D190" s="48"/>
      <c r="E190" s="48"/>
      <c r="F190" s="48"/>
      <c r="G190" s="48"/>
      <c r="H190" s="48" t="s">
        <v>111</v>
      </c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>
        <v>1</v>
      </c>
    </row>
    <row r="191" spans="2:22" x14ac:dyDescent="0.3">
      <c r="B191" s="48" t="s">
        <v>596</v>
      </c>
      <c r="C191" s="48" t="s">
        <v>982</v>
      </c>
      <c r="D191" s="48"/>
      <c r="E191" s="48"/>
      <c r="F191" s="48"/>
      <c r="G191" s="48"/>
      <c r="H191" s="48" t="s">
        <v>111</v>
      </c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>
        <v>1</v>
      </c>
    </row>
    <row r="192" spans="2:22" x14ac:dyDescent="0.3">
      <c r="B192" s="48" t="s">
        <v>1094</v>
      </c>
      <c r="C192" s="48" t="s">
        <v>982</v>
      </c>
      <c r="D192" s="48"/>
      <c r="E192" s="48"/>
      <c r="F192" s="48"/>
      <c r="G192" s="48"/>
      <c r="H192" s="48" t="s">
        <v>111</v>
      </c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>
        <v>1</v>
      </c>
    </row>
    <row r="193" spans="2:22" x14ac:dyDescent="0.3">
      <c r="B193" s="48" t="s">
        <v>597</v>
      </c>
      <c r="C193" s="48" t="s">
        <v>982</v>
      </c>
      <c r="D193" s="48"/>
      <c r="E193" s="48"/>
      <c r="F193" s="48"/>
      <c r="G193" s="48"/>
      <c r="H193" s="48" t="s">
        <v>111</v>
      </c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43"/>
  <sheetViews>
    <sheetView workbookViewId="0">
      <selection activeCell="C16" sqref="C16"/>
    </sheetView>
  </sheetViews>
  <sheetFormatPr baseColWidth="10" defaultColWidth="8.88671875" defaultRowHeight="14.4" x14ac:dyDescent="0.3"/>
  <cols>
    <col min="1" max="1" width="72.88671875" bestFit="1" customWidth="1"/>
    <col min="2" max="2" width="14.44140625" bestFit="1" customWidth="1"/>
    <col min="3" max="3" width="12.5546875" bestFit="1" customWidth="1"/>
  </cols>
  <sheetData>
    <row r="1" spans="1:3" x14ac:dyDescent="0.3">
      <c r="A1" s="3" t="s">
        <v>412</v>
      </c>
      <c r="B1" s="3" t="s">
        <v>413</v>
      </c>
      <c r="C1" s="3" t="s">
        <v>414</v>
      </c>
    </row>
    <row r="2" spans="1:3" ht="13.2" customHeight="1" x14ac:dyDescent="0.3">
      <c r="A2" s="25" t="s">
        <v>861</v>
      </c>
      <c r="B2" s="46" t="s">
        <v>119</v>
      </c>
      <c r="C2" s="26">
        <v>1.01</v>
      </c>
    </row>
    <row r="3" spans="1:3" x14ac:dyDescent="0.3">
      <c r="A3" s="25" t="s">
        <v>395</v>
      </c>
      <c r="B3" s="25" t="s">
        <v>390</v>
      </c>
      <c r="C3" s="25">
        <v>0.2</v>
      </c>
    </row>
    <row r="4" spans="1:3" x14ac:dyDescent="0.3">
      <c r="A4" s="25" t="s">
        <v>396</v>
      </c>
      <c r="B4" s="25" t="s">
        <v>391</v>
      </c>
      <c r="C4" s="25">
        <v>0.05</v>
      </c>
    </row>
    <row r="5" spans="1:3" x14ac:dyDescent="0.3">
      <c r="A5" s="25" t="s">
        <v>397</v>
      </c>
      <c r="B5" s="25" t="s">
        <v>392</v>
      </c>
      <c r="C5" s="25">
        <v>4</v>
      </c>
    </row>
    <row r="6" spans="1:3" x14ac:dyDescent="0.3">
      <c r="A6" s="25" t="s">
        <v>409</v>
      </c>
      <c r="B6" s="25" t="s">
        <v>378</v>
      </c>
      <c r="C6" s="25" t="s">
        <v>111</v>
      </c>
    </row>
    <row r="7" spans="1:3" x14ac:dyDescent="0.3">
      <c r="A7" s="25" t="s">
        <v>410</v>
      </c>
      <c r="B7" s="25" t="s">
        <v>394</v>
      </c>
      <c r="C7" s="25">
        <v>0.9</v>
      </c>
    </row>
    <row r="8" spans="1:3" x14ac:dyDescent="0.3">
      <c r="A8" s="27" t="s">
        <v>411</v>
      </c>
      <c r="B8" s="27" t="s">
        <v>379</v>
      </c>
      <c r="C8" s="25">
        <v>0.75</v>
      </c>
    </row>
    <row r="9" spans="1:3" x14ac:dyDescent="0.3">
      <c r="A9" s="27" t="s">
        <v>398</v>
      </c>
      <c r="B9" s="27" t="s">
        <v>380</v>
      </c>
      <c r="C9" s="25">
        <v>0.04</v>
      </c>
    </row>
    <row r="10" spans="1:3" x14ac:dyDescent="0.3">
      <c r="A10" s="27" t="s">
        <v>399</v>
      </c>
      <c r="B10" s="27" t="s">
        <v>381</v>
      </c>
      <c r="C10" s="26">
        <v>5</v>
      </c>
    </row>
    <row r="11" spans="1:3" x14ac:dyDescent="0.3">
      <c r="A11" s="27" t="s">
        <v>400</v>
      </c>
      <c r="B11" s="27" t="s">
        <v>382</v>
      </c>
      <c r="C11" s="25">
        <v>2.5000000000000001E-2</v>
      </c>
    </row>
    <row r="12" spans="1:3" x14ac:dyDescent="0.3">
      <c r="A12" s="31" t="s">
        <v>402</v>
      </c>
      <c r="B12" s="31" t="s">
        <v>11</v>
      </c>
      <c r="C12" s="30">
        <v>0.2</v>
      </c>
    </row>
    <row r="13" spans="1:3" x14ac:dyDescent="0.3">
      <c r="A13" s="31" t="s">
        <v>403</v>
      </c>
      <c r="B13" s="29" t="s">
        <v>12</v>
      </c>
      <c r="C13" s="32">
        <v>0.7</v>
      </c>
    </row>
    <row r="14" spans="1:3" x14ac:dyDescent="0.3">
      <c r="A14" s="33" t="s">
        <v>404</v>
      </c>
      <c r="B14" s="33" t="s">
        <v>14</v>
      </c>
      <c r="C14" s="34" t="s">
        <v>15</v>
      </c>
    </row>
    <row r="15" spans="1:3" x14ac:dyDescent="0.3">
      <c r="A15" s="33" t="s">
        <v>405</v>
      </c>
      <c r="B15" s="33" t="s">
        <v>13</v>
      </c>
      <c r="C15" s="35">
        <v>5</v>
      </c>
    </row>
    <row r="16" spans="1:3" x14ac:dyDescent="0.3">
      <c r="A16" s="33" t="s">
        <v>401</v>
      </c>
      <c r="B16" s="33" t="s">
        <v>393</v>
      </c>
      <c r="C16" s="34">
        <v>3</v>
      </c>
    </row>
    <row r="17" spans="1:3" x14ac:dyDescent="0.3">
      <c r="A17" s="33" t="s">
        <v>406</v>
      </c>
      <c r="B17" s="33" t="s">
        <v>18</v>
      </c>
      <c r="C17" s="35">
        <v>0.01</v>
      </c>
    </row>
    <row r="18" spans="1:3" x14ac:dyDescent="0.3">
      <c r="A18" s="33" t="s">
        <v>407</v>
      </c>
      <c r="B18" s="33" t="s">
        <v>29</v>
      </c>
      <c r="C18" s="35" t="s">
        <v>15</v>
      </c>
    </row>
    <row r="19" spans="1:3" x14ac:dyDescent="0.3">
      <c r="A19" s="33" t="s">
        <v>408</v>
      </c>
      <c r="B19" s="36" t="s">
        <v>30</v>
      </c>
      <c r="C19" s="36" t="s">
        <v>15</v>
      </c>
    </row>
    <row r="20" spans="1:3" x14ac:dyDescent="0.3">
      <c r="A20" s="36" t="s">
        <v>862</v>
      </c>
      <c r="B20" s="36" t="s">
        <v>419</v>
      </c>
      <c r="C20" s="36">
        <v>0.5</v>
      </c>
    </row>
    <row r="21" spans="1:3" x14ac:dyDescent="0.3">
      <c r="A21" s="36" t="s">
        <v>863</v>
      </c>
      <c r="B21" s="36" t="s">
        <v>420</v>
      </c>
      <c r="C21" s="36">
        <v>10</v>
      </c>
    </row>
    <row r="22" spans="1:3" x14ac:dyDescent="0.3">
      <c r="A22" s="36" t="s">
        <v>426</v>
      </c>
      <c r="B22" s="36" t="s">
        <v>421</v>
      </c>
      <c r="C22" s="36">
        <v>1</v>
      </c>
    </row>
    <row r="23" spans="1:3" x14ac:dyDescent="0.3">
      <c r="A23" s="36" t="s">
        <v>427</v>
      </c>
      <c r="B23" s="36" t="s">
        <v>422</v>
      </c>
      <c r="C23" s="36">
        <v>0.05</v>
      </c>
    </row>
    <row r="24" spans="1:3" x14ac:dyDescent="0.3">
      <c r="A24" s="36" t="s">
        <v>428</v>
      </c>
      <c r="B24" s="36" t="s">
        <v>423</v>
      </c>
      <c r="C24" s="36">
        <v>0.02</v>
      </c>
    </row>
    <row r="25" spans="1:3" x14ac:dyDescent="0.3">
      <c r="A25" s="36" t="s">
        <v>424</v>
      </c>
      <c r="B25" s="36" t="s">
        <v>415</v>
      </c>
      <c r="C25" s="36">
        <v>7</v>
      </c>
    </row>
    <row r="26" spans="1:3" x14ac:dyDescent="0.3">
      <c r="A26" s="36" t="s">
        <v>425</v>
      </c>
      <c r="B26" s="36" t="s">
        <v>416</v>
      </c>
      <c r="C26" s="36">
        <v>7</v>
      </c>
    </row>
    <row r="27" spans="1:3" x14ac:dyDescent="0.3">
      <c r="A27" s="37" t="s">
        <v>424</v>
      </c>
      <c r="B27" s="36" t="s">
        <v>417</v>
      </c>
      <c r="C27" s="36">
        <v>7</v>
      </c>
    </row>
    <row r="28" spans="1:3" x14ac:dyDescent="0.3">
      <c r="A28" s="37" t="s">
        <v>425</v>
      </c>
      <c r="B28" s="37" t="s">
        <v>418</v>
      </c>
      <c r="C28" s="36">
        <v>7</v>
      </c>
    </row>
    <row r="29" spans="1:3" x14ac:dyDescent="0.3">
      <c r="A29" s="37" t="s">
        <v>429</v>
      </c>
      <c r="B29" s="37" t="s">
        <v>432</v>
      </c>
      <c r="C29" s="36">
        <v>1</v>
      </c>
    </row>
    <row r="30" spans="1:3" x14ac:dyDescent="0.3">
      <c r="A30" s="37" t="s">
        <v>430</v>
      </c>
      <c r="B30" s="38" t="s">
        <v>431</v>
      </c>
      <c r="C30" s="38">
        <v>0.5</v>
      </c>
    </row>
    <row r="31" spans="1:3" x14ac:dyDescent="0.3">
      <c r="A31" s="38" t="s">
        <v>824</v>
      </c>
      <c r="B31" s="38" t="s">
        <v>16</v>
      </c>
      <c r="C31" s="38">
        <v>0.7350000000000001</v>
      </c>
    </row>
    <row r="32" spans="1:3" x14ac:dyDescent="0.3">
      <c r="A32" s="38" t="s">
        <v>825</v>
      </c>
      <c r="B32" s="39" t="s">
        <v>17</v>
      </c>
      <c r="C32" s="39">
        <v>-0.54</v>
      </c>
    </row>
    <row r="33" spans="1:3" x14ac:dyDescent="0.3">
      <c r="A33" s="39" t="s">
        <v>440</v>
      </c>
      <c r="B33" s="39" t="s">
        <v>7</v>
      </c>
      <c r="C33" s="40">
        <v>1</v>
      </c>
    </row>
    <row r="34" spans="1:3" x14ac:dyDescent="0.3">
      <c r="A34" s="39" t="s">
        <v>433</v>
      </c>
      <c r="B34" s="39" t="s">
        <v>133</v>
      </c>
      <c r="C34" s="40">
        <v>9.9999999999999995E-7</v>
      </c>
    </row>
    <row r="35" spans="1:3" x14ac:dyDescent="0.3">
      <c r="A35" s="39" t="s">
        <v>434</v>
      </c>
      <c r="B35" s="39" t="s">
        <v>132</v>
      </c>
      <c r="C35" s="40">
        <v>9.9999999999999995E-7</v>
      </c>
    </row>
    <row r="36" spans="1:3" x14ac:dyDescent="0.3">
      <c r="A36" s="39" t="s">
        <v>435</v>
      </c>
      <c r="B36" s="39" t="s">
        <v>173</v>
      </c>
      <c r="C36" s="41">
        <v>3.8445545158369501</v>
      </c>
    </row>
    <row r="37" spans="1:3" x14ac:dyDescent="0.3">
      <c r="A37" s="39" t="s">
        <v>436</v>
      </c>
      <c r="B37" s="39" t="s">
        <v>172</v>
      </c>
      <c r="C37" s="42">
        <v>8.2020616487759668</v>
      </c>
    </row>
    <row r="38" spans="1:3" x14ac:dyDescent="0.3">
      <c r="A38" s="39" t="s">
        <v>437</v>
      </c>
      <c r="B38" s="39" t="s">
        <v>120</v>
      </c>
      <c r="C38" s="42">
        <v>1E-3</v>
      </c>
    </row>
    <row r="39" spans="1:3" x14ac:dyDescent="0.3">
      <c r="A39" s="39" t="s">
        <v>438</v>
      </c>
      <c r="B39" s="39" t="s">
        <v>121</v>
      </c>
      <c r="C39" s="42">
        <v>1E-3</v>
      </c>
    </row>
    <row r="40" spans="1:3" x14ac:dyDescent="0.3">
      <c r="A40" s="39" t="s">
        <v>439</v>
      </c>
      <c r="B40" t="s">
        <v>122</v>
      </c>
      <c r="C40" s="7">
        <v>1</v>
      </c>
    </row>
    <row r="41" spans="1:3" x14ac:dyDescent="0.3">
      <c r="A41" s="28" t="s">
        <v>817</v>
      </c>
      <c r="B41" s="28" t="s">
        <v>818</v>
      </c>
      <c r="C41" s="28">
        <v>0.5</v>
      </c>
    </row>
    <row r="42" spans="1:3" x14ac:dyDescent="0.3">
      <c r="A42" s="28" t="s">
        <v>819</v>
      </c>
      <c r="B42" s="28" t="s">
        <v>820</v>
      </c>
      <c r="C42" s="28">
        <v>0.25</v>
      </c>
    </row>
    <row r="43" spans="1:3" x14ac:dyDescent="0.3">
      <c r="A43" s="28" t="s">
        <v>821</v>
      </c>
      <c r="B43" t="s">
        <v>822</v>
      </c>
      <c r="C43" t="s">
        <v>111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M149"/>
  <sheetViews>
    <sheetView tabSelected="1" workbookViewId="0">
      <pane xSplit="2" ySplit="8" topLeftCell="R9" activePane="bottomRight" state="frozen"/>
      <selection pane="topRight" activeCell="C1" sqref="C1"/>
      <selection pane="bottomLeft" activeCell="A8" sqref="A8"/>
      <selection pane="bottomRight" activeCell="A4" sqref="A4:XFD4"/>
    </sheetView>
  </sheetViews>
  <sheetFormatPr baseColWidth="10" defaultColWidth="10.88671875" defaultRowHeight="14.4" x14ac:dyDescent="0.3"/>
  <cols>
    <col min="2" max="2" width="21.77734375" customWidth="1"/>
    <col min="23" max="23" width="14.109375" customWidth="1"/>
    <col min="24" max="24" width="14.5546875" bestFit="1" customWidth="1"/>
    <col min="25" max="25" width="15.109375" bestFit="1" customWidth="1"/>
    <col min="26" max="26" width="14.33203125" bestFit="1" customWidth="1"/>
    <col min="27" max="27" width="8.6640625" bestFit="1" customWidth="1"/>
    <col min="28" max="28" width="10.21875" customWidth="1"/>
    <col min="29" max="29" width="6.109375" bestFit="1" customWidth="1"/>
    <col min="30" max="30" width="7.5546875" customWidth="1"/>
    <col min="31" max="31" width="6.6640625" bestFit="1" customWidth="1"/>
    <col min="32" max="32" width="18.109375" bestFit="1" customWidth="1"/>
    <col min="33" max="33" width="18.77734375" bestFit="1" customWidth="1"/>
    <col min="34" max="34" width="19.33203125" bestFit="1" customWidth="1"/>
    <col min="35" max="35" width="18.5546875" bestFit="1" customWidth="1"/>
    <col min="36" max="36" width="12.77734375" bestFit="1" customWidth="1"/>
    <col min="37" max="37" width="10.21875" bestFit="1" customWidth="1"/>
    <col min="38" max="38" width="10.77734375" bestFit="1" customWidth="1"/>
    <col min="39" max="39" width="18.109375" bestFit="1" customWidth="1"/>
    <col min="40" max="40" width="18.77734375" bestFit="1" customWidth="1"/>
    <col min="41" max="41" width="19.33203125" bestFit="1" customWidth="1"/>
    <col min="42" max="42" width="18.5546875" bestFit="1" customWidth="1"/>
    <col min="43" max="43" width="12.77734375" bestFit="1" customWidth="1"/>
    <col min="44" max="44" width="10.21875" bestFit="1" customWidth="1"/>
    <col min="45" max="45" width="10.77734375" customWidth="1"/>
  </cols>
  <sheetData>
    <row r="1" spans="2:117" ht="142.80000000000001" customHeight="1" x14ac:dyDescent="0.3">
      <c r="C1" s="104" t="s">
        <v>1114</v>
      </c>
      <c r="D1" s="104" t="s">
        <v>1114</v>
      </c>
      <c r="E1" s="104" t="s">
        <v>1114</v>
      </c>
      <c r="F1" s="104" t="s">
        <v>1114</v>
      </c>
      <c r="H1" s="104" t="s">
        <v>1115</v>
      </c>
      <c r="J1" s="104" t="s">
        <v>1116</v>
      </c>
      <c r="K1" s="104" t="s">
        <v>1117</v>
      </c>
      <c r="L1" s="104" t="s">
        <v>1117</v>
      </c>
      <c r="M1" s="104" t="s">
        <v>1118</v>
      </c>
      <c r="R1" s="104" t="s">
        <v>1118</v>
      </c>
      <c r="W1" s="104" t="s">
        <v>1118</v>
      </c>
      <c r="AB1" s="104" t="s">
        <v>1119</v>
      </c>
      <c r="AW1" s="104" t="s">
        <v>1120</v>
      </c>
      <c r="BO1" s="104" t="s">
        <v>1121</v>
      </c>
      <c r="CG1" s="104" t="s">
        <v>1122</v>
      </c>
      <c r="CY1" s="104" t="s">
        <v>1123</v>
      </c>
    </row>
    <row r="2" spans="2:117" x14ac:dyDescent="0.3">
      <c r="C2" s="105" t="s">
        <v>826</v>
      </c>
      <c r="D2" s="106" t="s">
        <v>841</v>
      </c>
      <c r="E2" s="93" t="s">
        <v>827</v>
      </c>
      <c r="F2" s="107" t="s">
        <v>839</v>
      </c>
      <c r="G2" s="72" t="s">
        <v>828</v>
      </c>
      <c r="H2" s="108" t="s">
        <v>840</v>
      </c>
      <c r="I2" s="59" t="s">
        <v>829</v>
      </c>
      <c r="J2" s="90" t="s">
        <v>830</v>
      </c>
      <c r="K2" s="92" t="s">
        <v>838</v>
      </c>
      <c r="L2" s="92" t="s">
        <v>1125</v>
      </c>
      <c r="M2" s="91" t="s">
        <v>657</v>
      </c>
      <c r="N2" s="91" t="s">
        <v>659</v>
      </c>
      <c r="O2" s="91" t="s">
        <v>660</v>
      </c>
      <c r="P2" s="91" t="s">
        <v>661</v>
      </c>
      <c r="Q2" s="91" t="s">
        <v>658</v>
      </c>
      <c r="R2" s="91" t="s">
        <v>1253</v>
      </c>
      <c r="S2" s="91" t="s">
        <v>1254</v>
      </c>
      <c r="T2" s="91" t="s">
        <v>1255</v>
      </c>
      <c r="U2" s="91" t="s">
        <v>1256</v>
      </c>
      <c r="V2" s="91" t="s">
        <v>1271</v>
      </c>
      <c r="W2" s="91" t="s">
        <v>1262</v>
      </c>
      <c r="X2" s="91" t="s">
        <v>1263</v>
      </c>
      <c r="Y2" s="91" t="s">
        <v>1264</v>
      </c>
      <c r="Z2" s="91" t="s">
        <v>1265</v>
      </c>
      <c r="AA2" s="91" t="s">
        <v>1306</v>
      </c>
      <c r="AB2" s="91" t="s">
        <v>1078</v>
      </c>
      <c r="AC2" s="91" t="s">
        <v>1079</v>
      </c>
      <c r="AD2" s="91" t="s">
        <v>1080</v>
      </c>
      <c r="AE2" s="91" t="s">
        <v>1081</v>
      </c>
      <c r="AF2" s="90" t="s">
        <v>1382</v>
      </c>
      <c r="AG2" s="90" t="s">
        <v>1383</v>
      </c>
      <c r="AH2" s="90" t="s">
        <v>1384</v>
      </c>
      <c r="AI2" s="90" t="s">
        <v>1385</v>
      </c>
      <c r="AJ2" s="90" t="s">
        <v>1386</v>
      </c>
      <c r="AK2" s="90" t="s">
        <v>1387</v>
      </c>
      <c r="AL2" s="90" t="s">
        <v>1388</v>
      </c>
      <c r="AM2" s="117" t="s">
        <v>1389</v>
      </c>
      <c r="AN2" s="117" t="s">
        <v>1390</v>
      </c>
      <c r="AO2" s="117" t="s">
        <v>1391</v>
      </c>
      <c r="AP2" s="117" t="s">
        <v>1392</v>
      </c>
      <c r="AQ2" s="117" t="s">
        <v>1393</v>
      </c>
      <c r="AR2" s="117" t="s">
        <v>1394</v>
      </c>
      <c r="AS2" s="117" t="s">
        <v>1395</v>
      </c>
      <c r="AT2" s="109" t="s">
        <v>983</v>
      </c>
      <c r="AU2" s="109" t="s">
        <v>984</v>
      </c>
      <c r="AV2" s="109" t="s">
        <v>985</v>
      </c>
      <c r="AW2" s="109" t="s">
        <v>986</v>
      </c>
      <c r="AX2" s="109" t="s">
        <v>987</v>
      </c>
      <c r="AY2" s="109" t="s">
        <v>988</v>
      </c>
      <c r="AZ2" s="109" t="s">
        <v>989</v>
      </c>
      <c r="BA2" s="109" t="s">
        <v>990</v>
      </c>
      <c r="BB2" s="109" t="s">
        <v>991</v>
      </c>
      <c r="BC2" s="109" t="s">
        <v>992</v>
      </c>
      <c r="BD2" s="109" t="s">
        <v>993</v>
      </c>
      <c r="BE2" s="109" t="s">
        <v>994</v>
      </c>
      <c r="BF2" s="109" t="s">
        <v>995</v>
      </c>
      <c r="BG2" s="109" t="s">
        <v>996</v>
      </c>
      <c r="BH2" s="109" t="s">
        <v>997</v>
      </c>
      <c r="BI2" s="109" t="s">
        <v>998</v>
      </c>
      <c r="BJ2" s="109" t="s">
        <v>999</v>
      </c>
      <c r="BK2" s="109" t="s">
        <v>1000</v>
      </c>
      <c r="BL2" s="106" t="s">
        <v>1019</v>
      </c>
      <c r="BM2" s="106" t="s">
        <v>1020</v>
      </c>
      <c r="BN2" s="106" t="s">
        <v>1021</v>
      </c>
      <c r="BO2" s="106" t="s">
        <v>1022</v>
      </c>
      <c r="BP2" s="106" t="s">
        <v>1023</v>
      </c>
      <c r="BQ2" s="106" t="s">
        <v>1024</v>
      </c>
      <c r="BR2" s="106" t="s">
        <v>1025</v>
      </c>
      <c r="BS2" s="106" t="s">
        <v>1026</v>
      </c>
      <c r="BT2" s="106" t="s">
        <v>1027</v>
      </c>
      <c r="BU2" s="106" t="s">
        <v>1028</v>
      </c>
      <c r="BV2" s="106" t="s">
        <v>1029</v>
      </c>
      <c r="BW2" s="106" t="s">
        <v>1030</v>
      </c>
      <c r="BX2" s="106" t="s">
        <v>1031</v>
      </c>
      <c r="BY2" s="106" t="s">
        <v>1032</v>
      </c>
      <c r="BZ2" s="106" t="s">
        <v>1033</v>
      </c>
      <c r="CA2" s="106" t="s">
        <v>1034</v>
      </c>
      <c r="CB2" s="106" t="s">
        <v>1035</v>
      </c>
      <c r="CC2" s="106" t="s">
        <v>1036</v>
      </c>
      <c r="CD2" s="93" t="s">
        <v>1001</v>
      </c>
      <c r="CE2" s="93" t="s">
        <v>1002</v>
      </c>
      <c r="CF2" s="93" t="s">
        <v>1003</v>
      </c>
      <c r="CG2" s="93" t="s">
        <v>1004</v>
      </c>
      <c r="CH2" s="93" t="s">
        <v>1005</v>
      </c>
      <c r="CI2" s="93" t="s">
        <v>1006</v>
      </c>
      <c r="CJ2" s="93" t="s">
        <v>1007</v>
      </c>
      <c r="CK2" s="93" t="s">
        <v>1008</v>
      </c>
      <c r="CL2" s="93" t="s">
        <v>1009</v>
      </c>
      <c r="CM2" s="93" t="s">
        <v>1010</v>
      </c>
      <c r="CN2" s="93" t="s">
        <v>1011</v>
      </c>
      <c r="CO2" s="93" t="s">
        <v>1012</v>
      </c>
      <c r="CP2" s="93" t="s">
        <v>1013</v>
      </c>
      <c r="CQ2" s="93" t="s">
        <v>1014</v>
      </c>
      <c r="CR2" s="93" t="s">
        <v>1015</v>
      </c>
      <c r="CS2" s="93" t="s">
        <v>1016</v>
      </c>
      <c r="CT2" s="93" t="s">
        <v>1017</v>
      </c>
      <c r="CU2" s="93" t="s">
        <v>1018</v>
      </c>
      <c r="CV2" s="110" t="s">
        <v>929</v>
      </c>
      <c r="CW2" s="110" t="s">
        <v>930</v>
      </c>
      <c r="CX2" s="110" t="s">
        <v>931</v>
      </c>
      <c r="CY2" s="110" t="s">
        <v>932</v>
      </c>
      <c r="CZ2" s="110" t="s">
        <v>933</v>
      </c>
      <c r="DA2" s="110" t="s">
        <v>934</v>
      </c>
      <c r="DB2" s="110" t="s">
        <v>935</v>
      </c>
      <c r="DC2" s="110" t="s">
        <v>936</v>
      </c>
      <c r="DD2" s="110" t="s">
        <v>937</v>
      </c>
      <c r="DE2" s="110" t="s">
        <v>938</v>
      </c>
      <c r="DF2" s="110" t="s">
        <v>939</v>
      </c>
      <c r="DG2" s="110" t="s">
        <v>940</v>
      </c>
      <c r="DH2" s="110" t="s">
        <v>941</v>
      </c>
      <c r="DI2" s="110" t="s">
        <v>942</v>
      </c>
      <c r="DJ2" s="110" t="s">
        <v>943</v>
      </c>
      <c r="DK2" s="110" t="s">
        <v>944</v>
      </c>
      <c r="DL2" s="110" t="s">
        <v>945</v>
      </c>
      <c r="DM2" s="110" t="s">
        <v>946</v>
      </c>
    </row>
    <row r="3" spans="2:117" x14ac:dyDescent="0.3">
      <c r="B3" s="3" t="s">
        <v>831</v>
      </c>
      <c r="C3" s="105">
        <v>1</v>
      </c>
      <c r="D3" s="106">
        <v>1</v>
      </c>
      <c r="E3" s="93">
        <v>1</v>
      </c>
      <c r="F3" s="107">
        <v>1</v>
      </c>
      <c r="G3" s="72"/>
      <c r="H3" s="108"/>
      <c r="I3" s="59"/>
      <c r="J3" s="90"/>
      <c r="K3" s="92"/>
      <c r="L3" s="92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0"/>
      <c r="AG3" s="90"/>
      <c r="AH3" s="90"/>
      <c r="AI3" s="90"/>
      <c r="AJ3" s="90"/>
      <c r="AK3" s="90"/>
      <c r="AL3" s="90"/>
      <c r="AM3" s="117"/>
      <c r="AN3" s="117"/>
      <c r="AO3" s="117"/>
      <c r="AP3" s="117"/>
      <c r="AQ3" s="117"/>
      <c r="AR3" s="117"/>
      <c r="AS3" s="117"/>
      <c r="AT3" s="105">
        <v>1</v>
      </c>
      <c r="AU3" s="105">
        <v>1</v>
      </c>
      <c r="AV3" s="105">
        <v>1</v>
      </c>
      <c r="AW3" s="105">
        <v>1</v>
      </c>
      <c r="AX3" s="105">
        <v>1</v>
      </c>
      <c r="AY3" s="105">
        <v>1</v>
      </c>
      <c r="AZ3" s="105">
        <v>1</v>
      </c>
      <c r="BA3" s="105">
        <v>1</v>
      </c>
      <c r="BB3" s="105">
        <v>1</v>
      </c>
      <c r="BC3" s="105">
        <v>1</v>
      </c>
      <c r="BD3" s="105">
        <v>1</v>
      </c>
      <c r="BE3" s="105">
        <v>1</v>
      </c>
      <c r="BF3" s="105">
        <v>1</v>
      </c>
      <c r="BG3" s="105">
        <v>1</v>
      </c>
      <c r="BH3" s="105">
        <v>1</v>
      </c>
      <c r="BI3" s="105">
        <v>1</v>
      </c>
      <c r="BJ3" s="105">
        <v>1</v>
      </c>
      <c r="BK3" s="105">
        <v>1</v>
      </c>
      <c r="BL3" s="106">
        <v>1</v>
      </c>
      <c r="BM3" s="106">
        <v>1</v>
      </c>
      <c r="BN3" s="106">
        <v>1</v>
      </c>
      <c r="BO3" s="106">
        <v>1</v>
      </c>
      <c r="BP3" s="106">
        <v>1</v>
      </c>
      <c r="BQ3" s="106">
        <v>1</v>
      </c>
      <c r="BR3" s="106">
        <v>1</v>
      </c>
      <c r="BS3" s="106">
        <v>1</v>
      </c>
      <c r="BT3" s="106">
        <v>1</v>
      </c>
      <c r="BU3" s="106">
        <v>1</v>
      </c>
      <c r="BV3" s="106">
        <v>1</v>
      </c>
      <c r="BW3" s="106">
        <v>1</v>
      </c>
      <c r="BX3" s="106">
        <v>1</v>
      </c>
      <c r="BY3" s="106">
        <v>1</v>
      </c>
      <c r="BZ3" s="106">
        <v>1</v>
      </c>
      <c r="CA3" s="106">
        <v>1</v>
      </c>
      <c r="CB3" s="106">
        <v>1</v>
      </c>
      <c r="CC3" s="106">
        <v>1</v>
      </c>
      <c r="CD3" s="93">
        <v>1</v>
      </c>
      <c r="CE3" s="93">
        <v>1</v>
      </c>
      <c r="CF3" s="93">
        <v>1</v>
      </c>
      <c r="CG3" s="93">
        <v>1</v>
      </c>
      <c r="CH3" s="93">
        <v>1</v>
      </c>
      <c r="CI3" s="93">
        <v>1</v>
      </c>
      <c r="CJ3" s="93">
        <v>1</v>
      </c>
      <c r="CK3" s="93">
        <v>1</v>
      </c>
      <c r="CL3" s="93">
        <v>1</v>
      </c>
      <c r="CM3" s="93">
        <v>1</v>
      </c>
      <c r="CN3" s="93">
        <v>1</v>
      </c>
      <c r="CO3" s="93">
        <v>1</v>
      </c>
      <c r="CP3" s="93">
        <v>1</v>
      </c>
      <c r="CQ3" s="93">
        <v>1</v>
      </c>
      <c r="CR3" s="93">
        <v>1</v>
      </c>
      <c r="CS3" s="93">
        <v>1</v>
      </c>
      <c r="CT3" s="93">
        <v>1</v>
      </c>
      <c r="CU3" s="93">
        <v>1</v>
      </c>
      <c r="CV3" s="107">
        <v>1</v>
      </c>
      <c r="CW3" s="107">
        <v>1</v>
      </c>
      <c r="CX3" s="107">
        <v>1</v>
      </c>
      <c r="CY3" s="107">
        <v>1</v>
      </c>
      <c r="CZ3" s="107">
        <v>1</v>
      </c>
      <c r="DA3" s="107">
        <v>1</v>
      </c>
      <c r="DB3" s="107">
        <v>1</v>
      </c>
      <c r="DC3" s="107">
        <v>1</v>
      </c>
      <c r="DD3" s="107">
        <v>1</v>
      </c>
      <c r="DE3" s="107">
        <v>1</v>
      </c>
      <c r="DF3" s="107">
        <v>1</v>
      </c>
      <c r="DG3" s="107">
        <v>1</v>
      </c>
      <c r="DH3" s="107">
        <v>1</v>
      </c>
      <c r="DI3" s="107">
        <v>1</v>
      </c>
      <c r="DJ3" s="107">
        <v>1</v>
      </c>
      <c r="DK3" s="107">
        <v>1</v>
      </c>
      <c r="DL3" s="107">
        <v>1</v>
      </c>
      <c r="DM3" s="107">
        <v>1</v>
      </c>
    </row>
    <row r="4" spans="2:117" x14ac:dyDescent="0.3">
      <c r="B4" s="3" t="s">
        <v>832</v>
      </c>
      <c r="C4" s="105">
        <v>0.75</v>
      </c>
      <c r="D4" s="106">
        <v>0.75</v>
      </c>
      <c r="E4" s="93">
        <v>0.5</v>
      </c>
      <c r="F4" s="107">
        <v>0.25</v>
      </c>
      <c r="G4" s="72" t="s">
        <v>15</v>
      </c>
      <c r="H4" s="108" t="s">
        <v>111</v>
      </c>
      <c r="I4" s="59" t="s">
        <v>15</v>
      </c>
      <c r="J4" s="90" t="s">
        <v>15</v>
      </c>
      <c r="K4" s="92" t="s">
        <v>15</v>
      </c>
      <c r="L4" s="92">
        <v>0.75</v>
      </c>
      <c r="M4" s="91">
        <v>2</v>
      </c>
      <c r="N4" s="91">
        <v>2</v>
      </c>
      <c r="O4" s="91">
        <v>2</v>
      </c>
      <c r="P4" s="91">
        <v>2</v>
      </c>
      <c r="Q4" s="91">
        <v>2</v>
      </c>
      <c r="R4" s="91">
        <v>2</v>
      </c>
      <c r="S4" s="91">
        <v>2</v>
      </c>
      <c r="T4" s="91">
        <v>2</v>
      </c>
      <c r="U4" s="91">
        <v>2</v>
      </c>
      <c r="V4" s="91">
        <v>2</v>
      </c>
      <c r="W4" s="91">
        <v>0.5</v>
      </c>
      <c r="X4" s="91">
        <v>0.5</v>
      </c>
      <c r="Y4" s="91">
        <v>0.5</v>
      </c>
      <c r="Z4" s="91">
        <v>0.5</v>
      </c>
      <c r="AA4" s="91">
        <v>0.5</v>
      </c>
      <c r="AB4" s="91">
        <v>2</v>
      </c>
      <c r="AC4" s="91">
        <v>0.5</v>
      </c>
      <c r="AD4" s="91">
        <v>2</v>
      </c>
      <c r="AE4" s="91">
        <v>0.5</v>
      </c>
      <c r="AF4" s="90" t="s">
        <v>15</v>
      </c>
      <c r="AG4" s="90" t="s">
        <v>15</v>
      </c>
      <c r="AH4" s="90" t="s">
        <v>15</v>
      </c>
      <c r="AI4" s="90" t="s">
        <v>15</v>
      </c>
      <c r="AJ4" s="90" t="s">
        <v>15</v>
      </c>
      <c r="AK4" s="90" t="s">
        <v>15</v>
      </c>
      <c r="AL4" s="90" t="s">
        <v>15</v>
      </c>
      <c r="AM4" s="117" t="s">
        <v>111</v>
      </c>
      <c r="AN4" s="117" t="s">
        <v>111</v>
      </c>
      <c r="AO4" s="117" t="s">
        <v>111</v>
      </c>
      <c r="AP4" s="117" t="s">
        <v>111</v>
      </c>
      <c r="AQ4" s="117" t="s">
        <v>111</v>
      </c>
      <c r="AR4" s="117" t="s">
        <v>111</v>
      </c>
      <c r="AS4" s="117" t="s">
        <v>111</v>
      </c>
      <c r="AT4" s="105">
        <v>0.75</v>
      </c>
      <c r="AU4" s="105">
        <v>0.75</v>
      </c>
      <c r="AV4" s="105">
        <v>0.75</v>
      </c>
      <c r="AW4" s="105">
        <v>0.75</v>
      </c>
      <c r="AX4" s="105">
        <v>0.75</v>
      </c>
      <c r="AY4" s="105">
        <v>0.75</v>
      </c>
      <c r="AZ4" s="105">
        <v>0.75</v>
      </c>
      <c r="BA4" s="105">
        <v>0.75</v>
      </c>
      <c r="BB4" s="105">
        <v>0.75</v>
      </c>
      <c r="BC4" s="105">
        <v>0.75</v>
      </c>
      <c r="BD4" s="105">
        <v>0.75</v>
      </c>
      <c r="BE4" s="105">
        <v>0.75</v>
      </c>
      <c r="BF4" s="105">
        <v>0.75</v>
      </c>
      <c r="BG4" s="105">
        <v>0.75</v>
      </c>
      <c r="BH4" s="105">
        <v>0.75</v>
      </c>
      <c r="BI4" s="105">
        <v>0.75</v>
      </c>
      <c r="BJ4" s="105">
        <v>0.75</v>
      </c>
      <c r="BK4" s="105">
        <v>0.75</v>
      </c>
      <c r="BL4" s="106">
        <v>0.75</v>
      </c>
      <c r="BM4" s="106">
        <v>0.75</v>
      </c>
      <c r="BN4" s="106">
        <v>0.75</v>
      </c>
      <c r="BO4" s="106">
        <v>0.75</v>
      </c>
      <c r="BP4" s="106">
        <v>0.75</v>
      </c>
      <c r="BQ4" s="106">
        <v>0.75</v>
      </c>
      <c r="BR4" s="106">
        <v>0.75</v>
      </c>
      <c r="BS4" s="106">
        <v>0.75</v>
      </c>
      <c r="BT4" s="106">
        <v>0.75</v>
      </c>
      <c r="BU4" s="106">
        <v>0.75</v>
      </c>
      <c r="BV4" s="106">
        <v>0.75</v>
      </c>
      <c r="BW4" s="106">
        <v>0.75</v>
      </c>
      <c r="BX4" s="106">
        <v>0.75</v>
      </c>
      <c r="BY4" s="106">
        <v>0.75</v>
      </c>
      <c r="BZ4" s="106">
        <v>0.75</v>
      </c>
      <c r="CA4" s="106">
        <v>0.75</v>
      </c>
      <c r="CB4" s="106">
        <v>0.75</v>
      </c>
      <c r="CC4" s="106">
        <v>0.75</v>
      </c>
      <c r="CD4" s="93">
        <v>0.5</v>
      </c>
      <c r="CE4" s="93">
        <v>0.5</v>
      </c>
      <c r="CF4" s="93">
        <v>0.5</v>
      </c>
      <c r="CG4" s="93">
        <v>0.5</v>
      </c>
      <c r="CH4" s="93">
        <v>0.5</v>
      </c>
      <c r="CI4" s="93">
        <v>0.5</v>
      </c>
      <c r="CJ4" s="93">
        <v>0.5</v>
      </c>
      <c r="CK4" s="93">
        <v>0.5</v>
      </c>
      <c r="CL4" s="93">
        <v>0.5</v>
      </c>
      <c r="CM4" s="93">
        <v>0.5</v>
      </c>
      <c r="CN4" s="93">
        <v>0.5</v>
      </c>
      <c r="CO4" s="93">
        <v>0.5</v>
      </c>
      <c r="CP4" s="93">
        <v>0.5</v>
      </c>
      <c r="CQ4" s="93">
        <v>0.5</v>
      </c>
      <c r="CR4" s="93">
        <v>0.5</v>
      </c>
      <c r="CS4" s="93">
        <v>0.5</v>
      </c>
      <c r="CT4" s="93">
        <v>0.5</v>
      </c>
      <c r="CU4" s="93">
        <v>0.5</v>
      </c>
      <c r="CV4" s="107">
        <v>0.25</v>
      </c>
      <c r="CW4" s="107">
        <v>0.25</v>
      </c>
      <c r="CX4" s="107">
        <v>0.25</v>
      </c>
      <c r="CY4" s="107">
        <v>0.25</v>
      </c>
      <c r="CZ4" s="107">
        <v>0.25</v>
      </c>
      <c r="DA4" s="107">
        <v>0.25</v>
      </c>
      <c r="DB4" s="107">
        <v>0.25</v>
      </c>
      <c r="DC4" s="107">
        <v>0.25</v>
      </c>
      <c r="DD4" s="107">
        <v>0.25</v>
      </c>
      <c r="DE4" s="107">
        <v>0.25</v>
      </c>
      <c r="DF4" s="107">
        <v>0.25</v>
      </c>
      <c r="DG4" s="107">
        <v>0.25</v>
      </c>
      <c r="DH4" s="107">
        <v>0.25</v>
      </c>
      <c r="DI4" s="107">
        <v>0.25</v>
      </c>
      <c r="DJ4" s="107">
        <v>0.25</v>
      </c>
      <c r="DK4" s="107">
        <v>0.25</v>
      </c>
      <c r="DL4" s="107">
        <v>0.25</v>
      </c>
      <c r="DM4" s="107">
        <v>0.25</v>
      </c>
    </row>
    <row r="5" spans="2:117" x14ac:dyDescent="0.3">
      <c r="B5" s="3" t="s">
        <v>1346</v>
      </c>
      <c r="C5" s="105" t="s">
        <v>111</v>
      </c>
      <c r="D5" s="106" t="s">
        <v>111</v>
      </c>
      <c r="E5" s="93" t="s">
        <v>111</v>
      </c>
      <c r="F5" s="107" t="s">
        <v>111</v>
      </c>
      <c r="G5" s="72" t="s">
        <v>111</v>
      </c>
      <c r="H5" s="108" t="s">
        <v>111</v>
      </c>
      <c r="I5" s="59">
        <v>1.01</v>
      </c>
      <c r="J5" s="90">
        <v>1.01</v>
      </c>
      <c r="K5" s="92" t="s">
        <v>111</v>
      </c>
      <c r="L5" s="92">
        <v>0.25</v>
      </c>
      <c r="M5" s="91">
        <v>1.01</v>
      </c>
      <c r="N5" s="91">
        <v>1.01</v>
      </c>
      <c r="O5" s="91">
        <v>1.01</v>
      </c>
      <c r="P5" s="91">
        <v>1.01</v>
      </c>
      <c r="Q5" s="91">
        <v>1.01</v>
      </c>
      <c r="R5" s="91">
        <v>1.01</v>
      </c>
      <c r="S5" s="91">
        <v>1.01</v>
      </c>
      <c r="T5" s="91">
        <v>1.01</v>
      </c>
      <c r="U5" s="91">
        <v>1.01</v>
      </c>
      <c r="V5" s="91">
        <v>1.01</v>
      </c>
      <c r="W5" s="91">
        <v>0.05</v>
      </c>
      <c r="X5" s="91">
        <v>0.05</v>
      </c>
      <c r="Y5" s="91">
        <v>0.05</v>
      </c>
      <c r="Z5" s="91">
        <v>0.05</v>
      </c>
      <c r="AA5" s="91">
        <v>0.05</v>
      </c>
      <c r="AB5" s="91">
        <v>1.01</v>
      </c>
      <c r="AC5" s="91">
        <v>0.05</v>
      </c>
      <c r="AD5" s="91">
        <v>1.01</v>
      </c>
      <c r="AE5" s="91">
        <v>0.05</v>
      </c>
      <c r="AF5" s="90">
        <v>1.01</v>
      </c>
      <c r="AG5" s="90">
        <v>1.01</v>
      </c>
      <c r="AH5" s="90">
        <v>1.01</v>
      </c>
      <c r="AI5" s="90">
        <v>1.01</v>
      </c>
      <c r="AJ5" s="90">
        <v>1.01</v>
      </c>
      <c r="AK5" s="90">
        <v>1.01</v>
      </c>
      <c r="AL5" s="90">
        <v>1.01</v>
      </c>
      <c r="AM5" s="117" t="s">
        <v>111</v>
      </c>
      <c r="AN5" s="117" t="s">
        <v>111</v>
      </c>
      <c r="AO5" s="117" t="s">
        <v>111</v>
      </c>
      <c r="AP5" s="117" t="s">
        <v>111</v>
      </c>
      <c r="AQ5" s="117" t="s">
        <v>111</v>
      </c>
      <c r="AR5" s="117" t="s">
        <v>111</v>
      </c>
      <c r="AS5" s="117" t="s">
        <v>111</v>
      </c>
      <c r="AT5" s="105">
        <v>0.75</v>
      </c>
      <c r="AU5" s="105">
        <v>0.75</v>
      </c>
      <c r="AV5" s="105">
        <v>0.75</v>
      </c>
      <c r="AW5" s="105">
        <v>0.75</v>
      </c>
      <c r="AX5" s="105">
        <v>0.75</v>
      </c>
      <c r="AY5" s="105">
        <v>0.75</v>
      </c>
      <c r="AZ5" s="105">
        <v>0.75</v>
      </c>
      <c r="BA5" s="105">
        <v>0.75</v>
      </c>
      <c r="BB5" s="105">
        <v>0.75</v>
      </c>
      <c r="BC5" s="105">
        <v>0.75</v>
      </c>
      <c r="BD5" s="105">
        <v>0.75</v>
      </c>
      <c r="BE5" s="105">
        <v>0.75</v>
      </c>
      <c r="BF5" s="105">
        <v>0.75</v>
      </c>
      <c r="BG5" s="105">
        <v>0.75</v>
      </c>
      <c r="BH5" s="105">
        <v>0.75</v>
      </c>
      <c r="BI5" s="105">
        <v>0.75</v>
      </c>
      <c r="BJ5" s="105" t="s">
        <v>111</v>
      </c>
      <c r="BK5" s="105" t="s">
        <v>111</v>
      </c>
      <c r="BL5" s="106">
        <v>0.75</v>
      </c>
      <c r="BM5" s="106">
        <v>0.75</v>
      </c>
      <c r="BN5" s="106">
        <v>0.75</v>
      </c>
      <c r="BO5" s="106">
        <v>0.75</v>
      </c>
      <c r="BP5" s="106">
        <v>0.75</v>
      </c>
      <c r="BQ5" s="106">
        <v>0.75</v>
      </c>
      <c r="BR5" s="106">
        <v>0.75</v>
      </c>
      <c r="BS5" s="106">
        <v>0.75</v>
      </c>
      <c r="BT5" s="106">
        <v>0.75</v>
      </c>
      <c r="BU5" s="106">
        <v>0.75</v>
      </c>
      <c r="BV5" s="106">
        <v>0.75</v>
      </c>
      <c r="BW5" s="106">
        <v>0.75</v>
      </c>
      <c r="BX5" s="106">
        <v>0.75</v>
      </c>
      <c r="BY5" s="106">
        <v>0.75</v>
      </c>
      <c r="BZ5" s="106">
        <v>0.75</v>
      </c>
      <c r="CA5" s="106">
        <v>0.75</v>
      </c>
      <c r="CB5" s="106">
        <v>0.75</v>
      </c>
      <c r="CC5" s="106">
        <v>0.75</v>
      </c>
      <c r="CD5" s="93">
        <v>0.5</v>
      </c>
      <c r="CE5" s="93">
        <v>0.5</v>
      </c>
      <c r="CF5" s="93">
        <v>0.5</v>
      </c>
      <c r="CG5" s="93">
        <v>0.5</v>
      </c>
      <c r="CH5" s="93">
        <v>0.5</v>
      </c>
      <c r="CI5" s="93">
        <v>0.5</v>
      </c>
      <c r="CJ5" s="93">
        <v>0.5</v>
      </c>
      <c r="CK5" s="93">
        <v>0.5</v>
      </c>
      <c r="CL5" s="93">
        <v>0.5</v>
      </c>
      <c r="CM5" s="93">
        <v>0.5</v>
      </c>
      <c r="CN5" s="93">
        <v>0.5</v>
      </c>
      <c r="CO5" s="93">
        <v>0.5</v>
      </c>
      <c r="CP5" s="93">
        <v>0.5</v>
      </c>
      <c r="CQ5" s="93">
        <v>0.5</v>
      </c>
      <c r="CR5" s="93">
        <v>0.5</v>
      </c>
      <c r="CS5" s="93">
        <v>0.5</v>
      </c>
      <c r="CT5" s="93">
        <v>0.5</v>
      </c>
      <c r="CU5" s="93">
        <v>0.5</v>
      </c>
      <c r="CV5" s="107" t="s">
        <v>111</v>
      </c>
      <c r="CW5" s="107" t="s">
        <v>111</v>
      </c>
      <c r="CX5" s="107" t="s">
        <v>111</v>
      </c>
      <c r="CY5" s="107" t="s">
        <v>111</v>
      </c>
      <c r="CZ5" s="107" t="s">
        <v>111</v>
      </c>
      <c r="DA5" s="107" t="s">
        <v>111</v>
      </c>
      <c r="DB5" s="107" t="s">
        <v>111</v>
      </c>
      <c r="DC5" s="107" t="s">
        <v>111</v>
      </c>
      <c r="DD5" s="107" t="s">
        <v>111</v>
      </c>
      <c r="DE5" s="107" t="s">
        <v>111</v>
      </c>
      <c r="DF5" s="107" t="s">
        <v>111</v>
      </c>
      <c r="DG5" s="107" t="s">
        <v>111</v>
      </c>
      <c r="DH5" s="107" t="s">
        <v>111</v>
      </c>
      <c r="DI5" s="107" t="s">
        <v>111</v>
      </c>
      <c r="DJ5" s="107" t="s">
        <v>111</v>
      </c>
      <c r="DK5" s="107" t="s">
        <v>111</v>
      </c>
      <c r="DL5" s="107" t="s">
        <v>111</v>
      </c>
      <c r="DM5" s="107" t="s">
        <v>111</v>
      </c>
    </row>
    <row r="6" spans="2:117" x14ac:dyDescent="0.3">
      <c r="B6" s="3" t="s">
        <v>833</v>
      </c>
      <c r="C6" s="105"/>
      <c r="D6" s="106"/>
      <c r="E6" s="93"/>
      <c r="F6" s="107">
        <v>0.1</v>
      </c>
      <c r="G6" s="72"/>
      <c r="H6" s="108"/>
      <c r="I6" s="59"/>
      <c r="J6" s="90"/>
      <c r="K6" s="92"/>
      <c r="L6" s="92"/>
      <c r="M6" s="91">
        <v>0.2</v>
      </c>
      <c r="N6" s="91">
        <v>0.2</v>
      </c>
      <c r="O6" s="91">
        <v>0.2</v>
      </c>
      <c r="P6" s="91">
        <v>0.2</v>
      </c>
      <c r="Q6" s="91">
        <v>0.2</v>
      </c>
      <c r="R6" s="91">
        <v>0.2</v>
      </c>
      <c r="S6" s="91">
        <v>0.2</v>
      </c>
      <c r="T6" s="91">
        <v>0.2</v>
      </c>
      <c r="U6" s="91">
        <v>0.2</v>
      </c>
      <c r="V6" s="91">
        <v>0.2</v>
      </c>
      <c r="W6" s="91">
        <v>0.2</v>
      </c>
      <c r="X6" s="91">
        <v>0.2</v>
      </c>
      <c r="Y6" s="91">
        <v>0.2</v>
      </c>
      <c r="Z6" s="91">
        <v>0.2</v>
      </c>
      <c r="AA6" s="91">
        <v>0.2</v>
      </c>
      <c r="AB6" s="91">
        <v>0.2</v>
      </c>
      <c r="AC6" s="91">
        <v>0.2</v>
      </c>
      <c r="AD6" s="91">
        <v>0.2</v>
      </c>
      <c r="AE6" s="91">
        <v>0.2</v>
      </c>
      <c r="AF6" s="90"/>
      <c r="AG6" s="90" t="s">
        <v>461</v>
      </c>
      <c r="AH6" s="90" t="s">
        <v>461</v>
      </c>
      <c r="AI6" s="90" t="s">
        <v>461</v>
      </c>
      <c r="AJ6" s="90" t="s">
        <v>461</v>
      </c>
      <c r="AK6" s="90" t="s">
        <v>461</v>
      </c>
      <c r="AL6" s="90"/>
      <c r="AM6" s="117"/>
      <c r="AN6" s="117"/>
      <c r="AO6" s="117"/>
      <c r="AP6" s="117"/>
      <c r="AQ6" s="117"/>
      <c r="AR6" s="117"/>
      <c r="AS6" s="117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107">
        <v>0.1</v>
      </c>
      <c r="CW6" s="107">
        <v>0.1</v>
      </c>
      <c r="CX6" s="107">
        <v>0.1</v>
      </c>
      <c r="CY6" s="107">
        <v>0.1</v>
      </c>
      <c r="CZ6" s="107">
        <v>0.1</v>
      </c>
      <c r="DA6" s="107">
        <v>0.1</v>
      </c>
      <c r="DB6" s="107">
        <v>0.1</v>
      </c>
      <c r="DC6" s="107">
        <v>0.1</v>
      </c>
      <c r="DD6" s="107">
        <v>0.1</v>
      </c>
      <c r="DE6" s="107">
        <v>0.1</v>
      </c>
      <c r="DF6" s="107">
        <v>0.1</v>
      </c>
      <c r="DG6" s="107">
        <v>0.1</v>
      </c>
      <c r="DH6" s="107">
        <v>0.1</v>
      </c>
      <c r="DI6" s="107">
        <v>0.1</v>
      </c>
      <c r="DJ6" s="107">
        <v>0.1</v>
      </c>
      <c r="DK6" s="107">
        <v>0.1</v>
      </c>
      <c r="DL6" s="107">
        <v>0.1</v>
      </c>
      <c r="DM6" s="107">
        <v>0.1</v>
      </c>
    </row>
    <row r="7" spans="2:117" x14ac:dyDescent="0.3">
      <c r="B7" s="3" t="s">
        <v>1347</v>
      </c>
      <c r="C7" s="105"/>
      <c r="D7" s="106"/>
      <c r="E7" s="93"/>
      <c r="F7" s="107" t="s">
        <v>111</v>
      </c>
      <c r="G7" s="72"/>
      <c r="H7" s="108"/>
      <c r="I7" s="59"/>
      <c r="J7" s="90"/>
      <c r="K7" s="92"/>
      <c r="L7" s="92">
        <v>0.01</v>
      </c>
      <c r="M7" s="91" t="s">
        <v>111</v>
      </c>
      <c r="N7" s="91" t="s">
        <v>111</v>
      </c>
      <c r="O7" s="91" t="s">
        <v>111</v>
      </c>
      <c r="P7" s="91" t="s">
        <v>111</v>
      </c>
      <c r="Q7" s="91" t="s">
        <v>111</v>
      </c>
      <c r="R7" s="91" t="s">
        <v>111</v>
      </c>
      <c r="S7" s="91" t="s">
        <v>111</v>
      </c>
      <c r="T7" s="91" t="s">
        <v>111</v>
      </c>
      <c r="U7" s="91" t="s">
        <v>111</v>
      </c>
      <c r="V7" s="91" t="s">
        <v>111</v>
      </c>
      <c r="W7" s="91" t="s">
        <v>111</v>
      </c>
      <c r="X7" s="91" t="s">
        <v>111</v>
      </c>
      <c r="Y7" s="91" t="s">
        <v>111</v>
      </c>
      <c r="Z7" s="91" t="s">
        <v>111</v>
      </c>
      <c r="AA7" s="91" t="s">
        <v>111</v>
      </c>
      <c r="AB7" s="91" t="s">
        <v>111</v>
      </c>
      <c r="AC7" s="91" t="s">
        <v>111</v>
      </c>
      <c r="AD7" s="91" t="s">
        <v>111</v>
      </c>
      <c r="AE7" s="91" t="s">
        <v>111</v>
      </c>
      <c r="AF7" s="90"/>
      <c r="AG7" s="90"/>
      <c r="AH7" s="90"/>
      <c r="AI7" s="90"/>
      <c r="AJ7" s="90"/>
      <c r="AK7" s="90"/>
      <c r="AL7" s="90"/>
      <c r="AM7" s="117"/>
      <c r="AN7" s="117"/>
      <c r="AO7" s="117"/>
      <c r="AP7" s="117"/>
      <c r="AQ7" s="117"/>
      <c r="AR7" s="117"/>
      <c r="AS7" s="117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107" t="s">
        <v>111</v>
      </c>
      <c r="CW7" s="107" t="s">
        <v>111</v>
      </c>
      <c r="CX7" s="107" t="s">
        <v>111</v>
      </c>
      <c r="CY7" s="107" t="s">
        <v>111</v>
      </c>
      <c r="CZ7" s="107" t="s">
        <v>111</v>
      </c>
      <c r="DA7" s="107" t="s">
        <v>111</v>
      </c>
      <c r="DB7" s="107" t="s">
        <v>111</v>
      </c>
      <c r="DC7" s="107" t="s">
        <v>111</v>
      </c>
      <c r="DD7" s="107" t="s">
        <v>111</v>
      </c>
      <c r="DE7" s="107" t="s">
        <v>111</v>
      </c>
      <c r="DF7" s="107" t="s">
        <v>111</v>
      </c>
      <c r="DG7" s="107" t="s">
        <v>111</v>
      </c>
      <c r="DH7" s="107" t="s">
        <v>111</v>
      </c>
      <c r="DI7" s="107" t="s">
        <v>111</v>
      </c>
      <c r="DJ7" s="107" t="s">
        <v>111</v>
      </c>
      <c r="DK7" s="107" t="s">
        <v>111</v>
      </c>
      <c r="DL7" s="107" t="s">
        <v>111</v>
      </c>
      <c r="DM7" s="107" t="s">
        <v>111</v>
      </c>
    </row>
    <row r="8" spans="2:117" x14ac:dyDescent="0.3">
      <c r="C8" s="105"/>
      <c r="D8" s="106"/>
      <c r="E8" s="93"/>
      <c r="F8" s="107"/>
      <c r="G8" s="72"/>
      <c r="H8" s="108"/>
      <c r="I8" s="59"/>
      <c r="J8" s="90"/>
      <c r="K8" s="92"/>
      <c r="L8" s="92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0"/>
      <c r="AG8" s="90"/>
      <c r="AH8" s="90"/>
      <c r="AI8" s="90"/>
      <c r="AJ8" s="90"/>
      <c r="AK8" s="90"/>
      <c r="AL8" s="90"/>
      <c r="AM8" s="117"/>
      <c r="AN8" s="117"/>
      <c r="AO8" s="117"/>
      <c r="AP8" s="117"/>
      <c r="AQ8" s="117"/>
      <c r="AR8" s="117"/>
      <c r="AS8" s="117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</row>
    <row r="9" spans="2:117" x14ac:dyDescent="0.3">
      <c r="C9" s="105" t="s">
        <v>826</v>
      </c>
      <c r="D9" s="106" t="s">
        <v>841</v>
      </c>
      <c r="E9" s="93" t="s">
        <v>827</v>
      </c>
      <c r="F9" s="107" t="s">
        <v>839</v>
      </c>
      <c r="G9" s="72" t="s">
        <v>828</v>
      </c>
      <c r="H9" s="108" t="s">
        <v>840</v>
      </c>
      <c r="I9" s="59" t="s">
        <v>829</v>
      </c>
      <c r="J9" s="90" t="s">
        <v>830</v>
      </c>
      <c r="K9" s="92" t="s">
        <v>838</v>
      </c>
      <c r="L9" s="92" t="s">
        <v>1125</v>
      </c>
      <c r="M9" s="91" t="s">
        <v>657</v>
      </c>
      <c r="N9" s="91" t="s">
        <v>659</v>
      </c>
      <c r="O9" s="91" t="s">
        <v>660</v>
      </c>
      <c r="P9" s="91" t="s">
        <v>661</v>
      </c>
      <c r="Q9" s="91" t="s">
        <v>658</v>
      </c>
      <c r="R9" s="91" t="s">
        <v>1253</v>
      </c>
      <c r="S9" s="91" t="s">
        <v>1254</v>
      </c>
      <c r="T9" s="91" t="s">
        <v>1255</v>
      </c>
      <c r="U9" s="91" t="s">
        <v>1256</v>
      </c>
      <c r="V9" s="91" t="s">
        <v>1271</v>
      </c>
      <c r="W9" s="91" t="s">
        <v>1262</v>
      </c>
      <c r="X9" s="91" t="s">
        <v>1263</v>
      </c>
      <c r="Y9" s="91" t="s">
        <v>1264</v>
      </c>
      <c r="Z9" s="91" t="s">
        <v>1265</v>
      </c>
      <c r="AA9" s="91" t="s">
        <v>1306</v>
      </c>
      <c r="AB9" s="91" t="s">
        <v>1078</v>
      </c>
      <c r="AC9" s="91" t="s">
        <v>1079</v>
      </c>
      <c r="AD9" s="91" t="s">
        <v>1080</v>
      </c>
      <c r="AE9" s="91" t="s">
        <v>1081</v>
      </c>
      <c r="AF9" s="90" t="s">
        <v>1382</v>
      </c>
      <c r="AG9" s="90" t="s">
        <v>1383</v>
      </c>
      <c r="AH9" s="90" t="s">
        <v>1384</v>
      </c>
      <c r="AI9" s="90" t="s">
        <v>1385</v>
      </c>
      <c r="AJ9" s="90" t="s">
        <v>1386</v>
      </c>
      <c r="AK9" s="90" t="s">
        <v>1387</v>
      </c>
      <c r="AL9" s="90" t="s">
        <v>1388</v>
      </c>
      <c r="AM9" s="117" t="s">
        <v>1389</v>
      </c>
      <c r="AN9" s="117" t="s">
        <v>1390</v>
      </c>
      <c r="AO9" s="117" t="s">
        <v>1391</v>
      </c>
      <c r="AP9" s="117" t="s">
        <v>1392</v>
      </c>
      <c r="AQ9" s="117" t="s">
        <v>1393</v>
      </c>
      <c r="AR9" s="117" t="s">
        <v>1394</v>
      </c>
      <c r="AS9" s="117" t="s">
        <v>1395</v>
      </c>
      <c r="AT9" s="109" t="s">
        <v>983</v>
      </c>
      <c r="AU9" s="109" t="s">
        <v>984</v>
      </c>
      <c r="AV9" s="109" t="s">
        <v>985</v>
      </c>
      <c r="AW9" s="109" t="s">
        <v>986</v>
      </c>
      <c r="AX9" s="109" t="s">
        <v>987</v>
      </c>
      <c r="AY9" s="109" t="s">
        <v>988</v>
      </c>
      <c r="AZ9" s="109" t="s">
        <v>989</v>
      </c>
      <c r="BA9" s="109" t="s">
        <v>990</v>
      </c>
      <c r="BB9" s="109" t="s">
        <v>991</v>
      </c>
      <c r="BC9" s="109" t="s">
        <v>992</v>
      </c>
      <c r="BD9" s="109" t="s">
        <v>993</v>
      </c>
      <c r="BE9" s="109" t="s">
        <v>994</v>
      </c>
      <c r="BF9" s="109" t="s">
        <v>995</v>
      </c>
      <c r="BG9" s="109" t="s">
        <v>996</v>
      </c>
      <c r="BH9" s="109" t="s">
        <v>997</v>
      </c>
      <c r="BI9" s="109" t="s">
        <v>998</v>
      </c>
      <c r="BJ9" s="109" t="s">
        <v>999</v>
      </c>
      <c r="BK9" s="109" t="s">
        <v>1000</v>
      </c>
      <c r="BL9" s="106" t="s">
        <v>1019</v>
      </c>
      <c r="BM9" s="106" t="s">
        <v>1020</v>
      </c>
      <c r="BN9" s="106" t="s">
        <v>1021</v>
      </c>
      <c r="BO9" s="106" t="s">
        <v>1022</v>
      </c>
      <c r="BP9" s="106" t="s">
        <v>1023</v>
      </c>
      <c r="BQ9" s="106" t="s">
        <v>1024</v>
      </c>
      <c r="BR9" s="106" t="s">
        <v>1025</v>
      </c>
      <c r="BS9" s="106" t="s">
        <v>1026</v>
      </c>
      <c r="BT9" s="106" t="s">
        <v>1027</v>
      </c>
      <c r="BU9" s="106" t="s">
        <v>1028</v>
      </c>
      <c r="BV9" s="106" t="s">
        <v>1029</v>
      </c>
      <c r="BW9" s="106" t="s">
        <v>1030</v>
      </c>
      <c r="BX9" s="106" t="s">
        <v>1031</v>
      </c>
      <c r="BY9" s="106" t="s">
        <v>1032</v>
      </c>
      <c r="BZ9" s="106" t="s">
        <v>1033</v>
      </c>
      <c r="CA9" s="106" t="s">
        <v>1034</v>
      </c>
      <c r="CB9" s="106" t="s">
        <v>1035</v>
      </c>
      <c r="CC9" s="106" t="s">
        <v>1036</v>
      </c>
      <c r="CD9" s="93" t="s">
        <v>1001</v>
      </c>
      <c r="CE9" s="93" t="s">
        <v>1002</v>
      </c>
      <c r="CF9" s="93" t="s">
        <v>1003</v>
      </c>
      <c r="CG9" s="93" t="s">
        <v>1004</v>
      </c>
      <c r="CH9" s="93" t="s">
        <v>1005</v>
      </c>
      <c r="CI9" s="93" t="s">
        <v>1006</v>
      </c>
      <c r="CJ9" s="93" t="s">
        <v>1007</v>
      </c>
      <c r="CK9" s="93" t="s">
        <v>1008</v>
      </c>
      <c r="CL9" s="93" t="s">
        <v>1009</v>
      </c>
      <c r="CM9" s="93" t="s">
        <v>1010</v>
      </c>
      <c r="CN9" s="93" t="s">
        <v>1011</v>
      </c>
      <c r="CO9" s="93" t="s">
        <v>1012</v>
      </c>
      <c r="CP9" s="93" t="s">
        <v>1013</v>
      </c>
      <c r="CQ9" s="93" t="s">
        <v>1014</v>
      </c>
      <c r="CR9" s="93" t="s">
        <v>1015</v>
      </c>
      <c r="CS9" s="93" t="s">
        <v>1016</v>
      </c>
      <c r="CT9" s="93" t="s">
        <v>1017</v>
      </c>
      <c r="CU9" s="93" t="s">
        <v>1018</v>
      </c>
      <c r="CV9" s="110" t="s">
        <v>929</v>
      </c>
      <c r="CW9" s="110" t="s">
        <v>930</v>
      </c>
      <c r="CX9" s="110" t="s">
        <v>931</v>
      </c>
      <c r="CY9" s="110" t="s">
        <v>932</v>
      </c>
      <c r="CZ9" s="110" t="s">
        <v>933</v>
      </c>
      <c r="DA9" s="110" t="s">
        <v>934</v>
      </c>
      <c r="DB9" s="110" t="s">
        <v>935</v>
      </c>
      <c r="DC9" s="110" t="s">
        <v>936</v>
      </c>
      <c r="DD9" s="110" t="s">
        <v>937</v>
      </c>
      <c r="DE9" s="110" t="s">
        <v>938</v>
      </c>
      <c r="DF9" s="110" t="s">
        <v>939</v>
      </c>
      <c r="DG9" s="110" t="s">
        <v>940</v>
      </c>
      <c r="DH9" s="110" t="s">
        <v>941</v>
      </c>
      <c r="DI9" s="110" t="s">
        <v>942</v>
      </c>
      <c r="DJ9" s="110" t="s">
        <v>943</v>
      </c>
      <c r="DK9" s="110" t="s">
        <v>944</v>
      </c>
      <c r="DL9" s="110" t="s">
        <v>945</v>
      </c>
      <c r="DM9" s="110" t="s">
        <v>946</v>
      </c>
    </row>
    <row r="10" spans="2:117" x14ac:dyDescent="0.3">
      <c r="B10" s="117" t="s">
        <v>1375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>
        <v>1</v>
      </c>
      <c r="AN10" s="117">
        <v>1</v>
      </c>
      <c r="AO10" s="117">
        <v>1</v>
      </c>
      <c r="AP10" s="117">
        <v>1</v>
      </c>
      <c r="AQ10" s="117">
        <v>1</v>
      </c>
      <c r="AR10" s="117">
        <v>1</v>
      </c>
      <c r="AS10" s="117">
        <v>1</v>
      </c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</row>
    <row r="11" spans="2:117" x14ac:dyDescent="0.3">
      <c r="B11" s="105" t="s">
        <v>586</v>
      </c>
      <c r="C11" s="105">
        <v>1</v>
      </c>
      <c r="D11" s="106"/>
      <c r="E11" s="93"/>
      <c r="F11" s="107"/>
      <c r="G11" s="72">
        <v>1</v>
      </c>
      <c r="H11" s="108"/>
      <c r="I11" s="59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>
        <v>1</v>
      </c>
      <c r="AU11" s="105">
        <v>1</v>
      </c>
      <c r="AV11" s="105">
        <v>1</v>
      </c>
      <c r="AW11" s="105">
        <v>1</v>
      </c>
      <c r="AX11" s="105">
        <v>1</v>
      </c>
      <c r="AY11" s="105">
        <v>1</v>
      </c>
      <c r="AZ11" s="105">
        <v>1</v>
      </c>
      <c r="BA11" s="105">
        <v>1</v>
      </c>
      <c r="BB11" s="105">
        <v>1</v>
      </c>
      <c r="BC11" s="105">
        <v>1</v>
      </c>
      <c r="BD11" s="105">
        <v>1</v>
      </c>
      <c r="BE11" s="105">
        <v>1</v>
      </c>
      <c r="BF11" s="105">
        <v>1</v>
      </c>
      <c r="BG11" s="105">
        <v>1</v>
      </c>
      <c r="BH11" s="105">
        <v>1</v>
      </c>
      <c r="BI11" s="105">
        <v>1</v>
      </c>
      <c r="BJ11" s="105">
        <v>1</v>
      </c>
      <c r="BK11" s="105">
        <v>1</v>
      </c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</row>
    <row r="12" spans="2:117" x14ac:dyDescent="0.3">
      <c r="B12" s="105" t="s">
        <v>587</v>
      </c>
      <c r="C12" s="105">
        <v>1</v>
      </c>
      <c r="D12" s="106"/>
      <c r="E12" s="93"/>
      <c r="F12" s="107"/>
      <c r="G12" s="72">
        <v>1</v>
      </c>
      <c r="H12" s="108"/>
      <c r="I12" s="59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>
        <v>1</v>
      </c>
      <c r="AU12" s="105">
        <v>1</v>
      </c>
      <c r="AV12" s="105">
        <v>1</v>
      </c>
      <c r="AW12" s="105">
        <v>1</v>
      </c>
      <c r="AX12" s="105">
        <v>1</v>
      </c>
      <c r="AY12" s="105">
        <v>1</v>
      </c>
      <c r="AZ12" s="105">
        <v>1</v>
      </c>
      <c r="BA12" s="105">
        <v>1</v>
      </c>
      <c r="BB12" s="105">
        <v>1</v>
      </c>
      <c r="BC12" s="105">
        <v>1</v>
      </c>
      <c r="BD12" s="105">
        <v>1</v>
      </c>
      <c r="BE12" s="105">
        <v>1</v>
      </c>
      <c r="BF12" s="105">
        <v>1</v>
      </c>
      <c r="BG12" s="105">
        <v>1</v>
      </c>
      <c r="BH12" s="105">
        <v>1</v>
      </c>
      <c r="BI12" s="105">
        <v>1</v>
      </c>
      <c r="BJ12" s="105">
        <v>1</v>
      </c>
      <c r="BK12" s="105">
        <v>1</v>
      </c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</row>
    <row r="13" spans="2:117" x14ac:dyDescent="0.3">
      <c r="B13" s="105" t="s">
        <v>588</v>
      </c>
      <c r="C13" s="105">
        <v>1</v>
      </c>
      <c r="D13" s="106"/>
      <c r="E13" s="93"/>
      <c r="F13" s="107"/>
      <c r="G13" s="72">
        <v>1</v>
      </c>
      <c r="H13" s="108"/>
      <c r="I13" s="59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>
        <v>1</v>
      </c>
      <c r="AU13" s="105">
        <v>1</v>
      </c>
      <c r="AV13" s="105">
        <v>1</v>
      </c>
      <c r="AW13" s="105">
        <v>1</v>
      </c>
      <c r="AX13" s="105">
        <v>1</v>
      </c>
      <c r="AY13" s="105">
        <v>1</v>
      </c>
      <c r="AZ13" s="105">
        <v>1</v>
      </c>
      <c r="BA13" s="105">
        <v>1</v>
      </c>
      <c r="BB13" s="105">
        <v>1</v>
      </c>
      <c r="BC13" s="105">
        <v>1</v>
      </c>
      <c r="BD13" s="105">
        <v>1</v>
      </c>
      <c r="BE13" s="105">
        <v>1</v>
      </c>
      <c r="BF13" s="105">
        <v>1</v>
      </c>
      <c r="BG13" s="105">
        <v>1</v>
      </c>
      <c r="BH13" s="105">
        <v>1</v>
      </c>
      <c r="BI13" s="105">
        <v>1</v>
      </c>
      <c r="BJ13" s="105">
        <v>1</v>
      </c>
      <c r="BK13" s="105">
        <v>1</v>
      </c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107"/>
      <c r="CW13" s="107"/>
      <c r="CX13" s="107"/>
      <c r="CY13" s="107"/>
      <c r="CZ13" s="107"/>
      <c r="DA13" s="107"/>
      <c r="DB13" s="107"/>
      <c r="DC13" s="107"/>
      <c r="DD13" s="107"/>
      <c r="DE13" s="107"/>
      <c r="DF13" s="107"/>
      <c r="DG13" s="107"/>
      <c r="DH13" s="107"/>
      <c r="DI13" s="107"/>
      <c r="DJ13" s="107"/>
      <c r="DK13" s="107"/>
      <c r="DL13" s="107"/>
      <c r="DM13" s="107"/>
    </row>
    <row r="14" spans="2:117" x14ac:dyDescent="0.3">
      <c r="B14" s="105" t="s">
        <v>589</v>
      </c>
      <c r="C14" s="105">
        <v>1</v>
      </c>
      <c r="D14" s="106"/>
      <c r="E14" s="93"/>
      <c r="F14" s="107"/>
      <c r="G14" s="72">
        <v>1</v>
      </c>
      <c r="H14" s="108"/>
      <c r="I14" s="59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>
        <v>1</v>
      </c>
      <c r="AU14" s="105">
        <v>1</v>
      </c>
      <c r="AV14" s="105">
        <v>1</v>
      </c>
      <c r="AW14" s="105">
        <v>1</v>
      </c>
      <c r="AX14" s="105">
        <v>1</v>
      </c>
      <c r="AY14" s="105">
        <v>1</v>
      </c>
      <c r="AZ14" s="105">
        <v>1</v>
      </c>
      <c r="BA14" s="105">
        <v>1</v>
      </c>
      <c r="BB14" s="105">
        <v>1</v>
      </c>
      <c r="BC14" s="105">
        <v>1</v>
      </c>
      <c r="BD14" s="105">
        <v>1</v>
      </c>
      <c r="BE14" s="105">
        <v>1</v>
      </c>
      <c r="BF14" s="105">
        <v>1</v>
      </c>
      <c r="BG14" s="105">
        <v>1</v>
      </c>
      <c r="BH14" s="105">
        <v>1</v>
      </c>
      <c r="BI14" s="105">
        <v>1</v>
      </c>
      <c r="BJ14" s="105">
        <v>1</v>
      </c>
      <c r="BK14" s="105">
        <v>1</v>
      </c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107"/>
      <c r="CW14" s="107"/>
      <c r="CX14" s="107"/>
      <c r="CY14" s="107"/>
      <c r="CZ14" s="107"/>
      <c r="DA14" s="107"/>
      <c r="DB14" s="107"/>
      <c r="DC14" s="107"/>
      <c r="DD14" s="107"/>
      <c r="DE14" s="107"/>
      <c r="DF14" s="107"/>
      <c r="DG14" s="107"/>
      <c r="DH14" s="107"/>
      <c r="DI14" s="107"/>
      <c r="DJ14" s="107"/>
      <c r="DK14" s="107"/>
      <c r="DL14" s="107"/>
      <c r="DM14" s="107"/>
    </row>
    <row r="15" spans="2:117" x14ac:dyDescent="0.3">
      <c r="B15" s="105" t="s">
        <v>590</v>
      </c>
      <c r="C15" s="105">
        <v>1</v>
      </c>
      <c r="D15" s="106"/>
      <c r="E15" s="93"/>
      <c r="F15" s="107"/>
      <c r="G15" s="72">
        <v>1</v>
      </c>
      <c r="H15" s="108"/>
      <c r="I15" s="59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>
        <v>1</v>
      </c>
      <c r="AU15" s="105">
        <v>1</v>
      </c>
      <c r="AV15" s="105">
        <v>1</v>
      </c>
      <c r="AW15" s="105">
        <v>1</v>
      </c>
      <c r="AX15" s="105">
        <v>1</v>
      </c>
      <c r="AY15" s="105">
        <v>1</v>
      </c>
      <c r="AZ15" s="105">
        <v>1</v>
      </c>
      <c r="BA15" s="105">
        <v>1</v>
      </c>
      <c r="BB15" s="105">
        <v>1</v>
      </c>
      <c r="BC15" s="105">
        <v>1</v>
      </c>
      <c r="BD15" s="105">
        <v>1</v>
      </c>
      <c r="BE15" s="105">
        <v>1</v>
      </c>
      <c r="BF15" s="105">
        <v>1</v>
      </c>
      <c r="BG15" s="105">
        <v>1</v>
      </c>
      <c r="BH15" s="105">
        <v>1</v>
      </c>
      <c r="BI15" s="105">
        <v>1</v>
      </c>
      <c r="BJ15" s="105">
        <v>1</v>
      </c>
      <c r="BK15" s="105">
        <v>1</v>
      </c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/>
      <c r="DG15" s="107"/>
      <c r="DH15" s="107"/>
      <c r="DI15" s="107"/>
      <c r="DJ15" s="107"/>
      <c r="DK15" s="107"/>
      <c r="DL15" s="107"/>
      <c r="DM15" s="107"/>
    </row>
    <row r="16" spans="2:117" x14ac:dyDescent="0.3">
      <c r="B16" s="105" t="s">
        <v>591</v>
      </c>
      <c r="C16" s="105">
        <v>1</v>
      </c>
      <c r="D16" s="106"/>
      <c r="E16" s="93"/>
      <c r="F16" s="107"/>
      <c r="G16" s="72">
        <v>1</v>
      </c>
      <c r="H16" s="108"/>
      <c r="I16" s="59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>
        <v>1</v>
      </c>
      <c r="AU16" s="105">
        <v>1</v>
      </c>
      <c r="AV16" s="105">
        <v>1</v>
      </c>
      <c r="AW16" s="105">
        <v>1</v>
      </c>
      <c r="AX16" s="105">
        <v>1</v>
      </c>
      <c r="AY16" s="105">
        <v>1</v>
      </c>
      <c r="AZ16" s="105">
        <v>1</v>
      </c>
      <c r="BA16" s="105">
        <v>1</v>
      </c>
      <c r="BB16" s="105">
        <v>1</v>
      </c>
      <c r="BC16" s="105">
        <v>1</v>
      </c>
      <c r="BD16" s="105">
        <v>1</v>
      </c>
      <c r="BE16" s="105">
        <v>1</v>
      </c>
      <c r="BF16" s="105">
        <v>1</v>
      </c>
      <c r="BG16" s="105">
        <v>1</v>
      </c>
      <c r="BH16" s="105">
        <v>1</v>
      </c>
      <c r="BI16" s="105">
        <v>1</v>
      </c>
      <c r="BJ16" s="105">
        <v>1</v>
      </c>
      <c r="BK16" s="105">
        <v>1</v>
      </c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</row>
    <row r="17" spans="2:117" x14ac:dyDescent="0.3">
      <c r="B17" s="105" t="s">
        <v>592</v>
      </c>
      <c r="C17" s="105">
        <v>1</v>
      </c>
      <c r="D17" s="106"/>
      <c r="E17" s="93"/>
      <c r="F17" s="107"/>
      <c r="G17" s="72">
        <v>1</v>
      </c>
      <c r="H17" s="108"/>
      <c r="I17" s="59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>
        <v>1</v>
      </c>
      <c r="AU17" s="105">
        <v>1</v>
      </c>
      <c r="AV17" s="105">
        <v>1</v>
      </c>
      <c r="AW17" s="105">
        <v>1</v>
      </c>
      <c r="AX17" s="105">
        <v>1</v>
      </c>
      <c r="AY17" s="105">
        <v>1</v>
      </c>
      <c r="AZ17" s="105">
        <v>1</v>
      </c>
      <c r="BA17" s="105">
        <v>1</v>
      </c>
      <c r="BB17" s="105">
        <v>1</v>
      </c>
      <c r="BC17" s="105">
        <v>1</v>
      </c>
      <c r="BD17" s="105">
        <v>1</v>
      </c>
      <c r="BE17" s="105">
        <v>1</v>
      </c>
      <c r="BF17" s="105">
        <v>1</v>
      </c>
      <c r="BG17" s="105">
        <v>1</v>
      </c>
      <c r="BH17" s="105">
        <v>1</v>
      </c>
      <c r="BI17" s="105">
        <v>1</v>
      </c>
      <c r="BJ17" s="105">
        <v>1</v>
      </c>
      <c r="BK17" s="105">
        <v>1</v>
      </c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</row>
    <row r="18" spans="2:117" x14ac:dyDescent="0.3">
      <c r="B18" s="105" t="s">
        <v>593</v>
      </c>
      <c r="C18" s="105">
        <v>1</v>
      </c>
      <c r="D18" s="106"/>
      <c r="E18" s="93"/>
      <c r="F18" s="107"/>
      <c r="G18" s="72">
        <v>1</v>
      </c>
      <c r="H18" s="108"/>
      <c r="I18" s="59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>
        <v>1</v>
      </c>
      <c r="AU18" s="105">
        <v>1</v>
      </c>
      <c r="AV18" s="105">
        <v>1</v>
      </c>
      <c r="AW18" s="105">
        <v>1</v>
      </c>
      <c r="AX18" s="105">
        <v>1</v>
      </c>
      <c r="AY18" s="105">
        <v>1</v>
      </c>
      <c r="AZ18" s="105">
        <v>1</v>
      </c>
      <c r="BA18" s="105">
        <v>1</v>
      </c>
      <c r="BB18" s="105">
        <v>1</v>
      </c>
      <c r="BC18" s="105">
        <v>1</v>
      </c>
      <c r="BD18" s="105">
        <v>1</v>
      </c>
      <c r="BE18" s="105">
        <v>1</v>
      </c>
      <c r="BF18" s="105">
        <v>1</v>
      </c>
      <c r="BG18" s="105">
        <v>1</v>
      </c>
      <c r="BH18" s="105">
        <v>1</v>
      </c>
      <c r="BI18" s="105">
        <v>1</v>
      </c>
      <c r="BJ18" s="105">
        <v>1</v>
      </c>
      <c r="BK18" s="105">
        <v>1</v>
      </c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107"/>
      <c r="CW18" s="107"/>
      <c r="CX18" s="107"/>
      <c r="CY18" s="107"/>
      <c r="CZ18" s="107"/>
      <c r="DA18" s="107"/>
      <c r="DB18" s="107"/>
      <c r="DC18" s="107"/>
      <c r="DD18" s="107"/>
      <c r="DE18" s="107"/>
      <c r="DF18" s="107"/>
      <c r="DG18" s="107"/>
      <c r="DH18" s="107"/>
      <c r="DI18" s="107"/>
      <c r="DJ18" s="107"/>
      <c r="DK18" s="107"/>
      <c r="DL18" s="107"/>
      <c r="DM18" s="107"/>
    </row>
    <row r="19" spans="2:117" x14ac:dyDescent="0.3">
      <c r="B19" s="106" t="s">
        <v>594</v>
      </c>
      <c r="C19" s="106"/>
      <c r="D19" s="106">
        <v>1</v>
      </c>
      <c r="E19" s="93"/>
      <c r="F19" s="107"/>
      <c r="G19" s="72">
        <v>1</v>
      </c>
      <c r="H19" s="108"/>
      <c r="I19" s="59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>
        <v>1</v>
      </c>
      <c r="BM19" s="106">
        <v>1</v>
      </c>
      <c r="BN19" s="106">
        <v>1</v>
      </c>
      <c r="BO19" s="106">
        <v>1</v>
      </c>
      <c r="BP19" s="106">
        <v>1</v>
      </c>
      <c r="BQ19" s="106">
        <v>1</v>
      </c>
      <c r="BR19" s="106">
        <v>1</v>
      </c>
      <c r="BS19" s="106">
        <v>1</v>
      </c>
      <c r="BT19" s="106">
        <v>1</v>
      </c>
      <c r="BU19" s="106">
        <v>1</v>
      </c>
      <c r="BV19" s="106">
        <v>1</v>
      </c>
      <c r="BW19" s="106">
        <v>1</v>
      </c>
      <c r="BX19" s="106">
        <v>1</v>
      </c>
      <c r="BY19" s="106">
        <v>1</v>
      </c>
      <c r="BZ19" s="106">
        <v>1</v>
      </c>
      <c r="CA19" s="106">
        <v>1</v>
      </c>
      <c r="CB19" s="106">
        <v>1</v>
      </c>
      <c r="CC19" s="106">
        <v>1</v>
      </c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107"/>
      <c r="CW19" s="107"/>
      <c r="CX19" s="107"/>
      <c r="CY19" s="107"/>
      <c r="CZ19" s="107"/>
      <c r="DA19" s="107"/>
      <c r="DB19" s="107"/>
      <c r="DC19" s="107"/>
      <c r="DD19" s="107"/>
      <c r="DE19" s="107"/>
      <c r="DF19" s="107"/>
      <c r="DG19" s="107"/>
      <c r="DH19" s="107"/>
      <c r="DI19" s="107"/>
      <c r="DJ19" s="107"/>
      <c r="DK19" s="107"/>
      <c r="DL19" s="107"/>
      <c r="DM19" s="107"/>
    </row>
    <row r="20" spans="2:117" x14ac:dyDescent="0.3">
      <c r="B20" s="106" t="s">
        <v>595</v>
      </c>
      <c r="C20" s="106"/>
      <c r="D20" s="106">
        <v>1</v>
      </c>
      <c r="E20" s="93"/>
      <c r="F20" s="107"/>
      <c r="G20" s="72">
        <v>1</v>
      </c>
      <c r="H20" s="108"/>
      <c r="I20" s="59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>
        <v>1</v>
      </c>
      <c r="BM20" s="106">
        <v>1</v>
      </c>
      <c r="BN20" s="106">
        <v>1</v>
      </c>
      <c r="BO20" s="106">
        <v>1</v>
      </c>
      <c r="BP20" s="106">
        <v>1</v>
      </c>
      <c r="BQ20" s="106">
        <v>1</v>
      </c>
      <c r="BR20" s="106">
        <v>1</v>
      </c>
      <c r="BS20" s="106">
        <v>1</v>
      </c>
      <c r="BT20" s="106">
        <v>1</v>
      </c>
      <c r="BU20" s="106">
        <v>1</v>
      </c>
      <c r="BV20" s="106">
        <v>1</v>
      </c>
      <c r="BW20" s="106">
        <v>1</v>
      </c>
      <c r="BX20" s="106">
        <v>1</v>
      </c>
      <c r="BY20" s="106">
        <v>1</v>
      </c>
      <c r="BZ20" s="106">
        <v>1</v>
      </c>
      <c r="CA20" s="106">
        <v>1</v>
      </c>
      <c r="CB20" s="106">
        <v>1</v>
      </c>
      <c r="CC20" s="106">
        <v>1</v>
      </c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107"/>
      <c r="CW20" s="107"/>
      <c r="CX20" s="107"/>
      <c r="CY20" s="107"/>
      <c r="CZ20" s="107"/>
      <c r="DA20" s="107"/>
      <c r="DB20" s="107"/>
      <c r="DC20" s="107"/>
      <c r="DD20" s="107"/>
      <c r="DE20" s="107"/>
      <c r="DF20" s="107"/>
      <c r="DG20" s="107"/>
      <c r="DH20" s="107"/>
      <c r="DI20" s="107"/>
      <c r="DJ20" s="107"/>
      <c r="DK20" s="107"/>
      <c r="DL20" s="107"/>
      <c r="DM20" s="107"/>
    </row>
    <row r="21" spans="2:117" x14ac:dyDescent="0.3">
      <c r="B21" s="106" t="s">
        <v>596</v>
      </c>
      <c r="C21" s="106"/>
      <c r="D21" s="106">
        <v>1</v>
      </c>
      <c r="E21" s="93"/>
      <c r="F21" s="107"/>
      <c r="G21" s="72">
        <v>1</v>
      </c>
      <c r="H21" s="108"/>
      <c r="I21" s="59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>
        <v>1</v>
      </c>
      <c r="BM21" s="106">
        <v>1</v>
      </c>
      <c r="BN21" s="106">
        <v>1</v>
      </c>
      <c r="BO21" s="106">
        <v>1</v>
      </c>
      <c r="BP21" s="106">
        <v>1</v>
      </c>
      <c r="BQ21" s="106">
        <v>1</v>
      </c>
      <c r="BR21" s="106">
        <v>1</v>
      </c>
      <c r="BS21" s="106">
        <v>1</v>
      </c>
      <c r="BT21" s="106">
        <v>1</v>
      </c>
      <c r="BU21" s="106">
        <v>1</v>
      </c>
      <c r="BV21" s="106">
        <v>1</v>
      </c>
      <c r="BW21" s="106">
        <v>1</v>
      </c>
      <c r="BX21" s="106">
        <v>1</v>
      </c>
      <c r="BY21" s="106">
        <v>1</v>
      </c>
      <c r="BZ21" s="106">
        <v>1</v>
      </c>
      <c r="CA21" s="106">
        <v>1</v>
      </c>
      <c r="CB21" s="106">
        <v>1</v>
      </c>
      <c r="CC21" s="106">
        <v>1</v>
      </c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107"/>
      <c r="CW21" s="107"/>
      <c r="CX21" s="107"/>
      <c r="CY21" s="107"/>
      <c r="CZ21" s="107"/>
      <c r="DA21" s="107"/>
      <c r="DB21" s="107"/>
      <c r="DC21" s="107"/>
      <c r="DD21" s="107"/>
      <c r="DE21" s="107"/>
      <c r="DF21" s="107"/>
      <c r="DG21" s="107"/>
      <c r="DH21" s="107"/>
      <c r="DI21" s="107"/>
      <c r="DJ21" s="107"/>
      <c r="DK21" s="107"/>
      <c r="DL21" s="107"/>
      <c r="DM21" s="107"/>
    </row>
    <row r="22" spans="2:117" x14ac:dyDescent="0.3">
      <c r="B22" s="106" t="s">
        <v>1094</v>
      </c>
      <c r="C22" s="106"/>
      <c r="D22" s="106">
        <v>1</v>
      </c>
      <c r="E22" s="93"/>
      <c r="F22" s="107"/>
      <c r="G22" s="72">
        <v>1</v>
      </c>
      <c r="H22" s="108"/>
      <c r="I22" s="59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>
        <v>1</v>
      </c>
      <c r="BM22" s="106">
        <v>1</v>
      </c>
      <c r="BN22" s="106">
        <v>1</v>
      </c>
      <c r="BO22" s="106">
        <v>1</v>
      </c>
      <c r="BP22" s="106">
        <v>1</v>
      </c>
      <c r="BQ22" s="106">
        <v>1</v>
      </c>
      <c r="BR22" s="106">
        <v>1</v>
      </c>
      <c r="BS22" s="106">
        <v>1</v>
      </c>
      <c r="BT22" s="106">
        <v>1</v>
      </c>
      <c r="BU22" s="106">
        <v>1</v>
      </c>
      <c r="BV22" s="106">
        <v>1</v>
      </c>
      <c r="BW22" s="106">
        <v>1</v>
      </c>
      <c r="BX22" s="106">
        <v>1</v>
      </c>
      <c r="BY22" s="106">
        <v>1</v>
      </c>
      <c r="BZ22" s="106">
        <v>1</v>
      </c>
      <c r="CA22" s="106">
        <v>1</v>
      </c>
      <c r="CB22" s="106">
        <v>1</v>
      </c>
      <c r="CC22" s="106">
        <v>1</v>
      </c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107"/>
      <c r="CW22" s="107"/>
      <c r="CX22" s="107"/>
      <c r="CY22" s="107"/>
      <c r="CZ22" s="107"/>
      <c r="DA22" s="107"/>
      <c r="DB22" s="107"/>
      <c r="DC22" s="107"/>
      <c r="DD22" s="107"/>
      <c r="DE22" s="107"/>
      <c r="DF22" s="107"/>
      <c r="DG22" s="107"/>
      <c r="DH22" s="107"/>
      <c r="DI22" s="107"/>
      <c r="DJ22" s="107"/>
      <c r="DK22" s="107"/>
      <c r="DL22" s="107"/>
      <c r="DM22" s="107"/>
    </row>
    <row r="23" spans="2:117" x14ac:dyDescent="0.3">
      <c r="B23" s="106" t="s">
        <v>597</v>
      </c>
      <c r="C23" s="106"/>
      <c r="D23" s="106">
        <v>1</v>
      </c>
      <c r="E23" s="93"/>
      <c r="F23" s="107"/>
      <c r="G23" s="72">
        <v>1</v>
      </c>
      <c r="H23" s="108"/>
      <c r="I23" s="59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>
        <v>1</v>
      </c>
      <c r="BM23" s="106">
        <v>1</v>
      </c>
      <c r="BN23" s="106">
        <v>1</v>
      </c>
      <c r="BO23" s="106">
        <v>1</v>
      </c>
      <c r="BP23" s="106">
        <v>1</v>
      </c>
      <c r="BQ23" s="106">
        <v>1</v>
      </c>
      <c r="BR23" s="106">
        <v>1</v>
      </c>
      <c r="BS23" s="106">
        <v>1</v>
      </c>
      <c r="BT23" s="106">
        <v>1</v>
      </c>
      <c r="BU23" s="106">
        <v>1</v>
      </c>
      <c r="BV23" s="106">
        <v>1</v>
      </c>
      <c r="BW23" s="106">
        <v>1</v>
      </c>
      <c r="BX23" s="106">
        <v>1</v>
      </c>
      <c r="BY23" s="106">
        <v>1</v>
      </c>
      <c r="BZ23" s="106">
        <v>1</v>
      </c>
      <c r="CA23" s="106">
        <v>1</v>
      </c>
      <c r="CB23" s="106">
        <v>1</v>
      </c>
      <c r="CC23" s="106">
        <v>1</v>
      </c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107"/>
      <c r="CW23" s="107"/>
      <c r="CX23" s="107"/>
      <c r="CY23" s="107"/>
      <c r="CZ23" s="107"/>
      <c r="DA23" s="107"/>
      <c r="DB23" s="107"/>
      <c r="DC23" s="107"/>
      <c r="DD23" s="107"/>
      <c r="DE23" s="107"/>
      <c r="DF23" s="107"/>
      <c r="DG23" s="107"/>
      <c r="DH23" s="107"/>
      <c r="DI23" s="107"/>
      <c r="DJ23" s="107"/>
      <c r="DK23" s="107"/>
      <c r="DL23" s="107"/>
      <c r="DM23" s="107"/>
    </row>
    <row r="24" spans="2:117" x14ac:dyDescent="0.3">
      <c r="B24" s="93" t="s">
        <v>826</v>
      </c>
      <c r="C24" s="93"/>
      <c r="D24" s="93"/>
      <c r="E24" s="93">
        <v>1</v>
      </c>
      <c r="F24" s="107"/>
      <c r="H24" s="108"/>
      <c r="I24" s="59"/>
      <c r="J24" s="90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107"/>
      <c r="CW24" s="107"/>
      <c r="CX24" s="107"/>
      <c r="CY24" s="107"/>
      <c r="CZ24" s="107"/>
      <c r="DA24" s="107"/>
      <c r="DB24" s="107"/>
      <c r="DC24" s="107"/>
      <c r="DD24" s="107"/>
      <c r="DE24" s="107"/>
      <c r="DF24" s="107"/>
      <c r="DG24" s="107"/>
      <c r="DH24" s="107"/>
      <c r="DI24" s="107"/>
      <c r="DJ24" s="107"/>
      <c r="DK24" s="107"/>
      <c r="DL24" s="107"/>
      <c r="DM24" s="107"/>
    </row>
    <row r="25" spans="2:117" x14ac:dyDescent="0.3">
      <c r="B25" s="93" t="s">
        <v>841</v>
      </c>
      <c r="C25" s="93"/>
      <c r="D25" s="93"/>
      <c r="E25" s="93">
        <v>1</v>
      </c>
      <c r="F25" s="107"/>
      <c r="H25" s="108"/>
      <c r="I25" s="59"/>
      <c r="J25" s="90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</row>
    <row r="26" spans="2:117" x14ac:dyDescent="0.3">
      <c r="B26" s="107" t="s">
        <v>235</v>
      </c>
      <c r="C26" s="107"/>
      <c r="D26" s="107"/>
      <c r="E26" s="107"/>
      <c r="F26" s="107">
        <v>1</v>
      </c>
      <c r="G26" s="108"/>
      <c r="H26" s="108">
        <v>0.25</v>
      </c>
      <c r="I26" s="59">
        <v>1</v>
      </c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  <c r="CQ26" s="107"/>
      <c r="CR26" s="107"/>
      <c r="CS26" s="107"/>
      <c r="CT26" s="107"/>
      <c r="CU26" s="107"/>
      <c r="CV26" s="107">
        <v>1</v>
      </c>
      <c r="CW26" s="107">
        <v>1</v>
      </c>
      <c r="CX26" s="107">
        <v>1</v>
      </c>
      <c r="CY26" s="107">
        <v>1</v>
      </c>
      <c r="CZ26" s="107">
        <v>1</v>
      </c>
      <c r="DA26" s="107">
        <v>1</v>
      </c>
      <c r="DB26" s="107">
        <v>1</v>
      </c>
      <c r="DC26" s="107">
        <v>1</v>
      </c>
      <c r="DD26" s="107">
        <v>1</v>
      </c>
      <c r="DE26" s="107">
        <v>1</v>
      </c>
      <c r="DF26" s="107">
        <v>1</v>
      </c>
      <c r="DG26" s="107">
        <v>1</v>
      </c>
      <c r="DH26" s="107">
        <v>1</v>
      </c>
      <c r="DI26" s="107">
        <v>1</v>
      </c>
      <c r="DJ26" s="107">
        <v>1</v>
      </c>
      <c r="DK26" s="107">
        <v>1</v>
      </c>
      <c r="DL26" s="107">
        <v>1</v>
      </c>
      <c r="DM26" s="107">
        <v>1</v>
      </c>
    </row>
    <row r="27" spans="2:117" x14ac:dyDescent="0.3">
      <c r="B27" s="107" t="s">
        <v>827</v>
      </c>
      <c r="C27" s="107"/>
      <c r="D27" s="107"/>
      <c r="E27" s="107"/>
      <c r="F27" s="107">
        <v>1</v>
      </c>
      <c r="H27" s="108"/>
      <c r="I27" s="59"/>
      <c r="J27" s="90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107"/>
      <c r="CW27" s="107"/>
      <c r="CX27" s="107"/>
      <c r="CY27" s="107"/>
      <c r="CZ27" s="107"/>
      <c r="DA27" s="107"/>
      <c r="DB27" s="107"/>
      <c r="DC27" s="107"/>
      <c r="DD27" s="107"/>
      <c r="DE27" s="107"/>
      <c r="DF27" s="107"/>
      <c r="DG27" s="107"/>
      <c r="DH27" s="107"/>
      <c r="DI27" s="107"/>
      <c r="DJ27" s="107"/>
      <c r="DK27" s="107"/>
      <c r="DL27" s="107"/>
      <c r="DM27" s="107"/>
    </row>
    <row r="28" spans="2:117" x14ac:dyDescent="0.3">
      <c r="B28" s="108" t="s">
        <v>598</v>
      </c>
      <c r="C28" s="108"/>
      <c r="D28" s="108"/>
      <c r="E28" s="108"/>
      <c r="F28" s="108"/>
      <c r="G28" s="108"/>
      <c r="H28" s="108">
        <v>0.25</v>
      </c>
      <c r="I28" s="59">
        <v>1</v>
      </c>
      <c r="J28" s="90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107"/>
      <c r="CW28" s="107"/>
      <c r="CX28" s="107"/>
      <c r="CY28" s="107"/>
      <c r="CZ28" s="107"/>
      <c r="DA28" s="107"/>
      <c r="DB28" s="107"/>
      <c r="DC28" s="107"/>
      <c r="DD28" s="107"/>
      <c r="DE28" s="107"/>
      <c r="DF28" s="107"/>
      <c r="DG28" s="107"/>
      <c r="DH28" s="107"/>
      <c r="DI28" s="107"/>
      <c r="DJ28" s="107"/>
      <c r="DK28" s="107"/>
      <c r="DL28" s="107"/>
      <c r="DM28" s="107"/>
    </row>
    <row r="29" spans="2:117" x14ac:dyDescent="0.3">
      <c r="B29" s="108" t="s">
        <v>223</v>
      </c>
      <c r="C29" s="108"/>
      <c r="D29" s="108"/>
      <c r="E29" s="108"/>
      <c r="F29" s="108"/>
      <c r="G29" s="108"/>
      <c r="H29" s="108">
        <v>0.25</v>
      </c>
      <c r="I29" s="59">
        <v>1</v>
      </c>
      <c r="J29" s="90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107"/>
      <c r="CW29" s="107"/>
      <c r="CX29" s="107"/>
      <c r="CY29" s="107"/>
      <c r="CZ29" s="107"/>
      <c r="DA29" s="107"/>
      <c r="DB29" s="107"/>
      <c r="DC29" s="107"/>
      <c r="DD29" s="107"/>
      <c r="DE29" s="107"/>
      <c r="DF29" s="107"/>
      <c r="DG29" s="107"/>
      <c r="DH29" s="107"/>
      <c r="DI29" s="107"/>
      <c r="DJ29" s="107"/>
      <c r="DK29" s="107"/>
      <c r="DL29" s="107"/>
      <c r="DM29" s="107"/>
    </row>
    <row r="30" spans="2:117" x14ac:dyDescent="0.3">
      <c r="B30" s="111" t="s">
        <v>230</v>
      </c>
      <c r="C30" s="108"/>
      <c r="D30" s="108"/>
      <c r="E30" s="108"/>
      <c r="F30" s="108"/>
      <c r="G30" s="108"/>
      <c r="H30" s="108">
        <v>0.25</v>
      </c>
      <c r="I30" s="59">
        <v>1</v>
      </c>
      <c r="J30" s="90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CD30" s="93"/>
      <c r="CE30" s="93"/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107"/>
      <c r="CW30" s="107"/>
      <c r="CX30" s="107"/>
      <c r="CY30" s="107"/>
      <c r="CZ30" s="107"/>
      <c r="DA30" s="107"/>
      <c r="DB30" s="107"/>
      <c r="DC30" s="107"/>
      <c r="DD30" s="107"/>
      <c r="DE30" s="107"/>
      <c r="DF30" s="107"/>
      <c r="DG30" s="107"/>
      <c r="DH30" s="107"/>
      <c r="DI30" s="107"/>
      <c r="DJ30" s="107"/>
      <c r="DK30" s="107"/>
      <c r="DL30" s="107"/>
      <c r="DM30" s="107"/>
    </row>
    <row r="31" spans="2:117" x14ac:dyDescent="0.3">
      <c r="B31" s="111" t="s">
        <v>236</v>
      </c>
      <c r="C31" s="108"/>
      <c r="D31" s="108"/>
      <c r="E31" s="108"/>
      <c r="F31" s="108"/>
      <c r="G31" s="108"/>
      <c r="H31" s="108">
        <v>0.25</v>
      </c>
      <c r="I31" s="59">
        <v>1</v>
      </c>
      <c r="J31" s="90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107"/>
      <c r="CW31" s="107"/>
      <c r="CX31" s="107"/>
      <c r="CY31" s="107"/>
      <c r="CZ31" s="107"/>
      <c r="DA31" s="107"/>
      <c r="DB31" s="107"/>
      <c r="DC31" s="107"/>
      <c r="DD31" s="107"/>
      <c r="DE31" s="107"/>
      <c r="DF31" s="107"/>
      <c r="DG31" s="107"/>
      <c r="DH31" s="107"/>
      <c r="DI31" s="107"/>
      <c r="DJ31" s="107"/>
      <c r="DK31" s="107"/>
      <c r="DL31" s="107"/>
      <c r="DM31" s="107"/>
    </row>
    <row r="32" spans="2:117" x14ac:dyDescent="0.3">
      <c r="B32" s="108" t="s">
        <v>1353</v>
      </c>
      <c r="C32" s="108"/>
      <c r="D32" s="108"/>
      <c r="E32" s="108"/>
      <c r="F32" s="108"/>
      <c r="G32" s="108"/>
      <c r="H32" s="108">
        <v>0.25</v>
      </c>
      <c r="I32" s="59">
        <v>1</v>
      </c>
      <c r="J32" s="90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3"/>
      <c r="CQ32" s="93"/>
      <c r="CR32" s="93"/>
      <c r="CS32" s="93"/>
      <c r="CT32" s="93"/>
      <c r="CU32" s="93"/>
      <c r="CV32" s="107"/>
      <c r="CW32" s="107"/>
      <c r="CX32" s="107"/>
      <c r="CY32" s="107"/>
      <c r="CZ32" s="107"/>
      <c r="DA32" s="107"/>
      <c r="DB32" s="107"/>
      <c r="DC32" s="107"/>
      <c r="DD32" s="107"/>
      <c r="DE32" s="107"/>
      <c r="DF32" s="107"/>
      <c r="DG32" s="107"/>
      <c r="DH32" s="107"/>
      <c r="DI32" s="107"/>
      <c r="DJ32" s="107"/>
      <c r="DK32" s="107"/>
      <c r="DL32" s="107"/>
      <c r="DM32" s="107"/>
    </row>
    <row r="33" spans="2:117" x14ac:dyDescent="0.3">
      <c r="B33" s="59" t="s">
        <v>599</v>
      </c>
      <c r="C33" s="59"/>
      <c r="D33" s="59"/>
      <c r="E33" s="59"/>
      <c r="F33" s="59"/>
      <c r="G33" s="59"/>
      <c r="H33" s="59"/>
      <c r="I33" s="59">
        <v>1</v>
      </c>
      <c r="J33" s="90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107"/>
      <c r="CW33" s="107"/>
      <c r="CX33" s="107"/>
      <c r="CY33" s="107"/>
      <c r="CZ33" s="107"/>
      <c r="DA33" s="107"/>
      <c r="DB33" s="107"/>
      <c r="DC33" s="107"/>
      <c r="DD33" s="107"/>
      <c r="DE33" s="107"/>
      <c r="DF33" s="107"/>
      <c r="DG33" s="107"/>
      <c r="DH33" s="107"/>
      <c r="DI33" s="107"/>
      <c r="DJ33" s="107"/>
      <c r="DK33" s="107"/>
      <c r="DL33" s="107"/>
      <c r="DM33" s="107"/>
    </row>
    <row r="34" spans="2:117" x14ac:dyDescent="0.3">
      <c r="B34" s="59" t="s">
        <v>600</v>
      </c>
      <c r="C34" s="59"/>
      <c r="D34" s="59"/>
      <c r="E34" s="59"/>
      <c r="F34" s="59"/>
      <c r="G34" s="59"/>
      <c r="H34" s="59"/>
      <c r="I34" s="59">
        <v>1</v>
      </c>
      <c r="J34" s="90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107"/>
      <c r="CW34" s="107"/>
      <c r="CX34" s="107"/>
      <c r="CY34" s="107"/>
      <c r="CZ34" s="107"/>
      <c r="DA34" s="107"/>
      <c r="DB34" s="107"/>
      <c r="DC34" s="107"/>
      <c r="DD34" s="107"/>
      <c r="DE34" s="107"/>
      <c r="DF34" s="107"/>
      <c r="DG34" s="107"/>
      <c r="DH34" s="107"/>
      <c r="DI34" s="107"/>
      <c r="DJ34" s="107"/>
      <c r="DK34" s="107"/>
      <c r="DL34" s="107"/>
      <c r="DM34" s="107"/>
    </row>
    <row r="35" spans="2:117" x14ac:dyDescent="0.3">
      <c r="B35" s="59" t="s">
        <v>601</v>
      </c>
      <c r="C35" s="59"/>
      <c r="D35" s="59"/>
      <c r="E35" s="59"/>
      <c r="F35" s="59"/>
      <c r="G35" s="59"/>
      <c r="H35" s="59"/>
      <c r="I35" s="59">
        <v>1</v>
      </c>
      <c r="J35" s="90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107"/>
      <c r="CW35" s="107"/>
      <c r="CX35" s="107"/>
      <c r="CY35" s="107"/>
      <c r="CZ35" s="107"/>
      <c r="DA35" s="107"/>
      <c r="DB35" s="107"/>
      <c r="DC35" s="107"/>
      <c r="DD35" s="107"/>
      <c r="DE35" s="107"/>
      <c r="DF35" s="107"/>
      <c r="DG35" s="107"/>
      <c r="DH35" s="107"/>
      <c r="DI35" s="107"/>
      <c r="DJ35" s="107"/>
      <c r="DK35" s="107"/>
      <c r="DL35" s="107"/>
      <c r="DM35" s="107"/>
    </row>
    <row r="36" spans="2:117" x14ac:dyDescent="0.3">
      <c r="B36" s="59" t="s">
        <v>602</v>
      </c>
      <c r="C36" s="59"/>
      <c r="D36" s="59"/>
      <c r="E36" s="59"/>
      <c r="F36" s="59"/>
      <c r="G36" s="59"/>
      <c r="H36" s="59"/>
      <c r="I36" s="59">
        <v>1</v>
      </c>
      <c r="J36" s="90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107"/>
      <c r="CW36" s="107"/>
      <c r="CX36" s="107"/>
      <c r="CY36" s="107"/>
      <c r="CZ36" s="107"/>
      <c r="DA36" s="107"/>
      <c r="DB36" s="107"/>
      <c r="DC36" s="107"/>
      <c r="DD36" s="107"/>
      <c r="DE36" s="107"/>
      <c r="DF36" s="107"/>
      <c r="DG36" s="107"/>
      <c r="DH36" s="107"/>
      <c r="DI36" s="107"/>
      <c r="DJ36" s="107"/>
      <c r="DK36" s="107"/>
      <c r="DL36" s="107"/>
      <c r="DM36" s="107"/>
    </row>
    <row r="37" spans="2:117" x14ac:dyDescent="0.3">
      <c r="B37" s="59" t="s">
        <v>603</v>
      </c>
      <c r="C37" s="59"/>
      <c r="D37" s="59"/>
      <c r="E37" s="59"/>
      <c r="F37" s="59"/>
      <c r="G37" s="59"/>
      <c r="H37" s="59"/>
      <c r="I37" s="59">
        <v>1</v>
      </c>
      <c r="J37" s="90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107"/>
      <c r="CW37" s="107"/>
      <c r="CX37" s="107"/>
      <c r="CY37" s="107"/>
      <c r="CZ37" s="107"/>
      <c r="DA37" s="107"/>
      <c r="DB37" s="107"/>
      <c r="DC37" s="107"/>
      <c r="DD37" s="107"/>
      <c r="DE37" s="107"/>
      <c r="DF37" s="107"/>
      <c r="DG37" s="107"/>
      <c r="DH37" s="107"/>
      <c r="DI37" s="107"/>
      <c r="DJ37" s="107"/>
      <c r="DK37" s="107"/>
      <c r="DL37" s="107"/>
      <c r="DM37" s="107"/>
    </row>
    <row r="38" spans="2:117" x14ac:dyDescent="0.3">
      <c r="B38" s="59" t="s">
        <v>604</v>
      </c>
      <c r="C38" s="59"/>
      <c r="D38" s="59"/>
      <c r="E38" s="59"/>
      <c r="F38" s="59"/>
      <c r="G38" s="59"/>
      <c r="H38" s="59"/>
      <c r="I38" s="59">
        <v>1</v>
      </c>
      <c r="J38" s="90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107"/>
      <c r="CW38" s="107"/>
      <c r="CX38" s="107"/>
      <c r="CY38" s="107"/>
      <c r="CZ38" s="107"/>
      <c r="DA38" s="107"/>
      <c r="DB38" s="107"/>
      <c r="DC38" s="107"/>
      <c r="DD38" s="107"/>
      <c r="DE38" s="107"/>
      <c r="DF38" s="107"/>
      <c r="DG38" s="107"/>
      <c r="DH38" s="107"/>
      <c r="DI38" s="107"/>
      <c r="DJ38" s="107"/>
      <c r="DK38" s="107"/>
      <c r="DL38" s="107"/>
      <c r="DM38" s="107"/>
    </row>
    <row r="39" spans="2:117" x14ac:dyDescent="0.3">
      <c r="B39" s="59" t="s">
        <v>605</v>
      </c>
      <c r="C39" s="59"/>
      <c r="D39" s="59"/>
      <c r="E39" s="59"/>
      <c r="F39" s="59"/>
      <c r="G39" s="59"/>
      <c r="H39" s="59"/>
      <c r="I39" s="59">
        <v>1</v>
      </c>
      <c r="J39" s="90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CD39" s="93"/>
      <c r="CE39" s="93"/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3"/>
      <c r="CQ39" s="93"/>
      <c r="CR39" s="93"/>
      <c r="CS39" s="93"/>
      <c r="CT39" s="93"/>
      <c r="CU39" s="93"/>
      <c r="CV39" s="107"/>
      <c r="CW39" s="107"/>
      <c r="CX39" s="107"/>
      <c r="CY39" s="107"/>
      <c r="CZ39" s="107"/>
      <c r="DA39" s="107"/>
      <c r="DB39" s="107"/>
      <c r="DC39" s="107"/>
      <c r="DD39" s="107"/>
      <c r="DE39" s="107"/>
      <c r="DF39" s="107"/>
      <c r="DG39" s="107"/>
      <c r="DH39" s="107"/>
      <c r="DI39" s="107"/>
      <c r="DJ39" s="107"/>
      <c r="DK39" s="107"/>
      <c r="DL39" s="107"/>
      <c r="DM39" s="107"/>
    </row>
    <row r="40" spans="2:117" x14ac:dyDescent="0.3">
      <c r="B40" s="59" t="s">
        <v>246</v>
      </c>
      <c r="C40" s="59"/>
      <c r="D40" s="59"/>
      <c r="E40" s="59"/>
      <c r="F40" s="59"/>
      <c r="G40" s="59"/>
      <c r="H40" s="59"/>
      <c r="I40" s="59">
        <v>1</v>
      </c>
      <c r="J40" s="90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107"/>
      <c r="CW40" s="107"/>
      <c r="CX40" s="107"/>
      <c r="CY40" s="107"/>
      <c r="CZ40" s="107"/>
      <c r="DA40" s="107"/>
      <c r="DB40" s="107"/>
      <c r="DC40" s="107"/>
      <c r="DD40" s="107"/>
      <c r="DE40" s="107"/>
      <c r="DF40" s="107"/>
      <c r="DG40" s="107"/>
      <c r="DH40" s="107"/>
      <c r="DI40" s="107"/>
      <c r="DJ40" s="107"/>
      <c r="DK40" s="107"/>
      <c r="DL40" s="107"/>
      <c r="DM40" s="107"/>
    </row>
    <row r="41" spans="2:117" x14ac:dyDescent="0.3">
      <c r="B41" s="59" t="s">
        <v>249</v>
      </c>
      <c r="C41" s="59"/>
      <c r="D41" s="59"/>
      <c r="E41" s="59"/>
      <c r="F41" s="59"/>
      <c r="G41" s="59"/>
      <c r="H41" s="59"/>
      <c r="I41" s="59">
        <v>1</v>
      </c>
      <c r="J41" s="90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93"/>
      <c r="CP41" s="93"/>
      <c r="CQ41" s="93"/>
      <c r="CR41" s="93"/>
      <c r="CS41" s="93"/>
      <c r="CT41" s="93"/>
      <c r="CU41" s="93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</row>
    <row r="42" spans="2:117" x14ac:dyDescent="0.3">
      <c r="B42" s="59" t="s">
        <v>606</v>
      </c>
      <c r="C42" s="59"/>
      <c r="D42" s="59"/>
      <c r="E42" s="59"/>
      <c r="F42" s="59"/>
      <c r="G42" s="59"/>
      <c r="H42" s="59"/>
      <c r="I42" s="59">
        <v>1</v>
      </c>
      <c r="J42" s="90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3"/>
      <c r="CQ42" s="93"/>
      <c r="CR42" s="93"/>
      <c r="CS42" s="93"/>
      <c r="CT42" s="93"/>
      <c r="CU42" s="93"/>
      <c r="CV42" s="107"/>
      <c r="CW42" s="107"/>
      <c r="CX42" s="107"/>
      <c r="CY42" s="107"/>
      <c r="CZ42" s="107"/>
      <c r="DA42" s="107"/>
      <c r="DB42" s="107"/>
      <c r="DC42" s="107"/>
      <c r="DD42" s="107"/>
      <c r="DE42" s="107"/>
      <c r="DF42" s="107"/>
      <c r="DG42" s="107"/>
      <c r="DH42" s="107"/>
      <c r="DI42" s="107"/>
      <c r="DJ42" s="107"/>
      <c r="DK42" s="107"/>
      <c r="DL42" s="107"/>
      <c r="DM42" s="107"/>
    </row>
    <row r="43" spans="2:117" x14ac:dyDescent="0.3">
      <c r="B43" s="59" t="s">
        <v>607</v>
      </c>
      <c r="C43" s="59"/>
      <c r="D43" s="59"/>
      <c r="E43" s="59"/>
      <c r="F43" s="59"/>
      <c r="G43" s="59"/>
      <c r="H43" s="59"/>
      <c r="I43" s="59">
        <v>1</v>
      </c>
      <c r="J43" s="90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CD43" s="93"/>
      <c r="CE43" s="93"/>
      <c r="CF43" s="93"/>
      <c r="CG43" s="93"/>
      <c r="CH43" s="93"/>
      <c r="CI43" s="93"/>
      <c r="CJ43" s="93"/>
      <c r="CK43" s="93"/>
      <c r="CL43" s="93"/>
      <c r="CM43" s="93"/>
      <c r="CN43" s="93"/>
      <c r="CO43" s="93"/>
      <c r="CP43" s="93"/>
      <c r="CQ43" s="93"/>
      <c r="CR43" s="93"/>
      <c r="CS43" s="93"/>
      <c r="CT43" s="93"/>
      <c r="CU43" s="93"/>
      <c r="CV43" s="107"/>
      <c r="CW43" s="107"/>
      <c r="CX43" s="107"/>
      <c r="CY43" s="107"/>
      <c r="CZ43" s="107"/>
      <c r="DA43" s="107"/>
      <c r="DB43" s="107"/>
      <c r="DC43" s="107"/>
      <c r="DD43" s="107"/>
      <c r="DE43" s="107"/>
      <c r="DF43" s="107"/>
      <c r="DG43" s="107"/>
      <c r="DH43" s="107"/>
      <c r="DI43" s="107"/>
      <c r="DJ43" s="107"/>
      <c r="DK43" s="107"/>
      <c r="DL43" s="107"/>
      <c r="DM43" s="107"/>
    </row>
    <row r="44" spans="2:117" x14ac:dyDescent="0.3">
      <c r="B44" s="59" t="s">
        <v>608</v>
      </c>
      <c r="C44" s="59"/>
      <c r="D44" s="59"/>
      <c r="E44" s="59"/>
      <c r="F44" s="59"/>
      <c r="G44" s="59"/>
      <c r="H44" s="59"/>
      <c r="I44" s="59">
        <v>1</v>
      </c>
      <c r="J44" s="90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CD44" s="93"/>
      <c r="CE44" s="93"/>
      <c r="CF44" s="93"/>
      <c r="CG44" s="93"/>
      <c r="CH44" s="93"/>
      <c r="CI44" s="93"/>
      <c r="CJ44" s="93"/>
      <c r="CK44" s="93"/>
      <c r="CL44" s="93"/>
      <c r="CM44" s="93"/>
      <c r="CN44" s="93"/>
      <c r="CO44" s="93"/>
      <c r="CP44" s="93"/>
      <c r="CQ44" s="93"/>
      <c r="CR44" s="93"/>
      <c r="CS44" s="93"/>
      <c r="CT44" s="93"/>
      <c r="CU44" s="93"/>
      <c r="CV44" s="107"/>
      <c r="CW44" s="107"/>
      <c r="CX44" s="107"/>
      <c r="CY44" s="107"/>
      <c r="CZ44" s="107"/>
      <c r="DA44" s="107"/>
      <c r="DB44" s="107"/>
      <c r="DC44" s="107"/>
      <c r="DD44" s="107"/>
      <c r="DE44" s="107"/>
      <c r="DF44" s="107"/>
      <c r="DG44" s="107"/>
      <c r="DH44" s="107"/>
      <c r="DI44" s="107"/>
      <c r="DJ44" s="107"/>
      <c r="DK44" s="107"/>
      <c r="DL44" s="107"/>
      <c r="DM44" s="107"/>
    </row>
    <row r="45" spans="2:117" x14ac:dyDescent="0.3">
      <c r="B45" s="59" t="s">
        <v>609</v>
      </c>
      <c r="C45" s="59"/>
      <c r="D45" s="59"/>
      <c r="E45" s="59"/>
      <c r="F45" s="59"/>
      <c r="G45" s="59"/>
      <c r="H45" s="59"/>
      <c r="I45" s="59">
        <v>1</v>
      </c>
      <c r="J45" s="90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107"/>
      <c r="CW45" s="107"/>
      <c r="CX45" s="107"/>
      <c r="CY45" s="107"/>
      <c r="CZ45" s="107"/>
      <c r="DA45" s="107"/>
      <c r="DB45" s="107"/>
      <c r="DC45" s="107"/>
      <c r="DD45" s="107"/>
      <c r="DE45" s="107"/>
      <c r="DF45" s="107"/>
      <c r="DG45" s="107"/>
      <c r="DH45" s="107"/>
      <c r="DI45" s="107"/>
      <c r="DJ45" s="107"/>
      <c r="DK45" s="107"/>
      <c r="DL45" s="107"/>
      <c r="DM45" s="107"/>
    </row>
    <row r="46" spans="2:117" x14ac:dyDescent="0.3">
      <c r="B46" s="59" t="s">
        <v>241</v>
      </c>
      <c r="C46" s="59"/>
      <c r="D46" s="59"/>
      <c r="E46" s="59"/>
      <c r="F46" s="59"/>
      <c r="G46" s="59"/>
      <c r="H46" s="59"/>
      <c r="I46" s="59">
        <v>1</v>
      </c>
      <c r="J46" s="90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107"/>
      <c r="CW46" s="107"/>
      <c r="CX46" s="107"/>
      <c r="CY46" s="107"/>
      <c r="CZ46" s="107"/>
      <c r="DA46" s="107"/>
      <c r="DB46" s="107"/>
      <c r="DC46" s="107"/>
      <c r="DD46" s="107"/>
      <c r="DE46" s="107"/>
      <c r="DF46" s="107"/>
      <c r="DG46" s="107"/>
      <c r="DH46" s="107"/>
      <c r="DI46" s="107"/>
      <c r="DJ46" s="107"/>
      <c r="DK46" s="107"/>
      <c r="DL46" s="107"/>
      <c r="DM46" s="107"/>
    </row>
    <row r="47" spans="2:117" x14ac:dyDescent="0.3">
      <c r="B47" s="59" t="s">
        <v>222</v>
      </c>
      <c r="C47" s="59"/>
      <c r="D47" s="59"/>
      <c r="E47" s="59"/>
      <c r="F47" s="59"/>
      <c r="G47" s="59"/>
      <c r="H47" s="59"/>
      <c r="I47" s="59">
        <v>1</v>
      </c>
      <c r="J47" s="90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107"/>
      <c r="CW47" s="107"/>
      <c r="CX47" s="107"/>
      <c r="CY47" s="107"/>
      <c r="CZ47" s="107"/>
      <c r="DA47" s="107"/>
      <c r="DB47" s="107"/>
      <c r="DC47" s="107"/>
      <c r="DD47" s="107"/>
      <c r="DE47" s="107"/>
      <c r="DF47" s="107"/>
      <c r="DG47" s="107"/>
      <c r="DH47" s="107"/>
      <c r="DI47" s="107"/>
      <c r="DJ47" s="107"/>
      <c r="DK47" s="107"/>
      <c r="DL47" s="107"/>
      <c r="DM47" s="107"/>
    </row>
    <row r="48" spans="2:117" x14ac:dyDescent="0.3">
      <c r="B48" s="59" t="s">
        <v>357</v>
      </c>
      <c r="C48" s="59"/>
      <c r="D48" s="59"/>
      <c r="E48" s="59"/>
      <c r="F48" s="59"/>
      <c r="G48" s="59"/>
      <c r="H48" s="59"/>
      <c r="I48" s="59">
        <v>1</v>
      </c>
      <c r="J48" s="90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107"/>
      <c r="CW48" s="107"/>
      <c r="CX48" s="107"/>
      <c r="CY48" s="107"/>
      <c r="CZ48" s="107"/>
      <c r="DA48" s="107"/>
      <c r="DB48" s="107"/>
      <c r="DC48" s="107"/>
      <c r="DD48" s="107"/>
      <c r="DE48" s="107"/>
      <c r="DF48" s="107"/>
      <c r="DG48" s="107"/>
      <c r="DH48" s="107"/>
      <c r="DI48" s="107"/>
      <c r="DJ48" s="107"/>
      <c r="DK48" s="107"/>
      <c r="DL48" s="107"/>
      <c r="DM48" s="107"/>
    </row>
    <row r="49" spans="2:117" x14ac:dyDescent="0.3">
      <c r="B49" s="59" t="s">
        <v>260</v>
      </c>
      <c r="C49" s="59"/>
      <c r="D49" s="59"/>
      <c r="E49" s="59"/>
      <c r="F49" s="59"/>
      <c r="G49" s="59"/>
      <c r="H49" s="59"/>
      <c r="I49" s="59">
        <v>1</v>
      </c>
      <c r="J49" s="90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107"/>
      <c r="CW49" s="107"/>
      <c r="CX49" s="107"/>
      <c r="CY49" s="107"/>
      <c r="CZ49" s="107"/>
      <c r="DA49" s="107"/>
      <c r="DB49" s="107"/>
      <c r="DC49" s="107"/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</row>
    <row r="50" spans="2:117" x14ac:dyDescent="0.3">
      <c r="B50" s="59" t="s">
        <v>262</v>
      </c>
      <c r="C50" s="59"/>
      <c r="D50" s="59"/>
      <c r="E50" s="59"/>
      <c r="F50" s="59"/>
      <c r="G50" s="59"/>
      <c r="H50" s="59"/>
      <c r="I50" s="59">
        <v>1</v>
      </c>
      <c r="J50" s="90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CD50" s="93"/>
      <c r="CE50" s="93"/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</row>
    <row r="51" spans="2:117" x14ac:dyDescent="0.3">
      <c r="B51" s="59" t="s">
        <v>264</v>
      </c>
      <c r="C51" s="59"/>
      <c r="D51" s="59"/>
      <c r="E51" s="59"/>
      <c r="F51" s="59"/>
      <c r="G51" s="59"/>
      <c r="H51" s="59"/>
      <c r="I51" s="59">
        <v>1</v>
      </c>
      <c r="J51" s="90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CD51" s="93"/>
      <c r="CE51" s="93"/>
      <c r="CF51" s="93"/>
      <c r="CG51" s="93"/>
      <c r="CH51" s="93"/>
      <c r="CI51" s="93"/>
      <c r="CJ51" s="93"/>
      <c r="CK51" s="93"/>
      <c r="CL51" s="93"/>
      <c r="CM51" s="93"/>
      <c r="CN51" s="93"/>
      <c r="CO51" s="93"/>
      <c r="CP51" s="93"/>
      <c r="CQ51" s="93"/>
      <c r="CR51" s="93"/>
      <c r="CS51" s="93"/>
      <c r="CT51" s="93"/>
      <c r="CU51" s="93"/>
      <c r="CV51" s="107"/>
      <c r="CW51" s="107"/>
      <c r="CX51" s="107"/>
      <c r="CY51" s="107"/>
      <c r="CZ51" s="107"/>
      <c r="DA51" s="107"/>
      <c r="DB51" s="107"/>
      <c r="DC51" s="107"/>
      <c r="DD51" s="107"/>
      <c r="DE51" s="107"/>
      <c r="DF51" s="107"/>
      <c r="DG51" s="107"/>
      <c r="DH51" s="107"/>
      <c r="DI51" s="107"/>
      <c r="DJ51" s="107"/>
      <c r="DK51" s="107"/>
      <c r="DL51" s="107"/>
      <c r="DM51" s="107"/>
    </row>
    <row r="52" spans="2:117" x14ac:dyDescent="0.3">
      <c r="B52" s="59" t="s">
        <v>266</v>
      </c>
      <c r="C52" s="59"/>
      <c r="D52" s="59"/>
      <c r="E52" s="59"/>
      <c r="F52" s="59"/>
      <c r="G52" s="59"/>
      <c r="H52" s="59"/>
      <c r="I52" s="59">
        <v>1</v>
      </c>
      <c r="J52" s="90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</row>
    <row r="53" spans="2:117" x14ac:dyDescent="0.3">
      <c r="B53" s="59" t="s">
        <v>1396</v>
      </c>
      <c r="C53" s="59"/>
      <c r="D53" s="59"/>
      <c r="E53" s="59"/>
      <c r="F53" s="59"/>
      <c r="G53" s="59"/>
      <c r="H53" s="59"/>
      <c r="I53" s="59">
        <v>1</v>
      </c>
      <c r="J53" s="90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CD53" s="93"/>
      <c r="CE53" s="93"/>
      <c r="CF53" s="93"/>
      <c r="CG53" s="93"/>
      <c r="CH53" s="93"/>
      <c r="CI53" s="93"/>
      <c r="CJ53" s="93"/>
      <c r="CK53" s="93"/>
      <c r="CL53" s="93"/>
      <c r="CM53" s="93"/>
      <c r="CN53" s="93"/>
      <c r="CO53" s="93"/>
      <c r="CP53" s="93"/>
      <c r="CQ53" s="93"/>
      <c r="CR53" s="93"/>
      <c r="CS53" s="93"/>
      <c r="CT53" s="93"/>
      <c r="CU53" s="93"/>
      <c r="CV53" s="107"/>
      <c r="CW53" s="107"/>
      <c r="CX53" s="107"/>
      <c r="CY53" s="107"/>
      <c r="CZ53" s="107"/>
      <c r="DA53" s="107"/>
      <c r="DB53" s="107"/>
      <c r="DC53" s="107"/>
      <c r="DD53" s="107"/>
      <c r="DE53" s="107"/>
      <c r="DF53" s="107"/>
      <c r="DG53" s="107"/>
      <c r="DH53" s="107"/>
      <c r="DI53" s="107"/>
      <c r="DJ53" s="107"/>
      <c r="DK53" s="107"/>
      <c r="DL53" s="107"/>
      <c r="DM53" s="107"/>
    </row>
    <row r="54" spans="2:117" x14ac:dyDescent="0.3">
      <c r="B54" s="59" t="s">
        <v>610</v>
      </c>
      <c r="C54" s="59"/>
      <c r="D54" s="59"/>
      <c r="E54" s="59"/>
      <c r="F54" s="59"/>
      <c r="G54" s="59"/>
      <c r="H54" s="59"/>
      <c r="I54" s="59">
        <v>1</v>
      </c>
      <c r="J54" s="90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107"/>
      <c r="CW54" s="107"/>
      <c r="CX54" s="107"/>
      <c r="CY54" s="107"/>
      <c r="CZ54" s="107"/>
      <c r="DA54" s="107"/>
      <c r="DB54" s="107"/>
      <c r="DC54" s="107"/>
      <c r="DD54" s="107"/>
      <c r="DE54" s="107"/>
      <c r="DF54" s="107"/>
      <c r="DG54" s="107"/>
      <c r="DH54" s="107"/>
      <c r="DI54" s="107"/>
      <c r="DJ54" s="107"/>
      <c r="DK54" s="107"/>
      <c r="DL54" s="107"/>
      <c r="DM54" s="107"/>
    </row>
    <row r="55" spans="2:117" x14ac:dyDescent="0.3">
      <c r="B55" s="59" t="s">
        <v>268</v>
      </c>
      <c r="C55" s="59"/>
      <c r="D55" s="59"/>
      <c r="E55" s="59"/>
      <c r="F55" s="59"/>
      <c r="G55" s="59"/>
      <c r="H55" s="59"/>
      <c r="I55" s="59">
        <v>1</v>
      </c>
      <c r="J55" s="90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CD55" s="93"/>
      <c r="CE55" s="93"/>
      <c r="CF55" s="93"/>
      <c r="CG55" s="93"/>
      <c r="CH55" s="93"/>
      <c r="CI55" s="93"/>
      <c r="CJ55" s="93"/>
      <c r="CK55" s="93"/>
      <c r="CL55" s="93"/>
      <c r="CM55" s="93"/>
      <c r="CN55" s="93"/>
      <c r="CO55" s="93"/>
      <c r="CP55" s="93"/>
      <c r="CQ55" s="93"/>
      <c r="CR55" s="93"/>
      <c r="CS55" s="93"/>
      <c r="CT55" s="93"/>
      <c r="CU55" s="93"/>
      <c r="CV55" s="107"/>
      <c r="CW55" s="107"/>
      <c r="CX55" s="107"/>
      <c r="CY55" s="107"/>
      <c r="CZ55" s="107"/>
      <c r="DA55" s="107"/>
      <c r="DB55" s="107"/>
      <c r="DC55" s="107"/>
      <c r="DD55" s="107"/>
      <c r="DE55" s="107"/>
      <c r="DF55" s="107"/>
      <c r="DG55" s="107"/>
      <c r="DH55" s="107"/>
      <c r="DI55" s="107"/>
      <c r="DJ55" s="107"/>
      <c r="DK55" s="107"/>
      <c r="DL55" s="107"/>
      <c r="DM55" s="107"/>
    </row>
    <row r="56" spans="2:117" x14ac:dyDescent="0.3">
      <c r="B56" s="59" t="s">
        <v>611</v>
      </c>
      <c r="C56" s="59"/>
      <c r="D56" s="59"/>
      <c r="E56" s="59"/>
      <c r="F56" s="59"/>
      <c r="G56" s="59"/>
      <c r="H56" s="59"/>
      <c r="I56" s="59">
        <v>1</v>
      </c>
      <c r="J56" s="90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107"/>
      <c r="CW56" s="107"/>
      <c r="CX56" s="107"/>
      <c r="CY56" s="107"/>
      <c r="CZ56" s="107"/>
      <c r="DA56" s="107"/>
      <c r="DB56" s="107"/>
      <c r="DC56" s="107"/>
      <c r="DD56" s="107"/>
      <c r="DE56" s="107"/>
      <c r="DF56" s="107"/>
      <c r="DG56" s="107"/>
      <c r="DH56" s="107"/>
      <c r="DI56" s="107"/>
      <c r="DJ56" s="107"/>
      <c r="DK56" s="107"/>
      <c r="DL56" s="107"/>
      <c r="DM56" s="107"/>
    </row>
    <row r="57" spans="2:117" x14ac:dyDescent="0.3">
      <c r="B57" s="59" t="s">
        <v>270</v>
      </c>
      <c r="C57" s="59"/>
      <c r="D57" s="59"/>
      <c r="E57" s="59"/>
      <c r="F57" s="59"/>
      <c r="G57" s="59"/>
      <c r="H57" s="59"/>
      <c r="I57" s="59">
        <v>1</v>
      </c>
      <c r="J57" s="90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CD57" s="93"/>
      <c r="CE57" s="93"/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107"/>
      <c r="CW57" s="107"/>
      <c r="CX57" s="107"/>
      <c r="CY57" s="107"/>
      <c r="CZ57" s="107"/>
      <c r="DA57" s="107"/>
      <c r="DB57" s="107"/>
      <c r="DC57" s="107"/>
      <c r="DD57" s="107"/>
      <c r="DE57" s="107"/>
      <c r="DF57" s="107"/>
      <c r="DG57" s="107"/>
      <c r="DH57" s="107"/>
      <c r="DI57" s="107"/>
      <c r="DJ57" s="107"/>
      <c r="DK57" s="107"/>
      <c r="DL57" s="107"/>
      <c r="DM57" s="107"/>
    </row>
    <row r="58" spans="2:117" x14ac:dyDescent="0.3">
      <c r="B58" s="59" t="s">
        <v>1354</v>
      </c>
      <c r="C58" s="59"/>
      <c r="D58" s="59"/>
      <c r="E58" s="59"/>
      <c r="F58" s="59"/>
      <c r="G58" s="59"/>
      <c r="H58" s="59"/>
      <c r="I58" s="59">
        <v>1</v>
      </c>
      <c r="J58" s="90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CD58" s="93"/>
      <c r="CE58" s="93"/>
      <c r="CF58" s="93"/>
      <c r="CG58" s="93"/>
      <c r="CH58" s="93"/>
      <c r="CI58" s="93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  <c r="CU58" s="93"/>
      <c r="CV58" s="107"/>
      <c r="CW58" s="107"/>
      <c r="CX58" s="107"/>
      <c r="CY58" s="107"/>
      <c r="CZ58" s="107"/>
      <c r="DA58" s="107"/>
      <c r="DB58" s="107"/>
      <c r="DC58" s="107"/>
      <c r="DD58" s="107"/>
      <c r="DE58" s="107"/>
      <c r="DF58" s="107"/>
      <c r="DG58" s="107"/>
      <c r="DH58" s="107"/>
      <c r="DI58" s="107"/>
      <c r="DJ58" s="107"/>
      <c r="DK58" s="107"/>
      <c r="DL58" s="107"/>
      <c r="DM58" s="107"/>
    </row>
    <row r="59" spans="2:117" x14ac:dyDescent="0.3">
      <c r="B59" s="59" t="s">
        <v>620</v>
      </c>
      <c r="C59" s="59"/>
      <c r="D59" s="59"/>
      <c r="E59" s="59"/>
      <c r="F59" s="59"/>
      <c r="G59" s="59"/>
      <c r="H59" s="59"/>
      <c r="I59" s="59">
        <v>1</v>
      </c>
      <c r="J59" s="90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CD59" s="93"/>
      <c r="CE59" s="93"/>
      <c r="CF59" s="93"/>
      <c r="CG59" s="93"/>
      <c r="CH59" s="93"/>
      <c r="CI59" s="93"/>
      <c r="CJ59" s="93"/>
      <c r="CK59" s="93"/>
      <c r="CL59" s="93"/>
      <c r="CM59" s="93"/>
      <c r="CN59" s="93"/>
      <c r="CO59" s="93"/>
      <c r="CP59" s="93"/>
      <c r="CQ59" s="93"/>
      <c r="CR59" s="93"/>
      <c r="CS59" s="93"/>
      <c r="CT59" s="93"/>
      <c r="CU59" s="93"/>
      <c r="CV59" s="107"/>
      <c r="CW59" s="107"/>
      <c r="CX59" s="107"/>
      <c r="CY59" s="107"/>
      <c r="CZ59" s="107"/>
      <c r="DA59" s="107"/>
      <c r="DB59" s="107"/>
      <c r="DC59" s="107"/>
      <c r="DD59" s="107"/>
      <c r="DE59" s="107"/>
      <c r="DF59" s="107"/>
      <c r="DG59" s="107"/>
      <c r="DH59" s="107"/>
      <c r="DI59" s="107"/>
      <c r="DJ59" s="107"/>
      <c r="DK59" s="107"/>
      <c r="DL59" s="107"/>
      <c r="DM59" s="107"/>
    </row>
    <row r="60" spans="2:117" x14ac:dyDescent="0.3">
      <c r="B60" s="59" t="s">
        <v>273</v>
      </c>
      <c r="C60" s="59"/>
      <c r="D60" s="59"/>
      <c r="E60" s="59"/>
      <c r="F60" s="59"/>
      <c r="G60" s="59"/>
      <c r="H60" s="59"/>
      <c r="I60" s="59">
        <v>1</v>
      </c>
      <c r="J60" s="90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CD60" s="93"/>
      <c r="CE60" s="93"/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  <c r="CU60" s="93"/>
      <c r="CV60" s="107"/>
      <c r="CW60" s="107"/>
      <c r="CX60" s="107"/>
      <c r="CY60" s="107"/>
      <c r="CZ60" s="107"/>
      <c r="DA60" s="107"/>
      <c r="DB60" s="107"/>
      <c r="DC60" s="107"/>
      <c r="DD60" s="107"/>
      <c r="DE60" s="107"/>
      <c r="DF60" s="107"/>
      <c r="DG60" s="107"/>
      <c r="DH60" s="107"/>
      <c r="DI60" s="107"/>
      <c r="DJ60" s="107"/>
      <c r="DK60" s="107"/>
      <c r="DL60" s="107"/>
      <c r="DM60" s="107"/>
    </row>
    <row r="61" spans="2:117" x14ac:dyDescent="0.3">
      <c r="B61" s="90" t="s">
        <v>274</v>
      </c>
      <c r="C61" s="90"/>
      <c r="D61" s="90"/>
      <c r="E61" s="90"/>
      <c r="F61" s="90"/>
      <c r="G61" s="90"/>
      <c r="H61" s="90"/>
      <c r="I61" s="90"/>
      <c r="J61" s="90">
        <v>1</v>
      </c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107"/>
      <c r="CW61" s="107"/>
      <c r="CX61" s="107"/>
      <c r="CY61" s="107"/>
      <c r="CZ61" s="107"/>
      <c r="DA61" s="107"/>
      <c r="DB61" s="107"/>
      <c r="DC61" s="107"/>
      <c r="DD61" s="107"/>
      <c r="DE61" s="107"/>
      <c r="DF61" s="107"/>
      <c r="DG61" s="107"/>
      <c r="DH61" s="107"/>
      <c r="DI61" s="107"/>
      <c r="DJ61" s="107"/>
      <c r="DK61" s="107"/>
      <c r="DL61" s="107"/>
      <c r="DM61" s="107"/>
    </row>
    <row r="62" spans="2:117" x14ac:dyDescent="0.3">
      <c r="B62" s="90" t="s">
        <v>224</v>
      </c>
      <c r="C62" s="90"/>
      <c r="D62" s="90"/>
      <c r="E62" s="90"/>
      <c r="F62" s="90"/>
      <c r="G62" s="90"/>
      <c r="H62" s="90"/>
      <c r="I62" s="90"/>
      <c r="J62" s="90">
        <v>1</v>
      </c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107"/>
      <c r="CW62" s="107"/>
      <c r="CX62" s="107"/>
      <c r="CY62" s="107"/>
      <c r="CZ62" s="107"/>
      <c r="DA62" s="107"/>
      <c r="DB62" s="107"/>
      <c r="DC62" s="107"/>
      <c r="DD62" s="107"/>
      <c r="DE62" s="107"/>
      <c r="DF62" s="107"/>
      <c r="DG62" s="107"/>
      <c r="DH62" s="107"/>
      <c r="DI62" s="107"/>
      <c r="DJ62" s="107"/>
      <c r="DK62" s="107"/>
      <c r="DL62" s="107"/>
      <c r="DM62" s="107"/>
    </row>
    <row r="63" spans="2:117" x14ac:dyDescent="0.3">
      <c r="B63" s="90" t="s">
        <v>237</v>
      </c>
      <c r="C63" s="90"/>
      <c r="D63" s="90"/>
      <c r="E63" s="90"/>
      <c r="F63" s="90"/>
      <c r="G63" s="90"/>
      <c r="H63" s="90"/>
      <c r="I63" s="90"/>
      <c r="J63" s="90">
        <v>1</v>
      </c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107"/>
      <c r="CW63" s="107"/>
      <c r="CX63" s="107"/>
      <c r="CY63" s="107"/>
      <c r="CZ63" s="107"/>
      <c r="DA63" s="107"/>
      <c r="DB63" s="107"/>
      <c r="DC63" s="107"/>
      <c r="DD63" s="107"/>
      <c r="DE63" s="107"/>
      <c r="DF63" s="107"/>
      <c r="DG63" s="107"/>
      <c r="DH63" s="107"/>
      <c r="DI63" s="107"/>
      <c r="DJ63" s="107"/>
      <c r="DK63" s="107"/>
      <c r="DL63" s="107"/>
      <c r="DM63" s="107"/>
    </row>
    <row r="64" spans="2:117" x14ac:dyDescent="0.3">
      <c r="B64" s="90" t="s">
        <v>1102</v>
      </c>
      <c r="C64" s="90"/>
      <c r="D64" s="90"/>
      <c r="E64" s="90"/>
      <c r="F64" s="90"/>
      <c r="G64" s="90"/>
      <c r="H64" s="90"/>
      <c r="I64" s="90"/>
      <c r="J64" s="90">
        <v>1</v>
      </c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107"/>
      <c r="CW64" s="107"/>
      <c r="CX64" s="107"/>
      <c r="CY64" s="107"/>
      <c r="CZ64" s="107"/>
      <c r="DA64" s="107"/>
      <c r="DB64" s="107"/>
      <c r="DC64" s="107"/>
      <c r="DD64" s="107"/>
      <c r="DE64" s="107"/>
      <c r="DF64" s="107"/>
      <c r="DG64" s="107"/>
      <c r="DH64" s="107"/>
      <c r="DI64" s="107"/>
      <c r="DJ64" s="107"/>
      <c r="DK64" s="107"/>
      <c r="DL64" s="107"/>
      <c r="DM64" s="107"/>
    </row>
    <row r="65" spans="2:117" x14ac:dyDescent="0.3">
      <c r="B65" s="90" t="s">
        <v>240</v>
      </c>
      <c r="C65" s="90"/>
      <c r="D65" s="90"/>
      <c r="E65" s="90"/>
      <c r="F65" s="90"/>
      <c r="G65" s="90"/>
      <c r="H65" s="90"/>
      <c r="I65" s="90"/>
      <c r="J65" s="90">
        <v>1</v>
      </c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107"/>
      <c r="CW65" s="107"/>
      <c r="CX65" s="107"/>
      <c r="CY65" s="107"/>
      <c r="CZ65" s="107"/>
      <c r="DA65" s="107"/>
      <c r="DB65" s="107"/>
      <c r="DC65" s="107"/>
      <c r="DD65" s="107"/>
      <c r="DE65" s="107"/>
      <c r="DF65" s="107"/>
      <c r="DG65" s="107"/>
      <c r="DH65" s="107"/>
      <c r="DI65" s="107"/>
      <c r="DJ65" s="107"/>
      <c r="DK65" s="107"/>
      <c r="DL65" s="107"/>
      <c r="DM65" s="107"/>
    </row>
    <row r="66" spans="2:117" x14ac:dyDescent="0.3">
      <c r="B66" s="90" t="s">
        <v>244</v>
      </c>
      <c r="C66" s="90"/>
      <c r="D66" s="90"/>
      <c r="E66" s="90"/>
      <c r="F66" s="90"/>
      <c r="G66" s="90"/>
      <c r="H66" s="90"/>
      <c r="I66" s="90"/>
      <c r="J66" s="90">
        <v>1</v>
      </c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  <c r="CR66" s="93"/>
      <c r="CS66" s="93"/>
      <c r="CT66" s="93"/>
      <c r="CU66" s="93"/>
      <c r="CV66" s="107"/>
      <c r="CW66" s="107"/>
      <c r="CX66" s="107"/>
      <c r="CY66" s="107"/>
      <c r="CZ66" s="107"/>
      <c r="DA66" s="107"/>
      <c r="DB66" s="107"/>
      <c r="DC66" s="107"/>
      <c r="DD66" s="107"/>
      <c r="DE66" s="107"/>
      <c r="DF66" s="107"/>
      <c r="DG66" s="107"/>
      <c r="DH66" s="107"/>
      <c r="DI66" s="107"/>
      <c r="DJ66" s="107"/>
      <c r="DK66" s="107"/>
      <c r="DL66" s="107"/>
      <c r="DM66" s="107"/>
    </row>
    <row r="67" spans="2:117" x14ac:dyDescent="0.3">
      <c r="B67" s="90" t="s">
        <v>1397</v>
      </c>
      <c r="C67" s="90"/>
      <c r="D67" s="90"/>
      <c r="E67" s="90"/>
      <c r="F67" s="90"/>
      <c r="G67" s="90"/>
      <c r="H67" s="90"/>
      <c r="I67" s="90"/>
      <c r="J67" s="90">
        <v>1</v>
      </c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CD67" s="93"/>
      <c r="CE67" s="93"/>
      <c r="CF67" s="93"/>
      <c r="CG67" s="93"/>
      <c r="CH67" s="93"/>
      <c r="CI67" s="93"/>
      <c r="CJ67" s="93"/>
      <c r="CK67" s="93"/>
      <c r="CL67" s="93"/>
      <c r="CM67" s="93"/>
      <c r="CN67" s="93"/>
      <c r="CO67" s="93"/>
      <c r="CP67" s="93"/>
      <c r="CQ67" s="93"/>
      <c r="CR67" s="93"/>
      <c r="CS67" s="93"/>
      <c r="CT67" s="93"/>
      <c r="CU67" s="93"/>
      <c r="CV67" s="107"/>
      <c r="CW67" s="107"/>
      <c r="CX67" s="107"/>
      <c r="CY67" s="107"/>
      <c r="CZ67" s="107"/>
      <c r="DA67" s="107"/>
      <c r="DB67" s="107"/>
      <c r="DC67" s="107"/>
      <c r="DD67" s="107"/>
      <c r="DE67" s="107"/>
      <c r="DF67" s="107"/>
      <c r="DG67" s="107"/>
      <c r="DH67" s="107"/>
      <c r="DI67" s="107"/>
      <c r="DJ67" s="107"/>
      <c r="DK67" s="107"/>
      <c r="DL67" s="107"/>
      <c r="DM67" s="107"/>
    </row>
    <row r="68" spans="2:117" x14ac:dyDescent="0.3">
      <c r="B68" s="90" t="s">
        <v>247</v>
      </c>
      <c r="C68" s="90"/>
      <c r="D68" s="90"/>
      <c r="E68" s="90"/>
      <c r="F68" s="90"/>
      <c r="G68" s="90"/>
      <c r="H68" s="90"/>
      <c r="I68" s="90"/>
      <c r="J68" s="90">
        <v>1</v>
      </c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CD68" s="93"/>
      <c r="CE68" s="93"/>
      <c r="CF68" s="93"/>
      <c r="CG68" s="93"/>
      <c r="CH68" s="93"/>
      <c r="CI68" s="93"/>
      <c r="CJ68" s="93"/>
      <c r="CK68" s="93"/>
      <c r="CL68" s="93"/>
      <c r="CM68" s="93"/>
      <c r="CN68" s="93"/>
      <c r="CO68" s="93"/>
      <c r="CP68" s="93"/>
      <c r="CQ68" s="93"/>
      <c r="CR68" s="93"/>
      <c r="CS68" s="93"/>
      <c r="CT68" s="93"/>
      <c r="CU68" s="93"/>
      <c r="CV68" s="107"/>
      <c r="CW68" s="107"/>
      <c r="CX68" s="107"/>
      <c r="CY68" s="107"/>
      <c r="CZ68" s="107"/>
      <c r="DA68" s="107"/>
      <c r="DB68" s="107"/>
      <c r="DC68" s="107"/>
      <c r="DD68" s="107"/>
      <c r="DE68" s="107"/>
      <c r="DF68" s="107"/>
      <c r="DG68" s="107"/>
      <c r="DH68" s="107"/>
      <c r="DI68" s="107"/>
      <c r="DJ68" s="107"/>
      <c r="DK68" s="107"/>
      <c r="DL68" s="107"/>
      <c r="DM68" s="107"/>
    </row>
    <row r="69" spans="2:117" x14ac:dyDescent="0.3">
      <c r="B69" s="90" t="s">
        <v>250</v>
      </c>
      <c r="C69" s="90"/>
      <c r="D69" s="90"/>
      <c r="E69" s="90"/>
      <c r="F69" s="90"/>
      <c r="G69" s="90"/>
      <c r="H69" s="90"/>
      <c r="I69" s="90"/>
      <c r="J69" s="90">
        <v>1</v>
      </c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  <c r="CV69" s="107"/>
      <c r="CW69" s="107"/>
      <c r="CX69" s="107"/>
      <c r="CY69" s="107"/>
      <c r="CZ69" s="107"/>
      <c r="DA69" s="107"/>
      <c r="DB69" s="107"/>
      <c r="DC69" s="107"/>
      <c r="DD69" s="107"/>
      <c r="DE69" s="107"/>
      <c r="DF69" s="107"/>
      <c r="DG69" s="107"/>
      <c r="DH69" s="107"/>
      <c r="DI69" s="107"/>
      <c r="DJ69" s="107"/>
      <c r="DK69" s="107"/>
      <c r="DL69" s="107"/>
      <c r="DM69" s="107"/>
    </row>
    <row r="70" spans="2:117" x14ac:dyDescent="0.3">
      <c r="B70" s="90" t="s">
        <v>1355</v>
      </c>
      <c r="C70" s="90"/>
      <c r="D70" s="90"/>
      <c r="E70" s="90"/>
      <c r="F70" s="90"/>
      <c r="G70" s="90"/>
      <c r="H70" s="90"/>
      <c r="I70" s="90"/>
      <c r="J70" s="90">
        <v>1</v>
      </c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  <c r="CQ70" s="93"/>
      <c r="CR70" s="93"/>
      <c r="CS70" s="93"/>
      <c r="CT70" s="93"/>
      <c r="CU70" s="93"/>
      <c r="CV70" s="107"/>
      <c r="CW70" s="107"/>
      <c r="CX70" s="107"/>
      <c r="CY70" s="107"/>
      <c r="CZ70" s="107"/>
      <c r="DA70" s="107"/>
      <c r="DB70" s="107"/>
      <c r="DC70" s="107"/>
      <c r="DD70" s="107"/>
      <c r="DE70" s="107"/>
      <c r="DF70" s="107"/>
      <c r="DG70" s="107"/>
      <c r="DH70" s="107"/>
      <c r="DI70" s="107"/>
      <c r="DJ70" s="107"/>
      <c r="DK70" s="107"/>
      <c r="DL70" s="107"/>
      <c r="DM70" s="107"/>
    </row>
    <row r="71" spans="2:117" x14ac:dyDescent="0.3">
      <c r="B71" s="90" t="s">
        <v>1398</v>
      </c>
      <c r="C71" s="90"/>
      <c r="D71" s="90"/>
      <c r="E71" s="90"/>
      <c r="F71" s="90"/>
      <c r="G71" s="90"/>
      <c r="H71" s="90"/>
      <c r="I71" s="90"/>
      <c r="J71" s="90">
        <v>1</v>
      </c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CD71" s="93"/>
      <c r="CE71" s="93"/>
      <c r="CF71" s="93"/>
      <c r="CG71" s="93"/>
      <c r="CH71" s="93"/>
      <c r="CI71" s="93"/>
      <c r="CJ71" s="93"/>
      <c r="CK71" s="93"/>
      <c r="CL71" s="93"/>
      <c r="CM71" s="93"/>
      <c r="CN71" s="93"/>
      <c r="CO71" s="93"/>
      <c r="CP71" s="93"/>
      <c r="CQ71" s="93"/>
      <c r="CR71" s="93"/>
      <c r="CS71" s="93"/>
      <c r="CT71" s="93"/>
      <c r="CU71" s="93"/>
      <c r="CV71" s="107"/>
      <c r="CW71" s="107"/>
      <c r="CX71" s="107"/>
      <c r="CY71" s="107"/>
      <c r="CZ71" s="107"/>
      <c r="DA71" s="107"/>
      <c r="DB71" s="107"/>
      <c r="DC71" s="107"/>
      <c r="DD71" s="107"/>
      <c r="DE71" s="107"/>
      <c r="DF71" s="107"/>
      <c r="DG71" s="107"/>
      <c r="DH71" s="107"/>
      <c r="DI71" s="107"/>
      <c r="DJ71" s="107"/>
      <c r="DK71" s="107"/>
      <c r="DL71" s="107"/>
      <c r="DM71" s="107"/>
    </row>
    <row r="72" spans="2:117" x14ac:dyDescent="0.3">
      <c r="B72" s="90" t="s">
        <v>621</v>
      </c>
      <c r="C72" s="90"/>
      <c r="D72" s="90"/>
      <c r="E72" s="90"/>
      <c r="F72" s="90"/>
      <c r="G72" s="90"/>
      <c r="H72" s="90"/>
      <c r="I72" s="90"/>
      <c r="J72" s="90">
        <v>1</v>
      </c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CD72" s="93"/>
      <c r="CE72" s="93"/>
      <c r="CF72" s="93"/>
      <c r="CG72" s="93"/>
      <c r="CH72" s="93"/>
      <c r="CI72" s="93"/>
      <c r="CJ72" s="93"/>
      <c r="CK72" s="93"/>
      <c r="CL72" s="93"/>
      <c r="CM72" s="93"/>
      <c r="CN72" s="93"/>
      <c r="CO72" s="93"/>
      <c r="CP72" s="93"/>
      <c r="CQ72" s="93"/>
      <c r="CR72" s="93"/>
      <c r="CS72" s="93"/>
      <c r="CT72" s="93"/>
      <c r="CU72" s="93"/>
      <c r="CV72" s="107"/>
      <c r="CW72" s="107"/>
      <c r="CX72" s="107"/>
      <c r="CY72" s="107"/>
      <c r="CZ72" s="107"/>
      <c r="DA72" s="107"/>
      <c r="DB72" s="107"/>
      <c r="DC72" s="107"/>
      <c r="DD72" s="107"/>
      <c r="DE72" s="107"/>
      <c r="DF72" s="107"/>
      <c r="DG72" s="107"/>
      <c r="DH72" s="107"/>
      <c r="DI72" s="107"/>
      <c r="DJ72" s="107"/>
      <c r="DK72" s="107"/>
      <c r="DL72" s="107"/>
      <c r="DM72" s="107"/>
    </row>
    <row r="73" spans="2:117" x14ac:dyDescent="0.3">
      <c r="B73" s="90" t="s">
        <v>622</v>
      </c>
      <c r="C73" s="90"/>
      <c r="D73" s="90"/>
      <c r="E73" s="90"/>
      <c r="F73" s="90"/>
      <c r="G73" s="90"/>
      <c r="H73" s="90"/>
      <c r="I73" s="90"/>
      <c r="J73" s="90">
        <v>1</v>
      </c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CD73" s="93"/>
      <c r="CE73" s="93"/>
      <c r="CF73" s="93"/>
      <c r="CG73" s="93"/>
      <c r="CH73" s="93"/>
      <c r="CI73" s="93"/>
      <c r="CJ73" s="93"/>
      <c r="CK73" s="93"/>
      <c r="CL73" s="93"/>
      <c r="CM73" s="93"/>
      <c r="CN73" s="93"/>
      <c r="CO73" s="93"/>
      <c r="CP73" s="93"/>
      <c r="CQ73" s="93"/>
      <c r="CR73" s="93"/>
      <c r="CS73" s="93"/>
      <c r="CT73" s="93"/>
      <c r="CU73" s="93"/>
      <c r="CV73" s="107"/>
      <c r="CW73" s="107"/>
      <c r="CX73" s="107"/>
      <c r="CY73" s="107"/>
      <c r="CZ73" s="107"/>
      <c r="DA73" s="107"/>
      <c r="DB73" s="107"/>
      <c r="DC73" s="107"/>
      <c r="DD73" s="107"/>
      <c r="DE73" s="107"/>
      <c r="DF73" s="107"/>
      <c r="DG73" s="107"/>
      <c r="DH73" s="107"/>
      <c r="DI73" s="107"/>
      <c r="DJ73" s="107"/>
      <c r="DK73" s="107"/>
      <c r="DL73" s="107"/>
      <c r="DM73" s="107"/>
    </row>
    <row r="74" spans="2:117" x14ac:dyDescent="0.3">
      <c r="B74" s="90" t="s">
        <v>256</v>
      </c>
      <c r="C74" s="90"/>
      <c r="D74" s="90"/>
      <c r="E74" s="90"/>
      <c r="F74" s="90"/>
      <c r="G74" s="90"/>
      <c r="H74" s="90"/>
      <c r="I74" s="90"/>
      <c r="J74" s="90">
        <v>1</v>
      </c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107"/>
      <c r="CW74" s="107"/>
      <c r="CX74" s="107"/>
      <c r="CY74" s="107"/>
      <c r="CZ74" s="107"/>
      <c r="DA74" s="107"/>
      <c r="DB74" s="107"/>
      <c r="DC74" s="107"/>
      <c r="DD74" s="107"/>
      <c r="DE74" s="107"/>
      <c r="DF74" s="107"/>
      <c r="DG74" s="107"/>
      <c r="DH74" s="107"/>
      <c r="DI74" s="107"/>
      <c r="DJ74" s="107"/>
      <c r="DK74" s="107"/>
      <c r="DL74" s="107"/>
      <c r="DM74" s="107"/>
    </row>
    <row r="75" spans="2:117" x14ac:dyDescent="0.3">
      <c r="B75" s="90" t="s">
        <v>258</v>
      </c>
      <c r="C75" s="90"/>
      <c r="D75" s="90"/>
      <c r="E75" s="90"/>
      <c r="F75" s="90"/>
      <c r="G75" s="90"/>
      <c r="H75" s="90"/>
      <c r="I75" s="90"/>
      <c r="J75" s="90">
        <v>1</v>
      </c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CD75" s="93"/>
      <c r="CE75" s="93"/>
      <c r="CF75" s="93"/>
      <c r="CG75" s="93"/>
      <c r="CH75" s="93"/>
      <c r="CI75" s="93"/>
      <c r="CJ75" s="93"/>
      <c r="CK75" s="93"/>
      <c r="CL75" s="93"/>
      <c r="CM75" s="93"/>
      <c r="CN75" s="93"/>
      <c r="CO75" s="93"/>
      <c r="CP75" s="93"/>
      <c r="CQ75" s="93"/>
      <c r="CR75" s="93"/>
      <c r="CS75" s="93"/>
      <c r="CT75" s="93"/>
      <c r="CU75" s="93"/>
      <c r="CV75" s="107"/>
      <c r="CW75" s="107"/>
      <c r="CX75" s="107"/>
      <c r="CY75" s="107"/>
      <c r="CZ75" s="107"/>
      <c r="DA75" s="107"/>
      <c r="DB75" s="107"/>
      <c r="DC75" s="107"/>
      <c r="DD75" s="107"/>
      <c r="DE75" s="107"/>
      <c r="DF75" s="107"/>
      <c r="DG75" s="107"/>
      <c r="DH75" s="107"/>
      <c r="DI75" s="107"/>
      <c r="DJ75" s="107"/>
      <c r="DK75" s="107"/>
      <c r="DL75" s="107"/>
      <c r="DM75" s="107"/>
    </row>
    <row r="76" spans="2:117" x14ac:dyDescent="0.3">
      <c r="B76" s="90" t="s">
        <v>259</v>
      </c>
      <c r="C76" s="90"/>
      <c r="D76" s="90"/>
      <c r="E76" s="90"/>
      <c r="F76" s="90"/>
      <c r="G76" s="90"/>
      <c r="H76" s="90"/>
      <c r="I76" s="90"/>
      <c r="J76" s="90">
        <v>1</v>
      </c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CD76" s="93"/>
      <c r="CE76" s="93"/>
      <c r="CF76" s="93"/>
      <c r="CG76" s="93"/>
      <c r="CH76" s="93"/>
      <c r="CI76" s="93"/>
      <c r="CJ76" s="93"/>
      <c r="CK76" s="93"/>
      <c r="CL76" s="93"/>
      <c r="CM76" s="93"/>
      <c r="CN76" s="93"/>
      <c r="CO76" s="93"/>
      <c r="CP76" s="93"/>
      <c r="CQ76" s="93"/>
      <c r="CR76" s="93"/>
      <c r="CS76" s="93"/>
      <c r="CT76" s="93"/>
      <c r="CU76" s="93"/>
      <c r="CV76" s="107"/>
      <c r="CW76" s="107"/>
      <c r="CX76" s="107"/>
      <c r="CY76" s="107"/>
      <c r="CZ76" s="107"/>
      <c r="DA76" s="107"/>
      <c r="DB76" s="107"/>
      <c r="DC76" s="107"/>
      <c r="DD76" s="107"/>
      <c r="DE76" s="107"/>
      <c r="DF76" s="107"/>
      <c r="DG76" s="107"/>
      <c r="DH76" s="107"/>
      <c r="DI76" s="107"/>
      <c r="DJ76" s="107"/>
      <c r="DK76" s="107"/>
      <c r="DL76" s="107"/>
      <c r="DM76" s="107"/>
    </row>
    <row r="77" spans="2:117" x14ac:dyDescent="0.3">
      <c r="B77" s="90" t="s">
        <v>623</v>
      </c>
      <c r="C77" s="90"/>
      <c r="D77" s="90"/>
      <c r="E77" s="90"/>
      <c r="F77" s="90"/>
      <c r="G77" s="90"/>
      <c r="H77" s="90"/>
      <c r="I77" s="90"/>
      <c r="J77" s="90">
        <v>1</v>
      </c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CD77" s="93"/>
      <c r="CE77" s="93"/>
      <c r="CF77" s="93"/>
      <c r="CG77" s="93"/>
      <c r="CH77" s="93"/>
      <c r="CI77" s="93"/>
      <c r="CJ77" s="93"/>
      <c r="CK77" s="93"/>
      <c r="CL77" s="93"/>
      <c r="CM77" s="93"/>
      <c r="CN77" s="93"/>
      <c r="CO77" s="93"/>
      <c r="CP77" s="93"/>
      <c r="CQ77" s="93"/>
      <c r="CR77" s="93"/>
      <c r="CS77" s="93"/>
      <c r="CT77" s="93"/>
      <c r="CU77" s="93"/>
      <c r="CV77" s="107"/>
      <c r="CW77" s="107"/>
      <c r="CX77" s="107"/>
      <c r="CY77" s="107"/>
      <c r="CZ77" s="107"/>
      <c r="DA77" s="107"/>
      <c r="DB77" s="107"/>
      <c r="DC77" s="107"/>
      <c r="DD77" s="107"/>
      <c r="DE77" s="107"/>
      <c r="DF77" s="107"/>
      <c r="DG77" s="107"/>
      <c r="DH77" s="107"/>
      <c r="DI77" s="107"/>
      <c r="DJ77" s="107"/>
      <c r="DK77" s="107"/>
      <c r="DL77" s="107"/>
      <c r="DM77" s="107"/>
    </row>
    <row r="78" spans="2:117" x14ac:dyDescent="0.3">
      <c r="B78" s="90" t="s">
        <v>1046</v>
      </c>
      <c r="C78" s="90"/>
      <c r="D78" s="90"/>
      <c r="E78" s="90"/>
      <c r="F78" s="90"/>
      <c r="G78" s="90"/>
      <c r="H78" s="90"/>
      <c r="I78" s="90"/>
      <c r="J78" s="90">
        <v>1</v>
      </c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CD78" s="93"/>
      <c r="CE78" s="93"/>
      <c r="CF78" s="93"/>
      <c r="CG78" s="93"/>
      <c r="CH78" s="93"/>
      <c r="CI78" s="93"/>
      <c r="CJ78" s="93"/>
      <c r="CK78" s="93"/>
      <c r="CL78" s="93"/>
      <c r="CM78" s="93"/>
      <c r="CN78" s="93"/>
      <c r="CO78" s="93"/>
      <c r="CP78" s="93"/>
      <c r="CQ78" s="93"/>
      <c r="CR78" s="93"/>
      <c r="CS78" s="93"/>
      <c r="CT78" s="93"/>
      <c r="CU78" s="93"/>
      <c r="CV78" s="107"/>
      <c r="CW78" s="107"/>
      <c r="CX78" s="107"/>
      <c r="CY78" s="107"/>
      <c r="CZ78" s="107"/>
      <c r="DA78" s="107"/>
      <c r="DB78" s="107"/>
      <c r="DC78" s="107"/>
      <c r="DD78" s="107"/>
      <c r="DE78" s="107"/>
      <c r="DF78" s="107"/>
      <c r="DG78" s="107"/>
      <c r="DH78" s="107"/>
      <c r="DI78" s="107"/>
      <c r="DJ78" s="107"/>
      <c r="DK78" s="107"/>
      <c r="DL78" s="107"/>
      <c r="DM78" s="107"/>
    </row>
    <row r="79" spans="2:117" x14ac:dyDescent="0.3">
      <c r="B79" s="117" t="s">
        <v>1389</v>
      </c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>
        <v>1</v>
      </c>
      <c r="X79" s="117"/>
      <c r="Y79" s="117"/>
      <c r="Z79" s="117"/>
      <c r="AA79" s="117"/>
      <c r="AB79" s="117"/>
      <c r="AC79" s="117"/>
      <c r="AD79" s="117"/>
      <c r="AE79" s="117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CD79" s="93"/>
      <c r="CE79" s="93"/>
      <c r="CF79" s="93"/>
      <c r="CG79" s="93"/>
      <c r="CH79" s="93"/>
      <c r="CI79" s="93"/>
      <c r="CJ79" s="93"/>
      <c r="CK79" s="93"/>
      <c r="CL79" s="93"/>
      <c r="CM79" s="93"/>
      <c r="CN79" s="93"/>
      <c r="CO79" s="93"/>
      <c r="CP79" s="93"/>
      <c r="CQ79" s="93"/>
      <c r="CR79" s="93"/>
      <c r="CS79" s="93"/>
      <c r="CT79" s="93"/>
      <c r="CU79" s="93"/>
      <c r="CV79" s="107"/>
      <c r="CW79" s="107"/>
      <c r="CX79" s="107"/>
      <c r="CY79" s="107"/>
      <c r="CZ79" s="107"/>
      <c r="DA79" s="107"/>
      <c r="DB79" s="107"/>
      <c r="DC79" s="107"/>
      <c r="DD79" s="107"/>
      <c r="DE79" s="107"/>
      <c r="DF79" s="107"/>
      <c r="DG79" s="107"/>
      <c r="DH79" s="107"/>
      <c r="DI79" s="107"/>
      <c r="DJ79" s="107"/>
      <c r="DK79" s="107"/>
      <c r="DL79" s="107"/>
      <c r="DM79" s="107"/>
    </row>
    <row r="80" spans="2:117" x14ac:dyDescent="0.3">
      <c r="B80" s="117" t="s">
        <v>1390</v>
      </c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>
        <v>1</v>
      </c>
      <c r="Y80" s="117"/>
      <c r="Z80" s="117"/>
      <c r="AA80" s="117"/>
      <c r="AB80" s="117"/>
      <c r="AC80" s="117"/>
      <c r="AD80" s="117"/>
      <c r="AE80" s="117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CD80" s="93"/>
      <c r="CE80" s="93"/>
      <c r="CF80" s="93"/>
      <c r="CG80" s="93"/>
      <c r="CH80" s="93"/>
      <c r="CI80" s="93"/>
      <c r="CJ80" s="93"/>
      <c r="CK80" s="93"/>
      <c r="CL80" s="93"/>
      <c r="CM80" s="93"/>
      <c r="CN80" s="93"/>
      <c r="CO80" s="93"/>
      <c r="CP80" s="93"/>
      <c r="CQ80" s="93"/>
      <c r="CR80" s="93"/>
      <c r="CS80" s="93"/>
      <c r="CT80" s="93"/>
      <c r="CU80" s="93"/>
      <c r="CV80" s="107"/>
      <c r="CW80" s="107"/>
      <c r="CX80" s="107"/>
      <c r="CY80" s="107"/>
      <c r="CZ80" s="107"/>
      <c r="DA80" s="107"/>
      <c r="DB80" s="107"/>
      <c r="DC80" s="107"/>
      <c r="DD80" s="107"/>
      <c r="DE80" s="107"/>
      <c r="DF80" s="107"/>
      <c r="DG80" s="107"/>
      <c r="DH80" s="107"/>
      <c r="DI80" s="107"/>
      <c r="DJ80" s="107"/>
      <c r="DK80" s="107"/>
      <c r="DL80" s="107"/>
      <c r="DM80" s="107"/>
    </row>
    <row r="81" spans="2:117" x14ac:dyDescent="0.3">
      <c r="B81" s="117" t="s">
        <v>1391</v>
      </c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>
        <v>1</v>
      </c>
      <c r="Z81" s="117"/>
      <c r="AA81" s="117"/>
      <c r="AB81" s="117"/>
      <c r="AC81" s="117"/>
      <c r="AD81" s="117"/>
      <c r="AE81" s="117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CD81" s="93"/>
      <c r="CE81" s="93"/>
      <c r="CF81" s="93"/>
      <c r="CG81" s="93"/>
      <c r="CH81" s="93"/>
      <c r="CI81" s="93"/>
      <c r="CJ81" s="93"/>
      <c r="CK81" s="93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107"/>
      <c r="CW81" s="107"/>
      <c r="CX81" s="107"/>
      <c r="CY81" s="107"/>
      <c r="CZ81" s="107"/>
      <c r="DA81" s="107"/>
      <c r="DB81" s="107"/>
      <c r="DC81" s="107"/>
      <c r="DD81" s="107"/>
      <c r="DE81" s="107"/>
      <c r="DF81" s="107"/>
      <c r="DG81" s="107"/>
      <c r="DH81" s="107"/>
      <c r="DI81" s="107"/>
      <c r="DJ81" s="107"/>
      <c r="DK81" s="107"/>
      <c r="DL81" s="107"/>
      <c r="DM81" s="107"/>
    </row>
    <row r="82" spans="2:117" x14ac:dyDescent="0.3">
      <c r="B82" s="117" t="s">
        <v>1392</v>
      </c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>
        <v>1</v>
      </c>
      <c r="AA82" s="117"/>
      <c r="AB82" s="117"/>
      <c r="AC82" s="117"/>
      <c r="AD82" s="117"/>
      <c r="AE82" s="117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CD82" s="93"/>
      <c r="CE82" s="93"/>
      <c r="CF82" s="93"/>
      <c r="CG82" s="93"/>
      <c r="CH82" s="93"/>
      <c r="CI82" s="93"/>
      <c r="CJ82" s="93"/>
      <c r="CK82" s="93"/>
      <c r="CL82" s="93"/>
      <c r="CM82" s="93"/>
      <c r="CN82" s="93"/>
      <c r="CO82" s="93"/>
      <c r="CP82" s="93"/>
      <c r="CQ82" s="93"/>
      <c r="CR82" s="93"/>
      <c r="CS82" s="93"/>
      <c r="CT82" s="93"/>
      <c r="CU82" s="93"/>
      <c r="CV82" s="107"/>
      <c r="CW82" s="107"/>
      <c r="CX82" s="107"/>
      <c r="CY82" s="107"/>
      <c r="CZ82" s="107"/>
      <c r="DA82" s="107"/>
      <c r="DB82" s="107"/>
      <c r="DC82" s="107"/>
      <c r="DD82" s="107"/>
      <c r="DE82" s="107"/>
      <c r="DF82" s="107"/>
      <c r="DG82" s="107"/>
      <c r="DH82" s="107"/>
      <c r="DI82" s="107"/>
      <c r="DJ82" s="107"/>
      <c r="DK82" s="107"/>
      <c r="DL82" s="107"/>
      <c r="DM82" s="107"/>
    </row>
    <row r="83" spans="2:117" x14ac:dyDescent="0.3">
      <c r="B83" s="117" t="s">
        <v>1393</v>
      </c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>
        <v>1</v>
      </c>
      <c r="AB83" s="117"/>
      <c r="AC83" s="117"/>
      <c r="AD83" s="117"/>
      <c r="AE83" s="117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CD83" s="93"/>
      <c r="CE83" s="93"/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107"/>
      <c r="CW83" s="107"/>
      <c r="CX83" s="107"/>
      <c r="CY83" s="107"/>
      <c r="CZ83" s="107"/>
      <c r="DA83" s="107"/>
      <c r="DB83" s="107"/>
      <c r="DC83" s="107"/>
      <c r="DD83" s="107"/>
      <c r="DE83" s="107"/>
      <c r="DF83" s="107"/>
      <c r="DG83" s="107"/>
      <c r="DH83" s="107"/>
      <c r="DI83" s="107"/>
      <c r="DJ83" s="107"/>
      <c r="DK83" s="107"/>
      <c r="DL83" s="107"/>
      <c r="DM83" s="107"/>
    </row>
    <row r="84" spans="2:117" x14ac:dyDescent="0.3">
      <c r="B84" s="117" t="s">
        <v>1394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>
        <v>1</v>
      </c>
      <c r="AD84" s="117"/>
      <c r="AE84" s="117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CD84" s="93"/>
      <c r="CE84" s="93"/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3"/>
      <c r="CQ84" s="93"/>
      <c r="CR84" s="93"/>
      <c r="CS84" s="93"/>
      <c r="CT84" s="93"/>
      <c r="CU84" s="93"/>
      <c r="CV84" s="107"/>
      <c r="CW84" s="107"/>
      <c r="CX84" s="107"/>
      <c r="CY84" s="107"/>
      <c r="CZ84" s="107"/>
      <c r="DA84" s="107"/>
      <c r="DB84" s="107"/>
      <c r="DC84" s="107"/>
      <c r="DD84" s="107"/>
      <c r="DE84" s="107"/>
      <c r="DF84" s="107"/>
      <c r="DG84" s="107"/>
      <c r="DH84" s="107"/>
      <c r="DI84" s="107"/>
      <c r="DJ84" s="107"/>
      <c r="DK84" s="107"/>
      <c r="DL84" s="107"/>
      <c r="DM84" s="107"/>
    </row>
    <row r="85" spans="2:117" x14ac:dyDescent="0.3">
      <c r="B85" s="117" t="s">
        <v>1395</v>
      </c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>
        <v>1</v>
      </c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CD85" s="93"/>
      <c r="CE85" s="93"/>
      <c r="CF85" s="93"/>
      <c r="CG85" s="93"/>
      <c r="CH85" s="93"/>
      <c r="CI85" s="93"/>
      <c r="CJ85" s="93"/>
      <c r="CK85" s="93"/>
      <c r="CL85" s="93"/>
      <c r="CM85" s="93"/>
      <c r="CN85" s="93"/>
      <c r="CO85" s="93"/>
      <c r="CP85" s="93"/>
      <c r="CQ85" s="93"/>
      <c r="CR85" s="93"/>
      <c r="CS85" s="93"/>
      <c r="CT85" s="93"/>
      <c r="CU85" s="93"/>
      <c r="CV85" s="107"/>
      <c r="CW85" s="107"/>
      <c r="CX85" s="107"/>
      <c r="CY85" s="107"/>
      <c r="CZ85" s="107"/>
      <c r="DA85" s="107"/>
      <c r="DB85" s="107"/>
      <c r="DC85" s="107"/>
      <c r="DD85" s="107"/>
      <c r="DE85" s="107"/>
      <c r="DF85" s="107"/>
      <c r="DG85" s="107"/>
      <c r="DH85" s="107"/>
      <c r="DI85" s="107"/>
      <c r="DJ85" s="107"/>
      <c r="DK85" s="107"/>
      <c r="DL85" s="107"/>
      <c r="DM85" s="107"/>
    </row>
    <row r="86" spans="2:117" x14ac:dyDescent="0.3">
      <c r="B86" s="90" t="s">
        <v>1382</v>
      </c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>
        <v>1</v>
      </c>
      <c r="X86" s="90"/>
      <c r="Y86" s="90"/>
      <c r="Z86" s="90"/>
      <c r="AA86" s="90"/>
      <c r="AB86" s="90"/>
      <c r="AC86" s="90"/>
      <c r="AD86" s="90"/>
      <c r="AE86" s="90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CD86" s="93"/>
      <c r="CE86" s="93"/>
      <c r="CF86" s="93"/>
      <c r="CG86" s="93"/>
      <c r="CH86" s="93"/>
      <c r="CI86" s="93"/>
      <c r="CJ86" s="93"/>
      <c r="CK86" s="93"/>
      <c r="CL86" s="93"/>
      <c r="CM86" s="93"/>
      <c r="CN86" s="93"/>
      <c r="CO86" s="93"/>
      <c r="CP86" s="93"/>
      <c r="CQ86" s="93"/>
      <c r="CR86" s="93"/>
      <c r="CS86" s="93"/>
      <c r="CT86" s="93"/>
      <c r="CU86" s="93"/>
      <c r="CV86" s="107"/>
      <c r="CW86" s="107"/>
      <c r="CX86" s="107"/>
      <c r="CY86" s="107"/>
      <c r="CZ86" s="107"/>
      <c r="DA86" s="107"/>
      <c r="DB86" s="107"/>
      <c r="DC86" s="107"/>
      <c r="DD86" s="107"/>
      <c r="DE86" s="107"/>
      <c r="DF86" s="107"/>
      <c r="DG86" s="107"/>
      <c r="DH86" s="107"/>
      <c r="DI86" s="107"/>
      <c r="DJ86" s="107"/>
      <c r="DK86" s="107"/>
      <c r="DL86" s="107"/>
      <c r="DM86" s="107"/>
    </row>
    <row r="87" spans="2:117" x14ac:dyDescent="0.3">
      <c r="B87" s="90" t="s">
        <v>1383</v>
      </c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>
        <v>1</v>
      </c>
      <c r="Y87" s="90"/>
      <c r="Z87" s="90"/>
      <c r="AA87" s="90"/>
      <c r="AB87" s="90"/>
      <c r="AC87" s="90"/>
      <c r="AD87" s="90"/>
      <c r="AE87" s="90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CD87" s="93"/>
      <c r="CE87" s="93"/>
      <c r="CF87" s="93"/>
      <c r="CG87" s="93"/>
      <c r="CH87" s="93"/>
      <c r="CI87" s="93"/>
      <c r="CJ87" s="93"/>
      <c r="CK87" s="93"/>
      <c r="CL87" s="93"/>
      <c r="CM87" s="93"/>
      <c r="CN87" s="93"/>
      <c r="CO87" s="93"/>
      <c r="CP87" s="93"/>
      <c r="CQ87" s="93"/>
      <c r="CR87" s="93"/>
      <c r="CS87" s="93"/>
      <c r="CT87" s="93"/>
      <c r="CU87" s="93"/>
      <c r="CV87" s="107"/>
      <c r="CW87" s="107"/>
      <c r="CX87" s="107"/>
      <c r="CY87" s="107"/>
      <c r="CZ87" s="107"/>
      <c r="DA87" s="107"/>
      <c r="DB87" s="107"/>
      <c r="DC87" s="107"/>
      <c r="DD87" s="107"/>
      <c r="DE87" s="107"/>
      <c r="DF87" s="107"/>
      <c r="DG87" s="107"/>
      <c r="DH87" s="107"/>
      <c r="DI87" s="107"/>
      <c r="DJ87" s="107"/>
      <c r="DK87" s="107"/>
      <c r="DL87" s="107"/>
      <c r="DM87" s="107"/>
    </row>
    <row r="88" spans="2:117" x14ac:dyDescent="0.3">
      <c r="B88" s="90" t="s">
        <v>1384</v>
      </c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>
        <v>1</v>
      </c>
      <c r="Z88" s="90"/>
      <c r="AA88" s="90"/>
      <c r="AB88" s="90"/>
      <c r="AC88" s="90"/>
      <c r="AD88" s="90"/>
      <c r="AE88" s="90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CD88" s="93"/>
      <c r="CE88" s="93"/>
      <c r="CF88" s="93"/>
      <c r="CG88" s="93"/>
      <c r="CH88" s="93"/>
      <c r="CI88" s="93"/>
      <c r="CJ88" s="93"/>
      <c r="CK88" s="93"/>
      <c r="CL88" s="93"/>
      <c r="CM88" s="93"/>
      <c r="CN88" s="93"/>
      <c r="CO88" s="93"/>
      <c r="CP88" s="93"/>
      <c r="CQ88" s="93"/>
      <c r="CR88" s="93"/>
      <c r="CS88" s="93"/>
      <c r="CT88" s="93"/>
      <c r="CU88" s="93"/>
      <c r="CV88" s="107"/>
      <c r="CW88" s="107"/>
      <c r="CX88" s="107"/>
      <c r="CY88" s="107"/>
      <c r="CZ88" s="107"/>
      <c r="DA88" s="107"/>
      <c r="DB88" s="107"/>
      <c r="DC88" s="107"/>
      <c r="DD88" s="107"/>
      <c r="DE88" s="107"/>
      <c r="DF88" s="107"/>
      <c r="DG88" s="107"/>
      <c r="DH88" s="107"/>
      <c r="DI88" s="107"/>
      <c r="DJ88" s="107"/>
      <c r="DK88" s="107"/>
      <c r="DL88" s="107"/>
      <c r="DM88" s="107"/>
    </row>
    <row r="89" spans="2:117" x14ac:dyDescent="0.3">
      <c r="B89" s="90" t="s">
        <v>1385</v>
      </c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>
        <v>1</v>
      </c>
      <c r="AA89" s="90"/>
      <c r="AB89" s="90"/>
      <c r="AC89" s="90"/>
      <c r="AD89" s="90"/>
      <c r="AE89" s="90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CD89" s="93"/>
      <c r="CE89" s="93"/>
      <c r="CF89" s="93"/>
      <c r="CG89" s="93"/>
      <c r="CH89" s="93"/>
      <c r="CI89" s="93"/>
      <c r="CJ89" s="93"/>
      <c r="CK89" s="93"/>
      <c r="CL89" s="93"/>
      <c r="CM89" s="93"/>
      <c r="CN89" s="93"/>
      <c r="CO89" s="93"/>
      <c r="CP89" s="93"/>
      <c r="CQ89" s="93"/>
      <c r="CR89" s="93"/>
      <c r="CS89" s="93"/>
      <c r="CT89" s="93"/>
      <c r="CU89" s="93"/>
      <c r="CV89" s="107"/>
      <c r="CW89" s="107"/>
      <c r="CX89" s="107"/>
      <c r="CY89" s="107"/>
      <c r="CZ89" s="107"/>
      <c r="DA89" s="107"/>
      <c r="DB89" s="107"/>
      <c r="DC89" s="107"/>
      <c r="DD89" s="107"/>
      <c r="DE89" s="107"/>
      <c r="DF89" s="107"/>
      <c r="DG89" s="107"/>
      <c r="DH89" s="107"/>
      <c r="DI89" s="107"/>
      <c r="DJ89" s="107"/>
      <c r="DK89" s="107"/>
      <c r="DL89" s="107"/>
      <c r="DM89" s="107"/>
    </row>
    <row r="90" spans="2:117" x14ac:dyDescent="0.3">
      <c r="B90" s="90" t="s">
        <v>1386</v>
      </c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>
        <v>1</v>
      </c>
      <c r="AB90" s="90"/>
      <c r="AC90" s="90"/>
      <c r="AD90" s="90"/>
      <c r="AE90" s="90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CD90" s="93"/>
      <c r="CE90" s="93"/>
      <c r="CF90" s="93"/>
      <c r="CG90" s="93"/>
      <c r="CH90" s="93"/>
      <c r="CI90" s="93"/>
      <c r="CJ90" s="93"/>
      <c r="CK90" s="93"/>
      <c r="CL90" s="93"/>
      <c r="CM90" s="93"/>
      <c r="CN90" s="93"/>
      <c r="CO90" s="93"/>
      <c r="CP90" s="93"/>
      <c r="CQ90" s="93"/>
      <c r="CR90" s="93"/>
      <c r="CS90" s="93"/>
      <c r="CT90" s="93"/>
      <c r="CU90" s="93"/>
      <c r="CV90" s="107"/>
      <c r="CW90" s="107"/>
      <c r="CX90" s="107"/>
      <c r="CY90" s="107"/>
      <c r="CZ90" s="107"/>
      <c r="DA90" s="107"/>
      <c r="DB90" s="107"/>
      <c r="DC90" s="107"/>
      <c r="DD90" s="107"/>
      <c r="DE90" s="107"/>
      <c r="DF90" s="107"/>
      <c r="DG90" s="107"/>
      <c r="DH90" s="107"/>
      <c r="DI90" s="107"/>
      <c r="DJ90" s="107"/>
      <c r="DK90" s="107"/>
      <c r="DL90" s="107"/>
      <c r="DM90" s="107"/>
    </row>
    <row r="91" spans="2:117" x14ac:dyDescent="0.3">
      <c r="B91" s="90" t="s">
        <v>1387</v>
      </c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>
        <v>1</v>
      </c>
      <c r="AD91" s="90"/>
      <c r="AE91" s="90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CD91" s="93"/>
      <c r="CE91" s="93"/>
      <c r="CF91" s="93"/>
      <c r="CG91" s="93"/>
      <c r="CH91" s="93"/>
      <c r="CI91" s="93"/>
      <c r="CJ91" s="93"/>
      <c r="CK91" s="93"/>
      <c r="CL91" s="93"/>
      <c r="CM91" s="93"/>
      <c r="CN91" s="93"/>
      <c r="CO91" s="93"/>
      <c r="CP91" s="93"/>
      <c r="CQ91" s="93"/>
      <c r="CR91" s="93"/>
      <c r="CS91" s="93"/>
      <c r="CT91" s="93"/>
      <c r="CU91" s="93"/>
      <c r="CV91" s="107"/>
      <c r="CW91" s="107"/>
      <c r="CX91" s="107"/>
      <c r="CY91" s="107"/>
      <c r="CZ91" s="107"/>
      <c r="DA91" s="107"/>
      <c r="DB91" s="107"/>
      <c r="DC91" s="107"/>
      <c r="DD91" s="107"/>
      <c r="DE91" s="107"/>
      <c r="DF91" s="107"/>
      <c r="DG91" s="107"/>
      <c r="DH91" s="107"/>
      <c r="DI91" s="107"/>
      <c r="DJ91" s="107"/>
      <c r="DK91" s="107"/>
      <c r="DL91" s="107"/>
      <c r="DM91" s="107"/>
    </row>
    <row r="92" spans="2:117" x14ac:dyDescent="0.3">
      <c r="B92" s="90" t="s">
        <v>1388</v>
      </c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>
        <v>1</v>
      </c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CD92" s="93"/>
      <c r="CE92" s="93"/>
      <c r="CF92" s="93"/>
      <c r="CG92" s="93"/>
      <c r="CH92" s="93"/>
      <c r="CI92" s="93"/>
      <c r="CJ92" s="93"/>
      <c r="CK92" s="93"/>
      <c r="CL92" s="93"/>
      <c r="CM92" s="93"/>
      <c r="CN92" s="93"/>
      <c r="CO92" s="93"/>
      <c r="CP92" s="93"/>
      <c r="CQ92" s="93"/>
      <c r="CR92" s="93"/>
      <c r="CS92" s="93"/>
      <c r="CT92" s="93"/>
      <c r="CU92" s="93"/>
      <c r="CV92" s="107"/>
      <c r="CW92" s="107"/>
      <c r="CX92" s="107"/>
      <c r="CY92" s="107"/>
      <c r="CZ92" s="107"/>
      <c r="DA92" s="107"/>
      <c r="DB92" s="107"/>
      <c r="DC92" s="107"/>
      <c r="DD92" s="107"/>
      <c r="DE92" s="107"/>
      <c r="DF92" s="107"/>
      <c r="DG92" s="107"/>
      <c r="DH92" s="107"/>
      <c r="DI92" s="107"/>
      <c r="DJ92" s="107"/>
      <c r="DK92" s="107"/>
      <c r="DL92" s="107"/>
      <c r="DM92" s="107"/>
    </row>
    <row r="93" spans="2:117" x14ac:dyDescent="0.3">
      <c r="B93" s="91" t="s">
        <v>834</v>
      </c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>
        <v>1</v>
      </c>
      <c r="N93" s="91">
        <v>1</v>
      </c>
      <c r="O93" s="91">
        <v>1</v>
      </c>
      <c r="P93" s="91">
        <v>1</v>
      </c>
      <c r="Q93" s="91">
        <v>1</v>
      </c>
      <c r="R93" s="91">
        <v>1</v>
      </c>
      <c r="S93" s="91">
        <v>1</v>
      </c>
      <c r="T93" s="91">
        <v>1</v>
      </c>
      <c r="U93" s="91">
        <v>1</v>
      </c>
      <c r="V93" s="91">
        <v>1</v>
      </c>
      <c r="W93" s="91"/>
      <c r="X93" s="91"/>
      <c r="Y93" s="91"/>
      <c r="Z93" s="91"/>
      <c r="AA93" s="91"/>
      <c r="AB93" s="91">
        <v>1</v>
      </c>
      <c r="AC93" s="91"/>
      <c r="AD93" s="91">
        <v>1</v>
      </c>
      <c r="AE93" s="91"/>
      <c r="AF93" s="90">
        <v>1</v>
      </c>
      <c r="AG93" s="90">
        <v>1</v>
      </c>
      <c r="AH93" s="90">
        <v>1</v>
      </c>
      <c r="AI93" s="90">
        <v>1</v>
      </c>
      <c r="AJ93" s="90">
        <v>1</v>
      </c>
      <c r="AK93" s="90">
        <v>1</v>
      </c>
      <c r="AL93" s="90">
        <v>1</v>
      </c>
      <c r="AM93" s="91"/>
      <c r="AN93" s="91"/>
      <c r="AO93" s="91"/>
      <c r="AP93" s="91"/>
      <c r="AQ93" s="91"/>
      <c r="AR93" s="91"/>
      <c r="AS93" s="91"/>
      <c r="CD93" s="93"/>
      <c r="CE93" s="93"/>
      <c r="CF93" s="93"/>
      <c r="CG93" s="93"/>
      <c r="CH93" s="93"/>
      <c r="CI93" s="93"/>
      <c r="CJ93" s="93"/>
      <c r="CK93" s="93"/>
      <c r="CL93" s="93"/>
      <c r="CM93" s="93"/>
      <c r="CN93" s="93"/>
      <c r="CO93" s="93"/>
      <c r="CP93" s="93"/>
      <c r="CQ93" s="93"/>
      <c r="CR93" s="93"/>
      <c r="CS93" s="93"/>
      <c r="CT93" s="93"/>
      <c r="CU93" s="93"/>
      <c r="CV93" s="107"/>
      <c r="CW93" s="107"/>
      <c r="CX93" s="107"/>
      <c r="CY93" s="107"/>
      <c r="CZ93" s="107"/>
      <c r="DA93" s="107"/>
      <c r="DB93" s="107"/>
      <c r="DC93" s="107"/>
      <c r="DD93" s="107"/>
      <c r="DE93" s="107"/>
      <c r="DF93" s="107"/>
      <c r="DG93" s="107"/>
      <c r="DH93" s="107"/>
      <c r="DI93" s="107"/>
      <c r="DJ93" s="107"/>
      <c r="DK93" s="107"/>
      <c r="DL93" s="107"/>
      <c r="DM93" s="107"/>
    </row>
    <row r="94" spans="2:117" x14ac:dyDescent="0.3">
      <c r="B94" s="91" t="s">
        <v>828</v>
      </c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>
        <v>1</v>
      </c>
      <c r="N94" s="91">
        <v>1</v>
      </c>
      <c r="O94" s="91">
        <v>1</v>
      </c>
      <c r="P94" s="91">
        <v>1</v>
      </c>
      <c r="Q94" s="91">
        <v>1</v>
      </c>
      <c r="R94" s="91">
        <v>1</v>
      </c>
      <c r="S94" s="91">
        <v>1</v>
      </c>
      <c r="T94" s="91">
        <v>1</v>
      </c>
      <c r="U94" s="91">
        <v>1</v>
      </c>
      <c r="V94" s="91">
        <v>1</v>
      </c>
      <c r="W94" s="91"/>
      <c r="X94" s="91"/>
      <c r="Y94" s="91"/>
      <c r="Z94" s="91"/>
      <c r="AA94" s="91"/>
      <c r="AB94" s="91">
        <v>1</v>
      </c>
      <c r="AC94" s="91"/>
      <c r="AD94" s="91">
        <v>1</v>
      </c>
      <c r="AE94" s="91"/>
      <c r="AF94" s="90">
        <v>1</v>
      </c>
      <c r="AG94" s="90">
        <v>1</v>
      </c>
      <c r="AH94" s="90">
        <v>1</v>
      </c>
      <c r="AI94" s="90">
        <v>1</v>
      </c>
      <c r="AJ94" s="90">
        <v>1</v>
      </c>
      <c r="AK94" s="90">
        <v>1</v>
      </c>
      <c r="AL94" s="90">
        <v>1</v>
      </c>
      <c r="AM94" s="91"/>
      <c r="AN94" s="91"/>
      <c r="AO94" s="91"/>
      <c r="AP94" s="91"/>
      <c r="AQ94" s="91"/>
      <c r="AR94" s="91"/>
      <c r="AS94" s="91"/>
      <c r="CD94" s="93"/>
      <c r="CE94" s="93"/>
      <c r="CF94" s="93"/>
      <c r="CG94" s="93"/>
      <c r="CH94" s="93"/>
      <c r="CI94" s="93"/>
      <c r="CJ94" s="93"/>
      <c r="CK94" s="93"/>
      <c r="CL94" s="93"/>
      <c r="CM94" s="93"/>
      <c r="CN94" s="93"/>
      <c r="CO94" s="93"/>
      <c r="CP94" s="93"/>
      <c r="CQ94" s="93"/>
      <c r="CR94" s="93"/>
      <c r="CS94" s="93"/>
      <c r="CT94" s="93"/>
      <c r="CU94" s="93"/>
      <c r="CV94" s="107"/>
      <c r="CW94" s="107"/>
      <c r="CX94" s="107"/>
      <c r="CY94" s="107"/>
      <c r="CZ94" s="107"/>
      <c r="DA94" s="107"/>
      <c r="DB94" s="107"/>
      <c r="DC94" s="107"/>
      <c r="DD94" s="107"/>
      <c r="DE94" s="107"/>
      <c r="DF94" s="107"/>
      <c r="DG94" s="107"/>
      <c r="DH94" s="107"/>
      <c r="DI94" s="107"/>
      <c r="DJ94" s="107"/>
      <c r="DK94" s="107"/>
      <c r="DL94" s="107"/>
      <c r="DM94" s="107"/>
    </row>
    <row r="95" spans="2:117" x14ac:dyDescent="0.3">
      <c r="B95" s="91" t="s">
        <v>829</v>
      </c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>
        <v>1</v>
      </c>
      <c r="N95" s="91">
        <v>1</v>
      </c>
      <c r="O95" s="91">
        <v>1</v>
      </c>
      <c r="P95" s="91">
        <v>1</v>
      </c>
      <c r="Q95" s="91">
        <v>1</v>
      </c>
      <c r="R95" s="91">
        <v>1</v>
      </c>
      <c r="S95" s="91">
        <v>1</v>
      </c>
      <c r="T95" s="91">
        <v>1</v>
      </c>
      <c r="U95" s="91">
        <v>1</v>
      </c>
      <c r="V95" s="91">
        <v>1</v>
      </c>
      <c r="W95" s="91"/>
      <c r="X95" s="91"/>
      <c r="Y95" s="91"/>
      <c r="Z95" s="91"/>
      <c r="AA95" s="91"/>
      <c r="AB95" s="91">
        <v>1</v>
      </c>
      <c r="AC95" s="91"/>
      <c r="AD95" s="91">
        <v>1</v>
      </c>
      <c r="AE95" s="91"/>
      <c r="AF95" s="90">
        <v>1</v>
      </c>
      <c r="AG95" s="90">
        <v>1</v>
      </c>
      <c r="AH95" s="90">
        <v>1</v>
      </c>
      <c r="AI95" s="90">
        <v>1</v>
      </c>
      <c r="AJ95" s="90">
        <v>1</v>
      </c>
      <c r="AK95" s="90">
        <v>1</v>
      </c>
      <c r="AL95" s="90">
        <v>1</v>
      </c>
      <c r="AM95" s="91"/>
      <c r="AN95" s="91"/>
      <c r="AO95" s="91"/>
      <c r="AP95" s="91"/>
      <c r="AQ95" s="91"/>
      <c r="AR95" s="91"/>
      <c r="AS95" s="91"/>
      <c r="CD95" s="93"/>
      <c r="CE95" s="93"/>
      <c r="CF95" s="93"/>
      <c r="CG95" s="93"/>
      <c r="CH95" s="93"/>
      <c r="CI95" s="93"/>
      <c r="CJ95" s="93"/>
      <c r="CK95" s="93"/>
      <c r="CL95" s="93"/>
      <c r="CM95" s="93"/>
      <c r="CN95" s="93"/>
      <c r="CO95" s="93"/>
      <c r="CP95" s="93"/>
      <c r="CQ95" s="93"/>
      <c r="CR95" s="93"/>
      <c r="CS95" s="93"/>
      <c r="CT95" s="93"/>
      <c r="CU95" s="93"/>
      <c r="CV95" s="107"/>
      <c r="CW95" s="107"/>
      <c r="CX95" s="107"/>
      <c r="CY95" s="107"/>
      <c r="CZ95" s="107"/>
      <c r="DA95" s="107"/>
      <c r="DB95" s="107"/>
      <c r="DC95" s="107"/>
      <c r="DD95" s="107"/>
      <c r="DE95" s="107"/>
      <c r="DF95" s="107"/>
      <c r="DG95" s="107"/>
      <c r="DH95" s="107"/>
      <c r="DI95" s="107"/>
      <c r="DJ95" s="107"/>
      <c r="DK95" s="107"/>
      <c r="DL95" s="107"/>
      <c r="DM95" s="107"/>
    </row>
    <row r="96" spans="2:117" x14ac:dyDescent="0.3">
      <c r="B96" s="112" t="s">
        <v>983</v>
      </c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93">
        <v>1</v>
      </c>
      <c r="CE96" s="93"/>
      <c r="CF96" s="93"/>
      <c r="CG96" s="93"/>
      <c r="CH96" s="93"/>
      <c r="CI96" s="93"/>
      <c r="CJ96" s="93"/>
      <c r="CK96" s="93"/>
      <c r="CL96" s="93"/>
      <c r="CM96" s="93"/>
      <c r="CN96" s="93"/>
      <c r="CO96" s="93"/>
      <c r="CP96" s="93"/>
      <c r="CQ96" s="93"/>
      <c r="CR96" s="93"/>
      <c r="CS96" s="93"/>
      <c r="CT96" s="93"/>
      <c r="CU96" s="93"/>
      <c r="CV96" s="107"/>
      <c r="CW96" s="107"/>
      <c r="CX96" s="107"/>
      <c r="CY96" s="107"/>
      <c r="CZ96" s="107"/>
      <c r="DA96" s="107"/>
      <c r="DB96" s="107"/>
      <c r="DC96" s="107"/>
      <c r="DD96" s="107"/>
      <c r="DE96" s="107"/>
      <c r="DF96" s="107"/>
      <c r="DG96" s="107"/>
      <c r="DH96" s="107"/>
      <c r="DI96" s="107"/>
      <c r="DJ96" s="107"/>
      <c r="DK96" s="107"/>
      <c r="DL96" s="107"/>
      <c r="DM96" s="107"/>
    </row>
    <row r="97" spans="2:117" x14ac:dyDescent="0.3">
      <c r="B97" s="112" t="s">
        <v>984</v>
      </c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3">
        <v>1</v>
      </c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107"/>
      <c r="CW97" s="107"/>
      <c r="CX97" s="107"/>
      <c r="CY97" s="107"/>
      <c r="CZ97" s="107"/>
      <c r="DA97" s="107"/>
      <c r="DB97" s="107"/>
      <c r="DC97" s="107"/>
      <c r="DD97" s="107"/>
      <c r="DE97" s="107"/>
      <c r="DF97" s="107"/>
      <c r="DG97" s="107"/>
      <c r="DH97" s="107"/>
      <c r="DI97" s="107"/>
      <c r="DJ97" s="107"/>
      <c r="DK97" s="107"/>
      <c r="DL97" s="107"/>
      <c r="DM97" s="107"/>
    </row>
    <row r="98" spans="2:117" x14ac:dyDescent="0.3">
      <c r="B98" s="112" t="s">
        <v>985</v>
      </c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93"/>
      <c r="BE98" s="93"/>
      <c r="BF98" s="93"/>
      <c r="BG98" s="93"/>
      <c r="BH98" s="93"/>
      <c r="BI98" s="93"/>
      <c r="BJ98" s="93"/>
      <c r="BK98" s="93"/>
      <c r="BL98" s="93"/>
      <c r="BM98" s="93"/>
      <c r="BN98" s="93"/>
      <c r="BO98" s="93"/>
      <c r="BP98" s="93"/>
      <c r="BQ98" s="93"/>
      <c r="BR98" s="93"/>
      <c r="BS98" s="93"/>
      <c r="BT98" s="93"/>
      <c r="BU98" s="93"/>
      <c r="BV98" s="93"/>
      <c r="BW98" s="93"/>
      <c r="BX98" s="93"/>
      <c r="BY98" s="93"/>
      <c r="BZ98" s="93"/>
      <c r="CA98" s="93"/>
      <c r="CB98" s="93"/>
      <c r="CC98" s="93"/>
      <c r="CD98" s="93"/>
      <c r="CE98" s="93"/>
      <c r="CF98" s="93">
        <v>1</v>
      </c>
      <c r="CG98" s="93"/>
      <c r="CH98" s="93"/>
      <c r="CI98" s="93"/>
      <c r="CJ98" s="93"/>
      <c r="CK98" s="93"/>
      <c r="CL98" s="93"/>
      <c r="CM98" s="93"/>
      <c r="CN98" s="93"/>
      <c r="CO98" s="93"/>
      <c r="CP98" s="93"/>
      <c r="CQ98" s="93"/>
      <c r="CR98" s="93"/>
      <c r="CS98" s="93"/>
      <c r="CT98" s="93"/>
      <c r="CU98" s="93"/>
      <c r="CV98" s="107"/>
      <c r="CW98" s="107"/>
      <c r="CX98" s="107"/>
      <c r="CY98" s="107"/>
      <c r="CZ98" s="107"/>
      <c r="DA98" s="107"/>
      <c r="DB98" s="107"/>
      <c r="DC98" s="107"/>
      <c r="DD98" s="107"/>
      <c r="DE98" s="107"/>
      <c r="DF98" s="107"/>
      <c r="DG98" s="107"/>
      <c r="DH98" s="107"/>
      <c r="DI98" s="107"/>
      <c r="DJ98" s="107"/>
      <c r="DK98" s="107"/>
      <c r="DL98" s="107"/>
      <c r="DM98" s="107"/>
    </row>
    <row r="99" spans="2:117" x14ac:dyDescent="0.3">
      <c r="B99" s="112" t="s">
        <v>986</v>
      </c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  <c r="BB99" s="93"/>
      <c r="BC99" s="93"/>
      <c r="BD99" s="93"/>
      <c r="BE99" s="93"/>
      <c r="BF99" s="93"/>
      <c r="BG99" s="93"/>
      <c r="BH99" s="93"/>
      <c r="BI99" s="93"/>
      <c r="BJ99" s="93"/>
      <c r="BK99" s="93"/>
      <c r="BL99" s="93"/>
      <c r="BM99" s="93"/>
      <c r="BN99" s="93"/>
      <c r="BO99" s="93"/>
      <c r="BP99" s="93"/>
      <c r="BQ99" s="93"/>
      <c r="BR99" s="93"/>
      <c r="BS99" s="93"/>
      <c r="BT99" s="93"/>
      <c r="BU99" s="93"/>
      <c r="BV99" s="93"/>
      <c r="BW99" s="93"/>
      <c r="BX99" s="93"/>
      <c r="BY99" s="93"/>
      <c r="BZ99" s="93"/>
      <c r="CA99" s="93"/>
      <c r="CB99" s="93"/>
      <c r="CC99" s="93"/>
      <c r="CD99" s="93"/>
      <c r="CE99" s="93"/>
      <c r="CF99" s="93"/>
      <c r="CG99" s="93">
        <v>1</v>
      </c>
      <c r="CH99" s="93"/>
      <c r="CI99" s="93"/>
      <c r="CJ99" s="93"/>
      <c r="CK99" s="93"/>
      <c r="CL99" s="93"/>
      <c r="CM99" s="93"/>
      <c r="CN99" s="93"/>
      <c r="CO99" s="93"/>
      <c r="CP99" s="93"/>
      <c r="CQ99" s="93"/>
      <c r="CR99" s="93"/>
      <c r="CS99" s="93"/>
      <c r="CT99" s="93"/>
      <c r="CU99" s="93"/>
      <c r="CV99" s="107"/>
      <c r="CW99" s="107"/>
      <c r="CX99" s="107"/>
      <c r="CY99" s="107"/>
      <c r="CZ99" s="107"/>
      <c r="DA99" s="107"/>
      <c r="DB99" s="107"/>
      <c r="DC99" s="107"/>
      <c r="DD99" s="107"/>
      <c r="DE99" s="107"/>
      <c r="DF99" s="107"/>
      <c r="DG99" s="107"/>
      <c r="DH99" s="107"/>
      <c r="DI99" s="107"/>
      <c r="DJ99" s="107"/>
      <c r="DK99" s="107"/>
      <c r="DL99" s="107"/>
      <c r="DM99" s="107"/>
    </row>
    <row r="100" spans="2:117" x14ac:dyDescent="0.3">
      <c r="B100" s="112" t="s">
        <v>987</v>
      </c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3"/>
      <c r="CE100" s="93"/>
      <c r="CF100" s="93"/>
      <c r="CG100" s="93"/>
      <c r="CH100" s="93">
        <v>1</v>
      </c>
      <c r="CI100" s="93"/>
      <c r="CJ100" s="93"/>
      <c r="CK100" s="93"/>
      <c r="CL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107"/>
      <c r="CW100" s="107"/>
      <c r="CX100" s="107"/>
      <c r="CY100" s="107"/>
      <c r="CZ100" s="107"/>
      <c r="DA100" s="107"/>
      <c r="DB100" s="107"/>
      <c r="DC100" s="107"/>
      <c r="DD100" s="107"/>
      <c r="DE100" s="107"/>
      <c r="DF100" s="107"/>
      <c r="DG100" s="107"/>
      <c r="DH100" s="107"/>
      <c r="DI100" s="107"/>
      <c r="DJ100" s="107"/>
      <c r="DK100" s="107"/>
      <c r="DL100" s="107"/>
      <c r="DM100" s="107"/>
    </row>
    <row r="101" spans="2:117" x14ac:dyDescent="0.3">
      <c r="B101" s="112" t="s">
        <v>988</v>
      </c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93"/>
      <c r="CE101" s="93"/>
      <c r="CF101" s="93"/>
      <c r="CG101" s="93"/>
      <c r="CH101" s="93"/>
      <c r="CI101" s="93">
        <v>1</v>
      </c>
      <c r="CJ101" s="93"/>
      <c r="CK101" s="93"/>
      <c r="CL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107"/>
      <c r="CW101" s="107"/>
      <c r="CX101" s="107"/>
      <c r="CY101" s="107"/>
      <c r="CZ101" s="107"/>
      <c r="DA101" s="107"/>
      <c r="DB101" s="107"/>
      <c r="DC101" s="107"/>
      <c r="DD101" s="107"/>
      <c r="DE101" s="107"/>
      <c r="DF101" s="107"/>
      <c r="DG101" s="107"/>
      <c r="DH101" s="107"/>
      <c r="DI101" s="107"/>
      <c r="DJ101" s="107"/>
      <c r="DK101" s="107"/>
      <c r="DL101" s="107"/>
      <c r="DM101" s="107"/>
    </row>
    <row r="102" spans="2:117" x14ac:dyDescent="0.3">
      <c r="B102" s="112" t="s">
        <v>989</v>
      </c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/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93"/>
      <c r="CA102" s="93"/>
      <c r="CB102" s="93"/>
      <c r="CC102" s="93"/>
      <c r="CD102" s="93"/>
      <c r="CE102" s="93"/>
      <c r="CF102" s="93"/>
      <c r="CG102" s="93"/>
      <c r="CH102" s="93"/>
      <c r="CI102" s="93"/>
      <c r="CJ102" s="93">
        <v>1</v>
      </c>
      <c r="CK102" s="93"/>
      <c r="CL102" s="93"/>
      <c r="CM102" s="93"/>
      <c r="CN102" s="93"/>
      <c r="CO102" s="93"/>
      <c r="CP102" s="93"/>
      <c r="CQ102" s="93"/>
      <c r="CR102" s="93"/>
      <c r="CS102" s="93"/>
      <c r="CT102" s="93"/>
      <c r="CU102" s="93"/>
      <c r="CV102" s="107"/>
      <c r="CW102" s="107"/>
      <c r="CX102" s="107"/>
      <c r="CY102" s="107"/>
      <c r="CZ102" s="107"/>
      <c r="DA102" s="107"/>
      <c r="DB102" s="107"/>
      <c r="DC102" s="107"/>
      <c r="DD102" s="107"/>
      <c r="DE102" s="107"/>
      <c r="DF102" s="107"/>
      <c r="DG102" s="107"/>
      <c r="DH102" s="107"/>
      <c r="DI102" s="107"/>
      <c r="DJ102" s="107"/>
      <c r="DK102" s="107"/>
      <c r="DL102" s="107"/>
      <c r="DM102" s="107"/>
    </row>
    <row r="103" spans="2:117" x14ac:dyDescent="0.3">
      <c r="B103" s="112" t="s">
        <v>990</v>
      </c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  <c r="CG103" s="93"/>
      <c r="CH103" s="93"/>
      <c r="CI103" s="93"/>
      <c r="CJ103" s="93"/>
      <c r="CK103" s="93">
        <v>1</v>
      </c>
      <c r="CL103" s="93"/>
      <c r="CM103" s="93"/>
      <c r="CN103" s="93"/>
      <c r="CO103" s="93"/>
      <c r="CP103" s="93"/>
      <c r="CQ103" s="93"/>
      <c r="CR103" s="93"/>
      <c r="CS103" s="93"/>
      <c r="CT103" s="93"/>
      <c r="CU103" s="93"/>
      <c r="CV103" s="107"/>
      <c r="CW103" s="107"/>
      <c r="CX103" s="107"/>
      <c r="CY103" s="107"/>
      <c r="CZ103" s="107"/>
      <c r="DA103" s="107"/>
      <c r="DB103" s="107"/>
      <c r="DC103" s="107"/>
      <c r="DD103" s="107"/>
      <c r="DE103" s="107"/>
      <c r="DF103" s="107"/>
      <c r="DG103" s="107"/>
      <c r="DH103" s="107"/>
      <c r="DI103" s="107"/>
      <c r="DJ103" s="107"/>
      <c r="DK103" s="107"/>
      <c r="DL103" s="107"/>
      <c r="DM103" s="107"/>
    </row>
    <row r="104" spans="2:117" x14ac:dyDescent="0.3">
      <c r="B104" s="112" t="s">
        <v>991</v>
      </c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3"/>
      <c r="CF104" s="93"/>
      <c r="CG104" s="93"/>
      <c r="CH104" s="93"/>
      <c r="CI104" s="93"/>
      <c r="CJ104" s="93"/>
      <c r="CK104" s="93"/>
      <c r="CL104" s="93">
        <v>1</v>
      </c>
      <c r="CM104" s="93"/>
      <c r="CN104" s="93"/>
      <c r="CO104" s="93"/>
      <c r="CP104" s="93"/>
      <c r="CQ104" s="93"/>
      <c r="CR104" s="93"/>
      <c r="CS104" s="93"/>
      <c r="CT104" s="93"/>
      <c r="CU104" s="93"/>
      <c r="CV104" s="107"/>
      <c r="CW104" s="107"/>
      <c r="CX104" s="107"/>
      <c r="CY104" s="107"/>
      <c r="CZ104" s="107"/>
      <c r="DA104" s="107"/>
      <c r="DB104" s="107"/>
      <c r="DC104" s="107"/>
      <c r="DD104" s="107"/>
      <c r="DE104" s="107"/>
      <c r="DF104" s="107"/>
      <c r="DG104" s="107"/>
      <c r="DH104" s="107"/>
      <c r="DI104" s="107"/>
      <c r="DJ104" s="107"/>
      <c r="DK104" s="107"/>
      <c r="DL104" s="107"/>
      <c r="DM104" s="107"/>
    </row>
    <row r="105" spans="2:117" x14ac:dyDescent="0.3">
      <c r="B105" s="112" t="s">
        <v>992</v>
      </c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3"/>
      <c r="CE105" s="93"/>
      <c r="CF105" s="93"/>
      <c r="CG105" s="93"/>
      <c r="CH105" s="93"/>
      <c r="CI105" s="93"/>
      <c r="CJ105" s="93"/>
      <c r="CK105" s="93"/>
      <c r="CL105" s="93"/>
      <c r="CM105" s="93">
        <v>1</v>
      </c>
      <c r="CN105" s="93"/>
      <c r="CO105" s="93"/>
      <c r="CP105" s="93"/>
      <c r="CQ105" s="93"/>
      <c r="CR105" s="93"/>
      <c r="CS105" s="93"/>
      <c r="CT105" s="93"/>
      <c r="CU105" s="93"/>
      <c r="CV105" s="107"/>
      <c r="CW105" s="107"/>
      <c r="CX105" s="107"/>
      <c r="CY105" s="107"/>
      <c r="CZ105" s="107"/>
      <c r="DA105" s="107"/>
      <c r="DB105" s="107"/>
      <c r="DC105" s="107"/>
      <c r="DD105" s="107"/>
      <c r="DE105" s="107"/>
      <c r="DF105" s="107"/>
      <c r="DG105" s="107"/>
      <c r="DH105" s="107"/>
      <c r="DI105" s="107"/>
      <c r="DJ105" s="107"/>
      <c r="DK105" s="107"/>
      <c r="DL105" s="107"/>
      <c r="DM105" s="107"/>
    </row>
    <row r="106" spans="2:117" x14ac:dyDescent="0.3">
      <c r="B106" s="112" t="s">
        <v>993</v>
      </c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  <c r="CG106" s="93"/>
      <c r="CH106" s="93"/>
      <c r="CI106" s="93"/>
      <c r="CJ106" s="93"/>
      <c r="CK106" s="93"/>
      <c r="CL106" s="93"/>
      <c r="CM106" s="93"/>
      <c r="CN106" s="93">
        <v>1</v>
      </c>
      <c r="CO106" s="93"/>
      <c r="CP106" s="93"/>
      <c r="CQ106" s="93"/>
      <c r="CR106" s="93"/>
      <c r="CS106" s="93"/>
      <c r="CT106" s="93"/>
      <c r="CU106" s="93"/>
      <c r="CV106" s="107"/>
      <c r="CW106" s="107"/>
      <c r="CX106" s="107"/>
      <c r="CY106" s="107"/>
      <c r="CZ106" s="107"/>
      <c r="DA106" s="107"/>
      <c r="DB106" s="107"/>
      <c r="DC106" s="107"/>
      <c r="DD106" s="107"/>
      <c r="DE106" s="107"/>
      <c r="DF106" s="107"/>
      <c r="DG106" s="107"/>
      <c r="DH106" s="107"/>
      <c r="DI106" s="107"/>
      <c r="DJ106" s="107"/>
      <c r="DK106" s="107"/>
      <c r="DL106" s="107"/>
      <c r="DM106" s="107"/>
    </row>
    <row r="107" spans="2:117" x14ac:dyDescent="0.3">
      <c r="B107" s="112" t="s">
        <v>994</v>
      </c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93"/>
      <c r="BE107" s="93"/>
      <c r="BF107" s="93"/>
      <c r="BG107" s="93"/>
      <c r="BH107" s="93"/>
      <c r="BI107" s="93"/>
      <c r="BJ107" s="93"/>
      <c r="BK107" s="93"/>
      <c r="BL107" s="93"/>
      <c r="BM107" s="93"/>
      <c r="BN107" s="93"/>
      <c r="BO107" s="93"/>
      <c r="BP107" s="93"/>
      <c r="BQ107" s="93"/>
      <c r="BR107" s="93"/>
      <c r="BS107" s="93"/>
      <c r="BT107" s="93"/>
      <c r="BU107" s="93"/>
      <c r="BV107" s="93"/>
      <c r="BW107" s="93"/>
      <c r="BX107" s="93"/>
      <c r="BY107" s="93"/>
      <c r="BZ107" s="93"/>
      <c r="CA107" s="93"/>
      <c r="CB107" s="93"/>
      <c r="CC107" s="93"/>
      <c r="CD107" s="93"/>
      <c r="CE107" s="93"/>
      <c r="CF107" s="93"/>
      <c r="CG107" s="93"/>
      <c r="CH107" s="93"/>
      <c r="CI107" s="93"/>
      <c r="CJ107" s="93"/>
      <c r="CK107" s="93"/>
      <c r="CL107" s="93"/>
      <c r="CM107" s="93"/>
      <c r="CN107" s="93"/>
      <c r="CO107" s="93">
        <v>1</v>
      </c>
      <c r="CP107" s="93"/>
      <c r="CQ107" s="93"/>
      <c r="CR107" s="93"/>
      <c r="CS107" s="93"/>
      <c r="CT107" s="93"/>
      <c r="CU107" s="93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7"/>
      <c r="DF107" s="107"/>
      <c r="DG107" s="107"/>
      <c r="DH107" s="107"/>
      <c r="DI107" s="107"/>
      <c r="DJ107" s="107"/>
      <c r="DK107" s="107"/>
      <c r="DL107" s="107"/>
      <c r="DM107" s="107"/>
    </row>
    <row r="108" spans="2:117" x14ac:dyDescent="0.3">
      <c r="B108" s="112" t="s">
        <v>995</v>
      </c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3"/>
      <c r="CE108" s="93"/>
      <c r="CF108" s="93"/>
      <c r="CG108" s="93"/>
      <c r="CH108" s="93"/>
      <c r="CI108" s="93"/>
      <c r="CJ108" s="93"/>
      <c r="CK108" s="93"/>
      <c r="CL108" s="93"/>
      <c r="CM108" s="93"/>
      <c r="CN108" s="93"/>
      <c r="CO108" s="93"/>
      <c r="CP108" s="93">
        <v>1</v>
      </c>
      <c r="CQ108" s="93"/>
      <c r="CR108" s="93"/>
      <c r="CS108" s="93"/>
      <c r="CT108" s="93"/>
      <c r="CU108" s="93"/>
      <c r="CV108" s="107"/>
      <c r="CW108" s="107"/>
      <c r="CX108" s="107"/>
      <c r="CY108" s="107"/>
      <c r="CZ108" s="107"/>
      <c r="DA108" s="107"/>
      <c r="DB108" s="107"/>
      <c r="DC108" s="107"/>
      <c r="DD108" s="107"/>
      <c r="DE108" s="107"/>
      <c r="DF108" s="107"/>
      <c r="DG108" s="107"/>
      <c r="DH108" s="107"/>
      <c r="DI108" s="107"/>
      <c r="DJ108" s="107"/>
      <c r="DK108" s="107"/>
      <c r="DL108" s="107"/>
      <c r="DM108" s="107"/>
    </row>
    <row r="109" spans="2:117" x14ac:dyDescent="0.3">
      <c r="B109" s="112" t="s">
        <v>996</v>
      </c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3"/>
      <c r="CF109" s="93"/>
      <c r="CG109" s="93"/>
      <c r="CH109" s="93"/>
      <c r="CI109" s="93"/>
      <c r="CJ109" s="93"/>
      <c r="CK109" s="93"/>
      <c r="CL109" s="93"/>
      <c r="CM109" s="93"/>
      <c r="CN109" s="93"/>
      <c r="CO109" s="93"/>
      <c r="CP109" s="93"/>
      <c r="CQ109" s="93">
        <v>1</v>
      </c>
      <c r="CR109" s="93"/>
      <c r="CS109" s="93"/>
      <c r="CT109" s="93"/>
      <c r="CU109" s="93"/>
      <c r="CV109" s="107"/>
      <c r="CW109" s="107"/>
      <c r="CX109" s="107"/>
      <c r="CY109" s="107"/>
      <c r="CZ109" s="107"/>
      <c r="DA109" s="107"/>
      <c r="DB109" s="107"/>
      <c r="DC109" s="107"/>
      <c r="DD109" s="107"/>
      <c r="DE109" s="107"/>
      <c r="DF109" s="107"/>
      <c r="DG109" s="107"/>
      <c r="DH109" s="107"/>
      <c r="DI109" s="107"/>
      <c r="DJ109" s="107"/>
      <c r="DK109" s="107"/>
      <c r="DL109" s="107"/>
      <c r="DM109" s="107"/>
    </row>
    <row r="110" spans="2:117" x14ac:dyDescent="0.3">
      <c r="B110" s="112" t="s">
        <v>997</v>
      </c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3"/>
      <c r="CF110" s="93"/>
      <c r="CG110" s="93"/>
      <c r="CH110" s="93"/>
      <c r="CI110" s="93"/>
      <c r="CJ110" s="93"/>
      <c r="CK110" s="93"/>
      <c r="CL110" s="93"/>
      <c r="CM110" s="93"/>
      <c r="CN110" s="93"/>
      <c r="CO110" s="93"/>
      <c r="CP110" s="93"/>
      <c r="CQ110" s="93"/>
      <c r="CR110" s="93">
        <v>1</v>
      </c>
      <c r="CS110" s="93"/>
      <c r="CT110" s="93"/>
      <c r="CU110" s="93"/>
      <c r="CV110" s="107"/>
      <c r="CW110" s="107"/>
      <c r="CX110" s="107"/>
      <c r="CY110" s="107"/>
      <c r="CZ110" s="107"/>
      <c r="DA110" s="107"/>
      <c r="DB110" s="107"/>
      <c r="DC110" s="107"/>
      <c r="DD110" s="107"/>
      <c r="DE110" s="107"/>
      <c r="DF110" s="107"/>
      <c r="DG110" s="107"/>
      <c r="DH110" s="107"/>
      <c r="DI110" s="107"/>
      <c r="DJ110" s="107"/>
      <c r="DK110" s="107"/>
      <c r="DL110" s="107"/>
      <c r="DM110" s="107"/>
    </row>
    <row r="111" spans="2:117" x14ac:dyDescent="0.3">
      <c r="B111" s="112" t="s">
        <v>998</v>
      </c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3"/>
      <c r="CF111" s="93"/>
      <c r="CG111" s="93"/>
      <c r="CH111" s="93"/>
      <c r="CI111" s="93"/>
      <c r="CJ111" s="93"/>
      <c r="CK111" s="93"/>
      <c r="CL111" s="93"/>
      <c r="CM111" s="93"/>
      <c r="CN111" s="93"/>
      <c r="CO111" s="93"/>
      <c r="CP111" s="93"/>
      <c r="CQ111" s="93"/>
      <c r="CR111" s="93"/>
      <c r="CS111" s="93">
        <v>1</v>
      </c>
      <c r="CT111" s="93"/>
      <c r="CU111" s="93"/>
      <c r="CV111" s="107"/>
      <c r="CW111" s="107"/>
      <c r="CX111" s="107"/>
      <c r="CY111" s="107"/>
      <c r="CZ111" s="107"/>
      <c r="DA111" s="107"/>
      <c r="DB111" s="107"/>
      <c r="DC111" s="107"/>
      <c r="DD111" s="107"/>
      <c r="DE111" s="107"/>
      <c r="DF111" s="107"/>
      <c r="DG111" s="107"/>
      <c r="DH111" s="107"/>
      <c r="DI111" s="107"/>
      <c r="DJ111" s="107"/>
      <c r="DK111" s="107"/>
      <c r="DL111" s="107"/>
      <c r="DM111" s="107"/>
    </row>
    <row r="112" spans="2:117" x14ac:dyDescent="0.3">
      <c r="B112" s="112" t="s">
        <v>999</v>
      </c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>
        <v>1</v>
      </c>
      <c r="CU112" s="93"/>
      <c r="CV112" s="107"/>
      <c r="CW112" s="107"/>
      <c r="CX112" s="107"/>
      <c r="CY112" s="107"/>
      <c r="CZ112" s="107"/>
      <c r="DA112" s="107"/>
      <c r="DB112" s="107"/>
      <c r="DC112" s="107"/>
      <c r="DD112" s="107"/>
      <c r="DE112" s="107"/>
      <c r="DF112" s="107"/>
      <c r="DG112" s="107"/>
      <c r="DH112" s="107"/>
      <c r="DI112" s="107"/>
      <c r="DJ112" s="107"/>
      <c r="DK112" s="107"/>
      <c r="DL112" s="107"/>
      <c r="DM112" s="107"/>
    </row>
    <row r="113" spans="2:117" x14ac:dyDescent="0.3">
      <c r="B113" s="112" t="s">
        <v>1000</v>
      </c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>
        <v>1</v>
      </c>
      <c r="CV113" s="107"/>
      <c r="CW113" s="107"/>
      <c r="CX113" s="107"/>
      <c r="CY113" s="107"/>
      <c r="CZ113" s="107"/>
      <c r="DA113" s="107"/>
      <c r="DB113" s="107"/>
      <c r="DC113" s="107"/>
      <c r="DD113" s="107"/>
      <c r="DE113" s="107"/>
      <c r="DF113" s="107"/>
      <c r="DG113" s="107"/>
      <c r="DH113" s="107"/>
      <c r="DI113" s="107"/>
      <c r="DJ113" s="107"/>
      <c r="DK113" s="107"/>
      <c r="DL113" s="107"/>
      <c r="DM113" s="107"/>
    </row>
    <row r="114" spans="2:117" x14ac:dyDescent="0.3">
      <c r="B114" s="93" t="s">
        <v>1019</v>
      </c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>
        <v>1</v>
      </c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107"/>
      <c r="CW114" s="107"/>
      <c r="CX114" s="107"/>
      <c r="CY114" s="107"/>
      <c r="CZ114" s="107"/>
      <c r="DA114" s="107"/>
      <c r="DB114" s="107"/>
      <c r="DC114" s="107"/>
      <c r="DD114" s="107"/>
      <c r="DE114" s="107"/>
      <c r="DF114" s="107"/>
      <c r="DG114" s="107"/>
      <c r="DH114" s="107"/>
      <c r="DI114" s="107"/>
      <c r="DJ114" s="107"/>
      <c r="DK114" s="107"/>
      <c r="DL114" s="107"/>
      <c r="DM114" s="107"/>
    </row>
    <row r="115" spans="2:117" x14ac:dyDescent="0.3">
      <c r="B115" s="93" t="s">
        <v>1020</v>
      </c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93"/>
      <c r="BE115" s="93"/>
      <c r="BF115" s="93"/>
      <c r="BG115" s="93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>
        <v>1</v>
      </c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107"/>
      <c r="CW115" s="107"/>
      <c r="CX115" s="107"/>
      <c r="CY115" s="107"/>
      <c r="CZ115" s="107"/>
      <c r="DA115" s="107"/>
      <c r="DB115" s="107"/>
      <c r="DC115" s="107"/>
      <c r="DD115" s="107"/>
      <c r="DE115" s="107"/>
      <c r="DF115" s="107"/>
      <c r="DG115" s="107"/>
      <c r="DH115" s="107"/>
      <c r="DI115" s="107"/>
      <c r="DJ115" s="107"/>
      <c r="DK115" s="107"/>
      <c r="DL115" s="107"/>
      <c r="DM115" s="107"/>
    </row>
    <row r="116" spans="2:117" x14ac:dyDescent="0.3">
      <c r="B116" s="93" t="s">
        <v>1021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>
        <v>1</v>
      </c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107"/>
      <c r="CW116" s="107"/>
      <c r="CX116" s="107"/>
      <c r="CY116" s="107"/>
      <c r="CZ116" s="107"/>
      <c r="DA116" s="107"/>
      <c r="DB116" s="107"/>
      <c r="DC116" s="107"/>
      <c r="DD116" s="107"/>
      <c r="DE116" s="107"/>
      <c r="DF116" s="107"/>
      <c r="DG116" s="107"/>
      <c r="DH116" s="107"/>
      <c r="DI116" s="107"/>
      <c r="DJ116" s="107"/>
      <c r="DK116" s="107"/>
      <c r="DL116" s="107"/>
      <c r="DM116" s="107"/>
    </row>
    <row r="117" spans="2:117" x14ac:dyDescent="0.3">
      <c r="B117" s="93" t="s">
        <v>1022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>
        <v>1</v>
      </c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107"/>
      <c r="CW117" s="107"/>
      <c r="CX117" s="107"/>
      <c r="CY117" s="107"/>
      <c r="CZ117" s="107"/>
      <c r="DA117" s="107"/>
      <c r="DB117" s="107"/>
      <c r="DC117" s="107"/>
      <c r="DD117" s="107"/>
      <c r="DE117" s="107"/>
      <c r="DF117" s="107"/>
      <c r="DG117" s="107"/>
      <c r="DH117" s="107"/>
      <c r="DI117" s="107"/>
      <c r="DJ117" s="107"/>
      <c r="DK117" s="107"/>
      <c r="DL117" s="107"/>
      <c r="DM117" s="107"/>
    </row>
    <row r="118" spans="2:117" x14ac:dyDescent="0.3">
      <c r="B118" s="93" t="s">
        <v>1023</v>
      </c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>
        <v>1</v>
      </c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107"/>
      <c r="CW118" s="107"/>
      <c r="CX118" s="107"/>
      <c r="CY118" s="107"/>
      <c r="CZ118" s="107"/>
      <c r="DA118" s="107"/>
      <c r="DB118" s="107"/>
      <c r="DC118" s="107"/>
      <c r="DD118" s="107"/>
      <c r="DE118" s="107"/>
      <c r="DF118" s="107"/>
      <c r="DG118" s="107"/>
      <c r="DH118" s="107"/>
      <c r="DI118" s="107"/>
      <c r="DJ118" s="107"/>
      <c r="DK118" s="107"/>
      <c r="DL118" s="107"/>
      <c r="DM118" s="107"/>
    </row>
    <row r="119" spans="2:117" x14ac:dyDescent="0.3">
      <c r="B119" s="93" t="s">
        <v>1024</v>
      </c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>
        <v>1</v>
      </c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107"/>
      <c r="CW119" s="107"/>
      <c r="CX119" s="107"/>
      <c r="CY119" s="107"/>
      <c r="CZ119" s="107"/>
      <c r="DA119" s="107"/>
      <c r="DB119" s="107"/>
      <c r="DC119" s="107"/>
      <c r="DD119" s="107"/>
      <c r="DE119" s="107"/>
      <c r="DF119" s="107"/>
      <c r="DG119" s="107"/>
      <c r="DH119" s="107"/>
      <c r="DI119" s="107"/>
      <c r="DJ119" s="107"/>
      <c r="DK119" s="107"/>
      <c r="DL119" s="107"/>
      <c r="DM119" s="107"/>
    </row>
    <row r="120" spans="2:117" x14ac:dyDescent="0.3">
      <c r="B120" s="93" t="s">
        <v>1025</v>
      </c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>
        <v>1</v>
      </c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107"/>
      <c r="CW120" s="107"/>
      <c r="CX120" s="107"/>
      <c r="CY120" s="107"/>
      <c r="CZ120" s="107"/>
      <c r="DA120" s="107"/>
      <c r="DB120" s="107"/>
      <c r="DC120" s="107"/>
      <c r="DD120" s="107"/>
      <c r="DE120" s="107"/>
      <c r="DF120" s="107"/>
      <c r="DG120" s="107"/>
      <c r="DH120" s="107"/>
      <c r="DI120" s="107"/>
      <c r="DJ120" s="107"/>
      <c r="DK120" s="107"/>
      <c r="DL120" s="107"/>
      <c r="DM120" s="107"/>
    </row>
    <row r="121" spans="2:117" x14ac:dyDescent="0.3">
      <c r="B121" s="93" t="s">
        <v>1026</v>
      </c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>
        <v>1</v>
      </c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107"/>
      <c r="CW121" s="107"/>
      <c r="CX121" s="107"/>
      <c r="CY121" s="107"/>
      <c r="CZ121" s="107"/>
      <c r="DA121" s="107"/>
      <c r="DB121" s="107"/>
      <c r="DC121" s="107"/>
      <c r="DD121" s="107"/>
      <c r="DE121" s="107"/>
      <c r="DF121" s="107"/>
      <c r="DG121" s="107"/>
      <c r="DH121" s="107"/>
      <c r="DI121" s="107"/>
      <c r="DJ121" s="107"/>
      <c r="DK121" s="107"/>
      <c r="DL121" s="107"/>
      <c r="DM121" s="107"/>
    </row>
    <row r="122" spans="2:117" x14ac:dyDescent="0.3">
      <c r="B122" s="93" t="s">
        <v>1027</v>
      </c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>
        <v>1</v>
      </c>
      <c r="CM122" s="93"/>
      <c r="CN122" s="93"/>
      <c r="CO122" s="93"/>
      <c r="CP122" s="93"/>
      <c r="CQ122" s="93"/>
      <c r="CR122" s="93"/>
      <c r="CS122" s="93"/>
      <c r="CT122" s="93"/>
      <c r="CU122" s="93"/>
      <c r="CV122" s="107"/>
      <c r="CW122" s="107"/>
      <c r="CX122" s="107"/>
      <c r="CY122" s="107"/>
      <c r="CZ122" s="107"/>
      <c r="DA122" s="107"/>
      <c r="DB122" s="107"/>
      <c r="DC122" s="107"/>
      <c r="DD122" s="107"/>
      <c r="DE122" s="107"/>
      <c r="DF122" s="107"/>
      <c r="DG122" s="107"/>
      <c r="DH122" s="107"/>
      <c r="DI122" s="107"/>
      <c r="DJ122" s="107"/>
      <c r="DK122" s="107"/>
      <c r="DL122" s="107"/>
      <c r="DM122" s="107"/>
    </row>
    <row r="123" spans="2:117" x14ac:dyDescent="0.3">
      <c r="B123" s="93" t="s">
        <v>1028</v>
      </c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>
        <v>1</v>
      </c>
      <c r="CN123" s="93"/>
      <c r="CO123" s="93"/>
      <c r="CP123" s="93"/>
      <c r="CQ123" s="93"/>
      <c r="CR123" s="93"/>
      <c r="CS123" s="93"/>
      <c r="CT123" s="93"/>
      <c r="CU123" s="93"/>
      <c r="CV123" s="107"/>
      <c r="CW123" s="107"/>
      <c r="CX123" s="107"/>
      <c r="CY123" s="107"/>
      <c r="CZ123" s="107"/>
      <c r="DA123" s="107"/>
      <c r="DB123" s="107"/>
      <c r="DC123" s="107"/>
      <c r="DD123" s="107"/>
      <c r="DE123" s="107"/>
      <c r="DF123" s="107"/>
      <c r="DG123" s="107"/>
      <c r="DH123" s="107"/>
      <c r="DI123" s="107"/>
      <c r="DJ123" s="107"/>
      <c r="DK123" s="107"/>
      <c r="DL123" s="107"/>
      <c r="DM123" s="107"/>
    </row>
    <row r="124" spans="2:117" x14ac:dyDescent="0.3">
      <c r="B124" s="93" t="s">
        <v>1029</v>
      </c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>
        <v>1</v>
      </c>
      <c r="CO124" s="93"/>
      <c r="CP124" s="93"/>
      <c r="CQ124" s="93"/>
      <c r="CR124" s="93"/>
      <c r="CS124" s="93"/>
      <c r="CT124" s="93"/>
      <c r="CU124" s="93"/>
      <c r="CV124" s="107"/>
      <c r="CW124" s="107"/>
      <c r="CX124" s="107"/>
      <c r="CY124" s="107"/>
      <c r="CZ124" s="107"/>
      <c r="DA124" s="107"/>
      <c r="DB124" s="107"/>
      <c r="DC124" s="107"/>
      <c r="DD124" s="107"/>
      <c r="DE124" s="107"/>
      <c r="DF124" s="107"/>
      <c r="DG124" s="107"/>
      <c r="DH124" s="107"/>
      <c r="DI124" s="107"/>
      <c r="DJ124" s="107"/>
      <c r="DK124" s="107"/>
      <c r="DL124" s="107"/>
      <c r="DM124" s="107"/>
    </row>
    <row r="125" spans="2:117" x14ac:dyDescent="0.3">
      <c r="B125" s="93" t="s">
        <v>1030</v>
      </c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>
        <v>1</v>
      </c>
      <c r="CP125" s="93"/>
      <c r="CQ125" s="93"/>
      <c r="CR125" s="93"/>
      <c r="CS125" s="93"/>
      <c r="CT125" s="93"/>
      <c r="CU125" s="93"/>
      <c r="CV125" s="107"/>
      <c r="CW125" s="107"/>
      <c r="CX125" s="107"/>
      <c r="CY125" s="107"/>
      <c r="CZ125" s="107"/>
      <c r="DA125" s="107"/>
      <c r="DB125" s="107"/>
      <c r="DC125" s="107"/>
      <c r="DD125" s="107"/>
      <c r="DE125" s="107"/>
      <c r="DF125" s="107"/>
      <c r="DG125" s="107"/>
      <c r="DH125" s="107"/>
      <c r="DI125" s="107"/>
      <c r="DJ125" s="107"/>
      <c r="DK125" s="107"/>
      <c r="DL125" s="107"/>
      <c r="DM125" s="107"/>
    </row>
    <row r="126" spans="2:117" x14ac:dyDescent="0.3">
      <c r="B126" s="93" t="s">
        <v>1031</v>
      </c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>
        <v>1</v>
      </c>
      <c r="CQ126" s="93"/>
      <c r="CR126" s="93"/>
      <c r="CS126" s="93"/>
      <c r="CT126" s="93"/>
      <c r="CU126" s="93"/>
      <c r="CV126" s="107"/>
      <c r="CW126" s="107"/>
      <c r="CX126" s="107"/>
      <c r="CY126" s="107"/>
      <c r="CZ126" s="107"/>
      <c r="DA126" s="107"/>
      <c r="DB126" s="107"/>
      <c r="DC126" s="107"/>
      <c r="DD126" s="107"/>
      <c r="DE126" s="107"/>
      <c r="DF126" s="107"/>
      <c r="DG126" s="107"/>
      <c r="DH126" s="107"/>
      <c r="DI126" s="107"/>
      <c r="DJ126" s="107"/>
      <c r="DK126" s="107"/>
      <c r="DL126" s="107"/>
      <c r="DM126" s="107"/>
    </row>
    <row r="127" spans="2:117" x14ac:dyDescent="0.3">
      <c r="B127" s="93" t="s">
        <v>1032</v>
      </c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>
        <v>1</v>
      </c>
      <c r="CR127" s="93"/>
      <c r="CS127" s="93"/>
      <c r="CT127" s="93"/>
      <c r="CU127" s="93"/>
      <c r="CV127" s="107"/>
      <c r="CW127" s="107"/>
      <c r="CX127" s="107"/>
      <c r="CY127" s="107"/>
      <c r="CZ127" s="107"/>
      <c r="DA127" s="107"/>
      <c r="DB127" s="107"/>
      <c r="DC127" s="107"/>
      <c r="DD127" s="107"/>
      <c r="DE127" s="107"/>
      <c r="DF127" s="107"/>
      <c r="DG127" s="107"/>
      <c r="DH127" s="107"/>
      <c r="DI127" s="107"/>
      <c r="DJ127" s="107"/>
      <c r="DK127" s="107"/>
      <c r="DL127" s="107"/>
      <c r="DM127" s="107"/>
    </row>
    <row r="128" spans="2:117" x14ac:dyDescent="0.3">
      <c r="B128" s="93" t="s">
        <v>1033</v>
      </c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>
        <v>1</v>
      </c>
      <c r="CS128" s="93"/>
      <c r="CT128" s="93"/>
      <c r="CU128" s="93"/>
      <c r="CV128" s="107"/>
      <c r="CW128" s="107"/>
      <c r="CX128" s="107"/>
      <c r="CY128" s="107"/>
      <c r="CZ128" s="107"/>
      <c r="DA128" s="107"/>
      <c r="DB128" s="107"/>
      <c r="DC128" s="107"/>
      <c r="DD128" s="107"/>
      <c r="DE128" s="107"/>
      <c r="DF128" s="107"/>
      <c r="DG128" s="107"/>
      <c r="DH128" s="107"/>
      <c r="DI128" s="107"/>
      <c r="DJ128" s="107"/>
      <c r="DK128" s="107"/>
      <c r="DL128" s="107"/>
      <c r="DM128" s="107"/>
    </row>
    <row r="129" spans="2:117" x14ac:dyDescent="0.3">
      <c r="B129" s="93" t="s">
        <v>1034</v>
      </c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>
        <v>1</v>
      </c>
      <c r="CT129" s="93"/>
      <c r="CU129" s="93"/>
      <c r="CV129" s="107"/>
      <c r="CW129" s="107"/>
      <c r="CX129" s="107"/>
      <c r="CY129" s="107"/>
      <c r="CZ129" s="107"/>
      <c r="DA129" s="107"/>
      <c r="DB129" s="107"/>
      <c r="DC129" s="107"/>
      <c r="DD129" s="107"/>
      <c r="DE129" s="107"/>
      <c r="DF129" s="107"/>
      <c r="DG129" s="107"/>
      <c r="DH129" s="107"/>
      <c r="DI129" s="107"/>
      <c r="DJ129" s="107"/>
      <c r="DK129" s="107"/>
      <c r="DL129" s="107"/>
      <c r="DM129" s="107"/>
    </row>
    <row r="130" spans="2:117" x14ac:dyDescent="0.3">
      <c r="B130" s="93" t="s">
        <v>1035</v>
      </c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>
        <v>1</v>
      </c>
      <c r="CU130" s="93"/>
      <c r="CV130" s="107"/>
      <c r="CW130" s="107"/>
      <c r="CX130" s="107"/>
      <c r="CY130" s="107"/>
      <c r="CZ130" s="107"/>
      <c r="DA130" s="107"/>
      <c r="DB130" s="107"/>
      <c r="DC130" s="107"/>
      <c r="DD130" s="107"/>
      <c r="DE130" s="107"/>
      <c r="DF130" s="107"/>
      <c r="DG130" s="107"/>
      <c r="DH130" s="107"/>
      <c r="DI130" s="107"/>
      <c r="DJ130" s="107"/>
      <c r="DK130" s="107"/>
      <c r="DL130" s="107"/>
      <c r="DM130" s="107"/>
    </row>
    <row r="131" spans="2:117" x14ac:dyDescent="0.3">
      <c r="B131" s="93" t="s">
        <v>1036</v>
      </c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>
        <v>1</v>
      </c>
      <c r="CV131" s="107"/>
      <c r="CW131" s="107"/>
      <c r="CX131" s="107"/>
      <c r="CY131" s="107"/>
      <c r="CZ131" s="107"/>
      <c r="DA131" s="107"/>
      <c r="DB131" s="107"/>
      <c r="DC131" s="107"/>
      <c r="DD131" s="107"/>
      <c r="DE131" s="107"/>
      <c r="DF131" s="107"/>
      <c r="DG131" s="107"/>
      <c r="DH131" s="107"/>
      <c r="DI131" s="107"/>
      <c r="DJ131" s="107"/>
      <c r="DK131" s="107"/>
      <c r="DL131" s="107"/>
      <c r="DM131" s="107"/>
    </row>
    <row r="132" spans="2:117" x14ac:dyDescent="0.3">
      <c r="B132" s="107" t="s">
        <v>1001</v>
      </c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  <c r="BQ132" s="107"/>
      <c r="BR132" s="107"/>
      <c r="BS132" s="107"/>
      <c r="BT132" s="107"/>
      <c r="BU132" s="107"/>
      <c r="BV132" s="107"/>
      <c r="BW132" s="107"/>
      <c r="BX132" s="107"/>
      <c r="BY132" s="107"/>
      <c r="BZ132" s="107"/>
      <c r="CA132" s="107"/>
      <c r="CB132" s="107"/>
      <c r="CC132" s="107"/>
      <c r="CD132" s="107"/>
      <c r="CE132" s="107"/>
      <c r="CF132" s="107"/>
      <c r="CG132" s="107"/>
      <c r="CH132" s="107"/>
      <c r="CI132" s="107"/>
      <c r="CJ132" s="107"/>
      <c r="CK132" s="107"/>
      <c r="CL132" s="107"/>
      <c r="CM132" s="107"/>
      <c r="CN132" s="107"/>
      <c r="CO132" s="107"/>
      <c r="CP132" s="107"/>
      <c r="CQ132" s="107"/>
      <c r="CR132" s="107"/>
      <c r="CS132" s="107"/>
      <c r="CT132" s="107"/>
      <c r="CU132" s="107"/>
      <c r="CV132" s="107">
        <v>1</v>
      </c>
      <c r="CW132" s="107"/>
      <c r="CX132" s="107"/>
      <c r="CY132" s="107"/>
      <c r="CZ132" s="107"/>
      <c r="DA132" s="107"/>
      <c r="DB132" s="107"/>
      <c r="DC132" s="107"/>
      <c r="DD132" s="107"/>
      <c r="DE132" s="107"/>
      <c r="DF132" s="107"/>
      <c r="DG132" s="107"/>
      <c r="DH132" s="107"/>
      <c r="DI132" s="107"/>
      <c r="DJ132" s="107"/>
      <c r="DK132" s="107"/>
      <c r="DL132" s="107"/>
      <c r="DM132" s="107"/>
    </row>
    <row r="133" spans="2:117" x14ac:dyDescent="0.3">
      <c r="B133" s="107" t="s">
        <v>1002</v>
      </c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7"/>
      <c r="BX133" s="107"/>
      <c r="BY133" s="107"/>
      <c r="BZ133" s="107"/>
      <c r="CA133" s="107"/>
      <c r="CB133" s="107"/>
      <c r="CC133" s="107"/>
      <c r="CD133" s="107"/>
      <c r="CE133" s="107"/>
      <c r="CF133" s="107"/>
      <c r="CG133" s="107"/>
      <c r="CH133" s="107"/>
      <c r="CI133" s="107"/>
      <c r="CJ133" s="107"/>
      <c r="CK133" s="107"/>
      <c r="CL133" s="107"/>
      <c r="CM133" s="107"/>
      <c r="CN133" s="107"/>
      <c r="CO133" s="107"/>
      <c r="CP133" s="107"/>
      <c r="CQ133" s="107"/>
      <c r="CR133" s="107"/>
      <c r="CS133" s="107"/>
      <c r="CT133" s="107"/>
      <c r="CU133" s="107"/>
      <c r="CV133" s="107"/>
      <c r="CW133" s="107">
        <v>1</v>
      </c>
      <c r="CX133" s="107"/>
      <c r="CY133" s="107"/>
      <c r="CZ133" s="107"/>
      <c r="DA133" s="107"/>
      <c r="DB133" s="107"/>
      <c r="DC133" s="107"/>
      <c r="DD133" s="107"/>
      <c r="DE133" s="107"/>
      <c r="DF133" s="107"/>
      <c r="DG133" s="107"/>
      <c r="DH133" s="107"/>
      <c r="DI133" s="107"/>
      <c r="DJ133" s="107"/>
      <c r="DK133" s="107"/>
      <c r="DL133" s="107"/>
      <c r="DM133" s="107"/>
    </row>
    <row r="134" spans="2:117" x14ac:dyDescent="0.3">
      <c r="B134" s="107" t="s">
        <v>1003</v>
      </c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  <c r="BS134" s="107"/>
      <c r="BT134" s="107"/>
      <c r="BU134" s="107"/>
      <c r="BV134" s="107"/>
      <c r="BW134" s="107"/>
      <c r="BX134" s="107"/>
      <c r="BY134" s="107"/>
      <c r="BZ134" s="107"/>
      <c r="CA134" s="107"/>
      <c r="CB134" s="107"/>
      <c r="CC134" s="107"/>
      <c r="CD134" s="107"/>
      <c r="CE134" s="107"/>
      <c r="CF134" s="107"/>
      <c r="CG134" s="107"/>
      <c r="CH134" s="107"/>
      <c r="CI134" s="107"/>
      <c r="CJ134" s="107"/>
      <c r="CK134" s="107"/>
      <c r="CL134" s="107"/>
      <c r="CM134" s="107"/>
      <c r="CN134" s="107"/>
      <c r="CO134" s="107"/>
      <c r="CP134" s="107"/>
      <c r="CQ134" s="107"/>
      <c r="CR134" s="107"/>
      <c r="CS134" s="107"/>
      <c r="CT134" s="107"/>
      <c r="CU134" s="107"/>
      <c r="CV134" s="107"/>
      <c r="CW134" s="107"/>
      <c r="CX134" s="107">
        <v>1</v>
      </c>
      <c r="CY134" s="107"/>
      <c r="CZ134" s="107"/>
      <c r="DA134" s="107"/>
      <c r="DB134" s="107"/>
      <c r="DC134" s="107"/>
      <c r="DD134" s="107"/>
      <c r="DE134" s="107"/>
      <c r="DF134" s="107"/>
      <c r="DG134" s="107"/>
      <c r="DH134" s="107"/>
      <c r="DI134" s="107"/>
      <c r="DJ134" s="107"/>
      <c r="DK134" s="107"/>
      <c r="DL134" s="107"/>
      <c r="DM134" s="107"/>
    </row>
    <row r="135" spans="2:117" x14ac:dyDescent="0.3">
      <c r="B135" s="107" t="s">
        <v>1004</v>
      </c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  <c r="BC135" s="107"/>
      <c r="BD135" s="107"/>
      <c r="BE135" s="107"/>
      <c r="BF135" s="107"/>
      <c r="BG135" s="107"/>
      <c r="BH135" s="107"/>
      <c r="BI135" s="107"/>
      <c r="BJ135" s="107"/>
      <c r="BK135" s="107"/>
      <c r="BL135" s="107"/>
      <c r="BM135" s="107"/>
      <c r="BN135" s="107"/>
      <c r="BO135" s="107"/>
      <c r="BP135" s="107"/>
      <c r="BQ135" s="107"/>
      <c r="BR135" s="107"/>
      <c r="BS135" s="107"/>
      <c r="BT135" s="107"/>
      <c r="BU135" s="107"/>
      <c r="BV135" s="107"/>
      <c r="BW135" s="107"/>
      <c r="BX135" s="107"/>
      <c r="BY135" s="107"/>
      <c r="BZ135" s="107"/>
      <c r="CA135" s="107"/>
      <c r="CB135" s="107"/>
      <c r="CC135" s="107"/>
      <c r="CD135" s="107"/>
      <c r="CE135" s="107"/>
      <c r="CF135" s="107"/>
      <c r="CG135" s="107"/>
      <c r="CH135" s="107"/>
      <c r="CI135" s="107"/>
      <c r="CJ135" s="107"/>
      <c r="CK135" s="107"/>
      <c r="CL135" s="107"/>
      <c r="CM135" s="107"/>
      <c r="CN135" s="107"/>
      <c r="CO135" s="107"/>
      <c r="CP135" s="107"/>
      <c r="CQ135" s="107"/>
      <c r="CR135" s="107"/>
      <c r="CS135" s="107"/>
      <c r="CT135" s="107"/>
      <c r="CU135" s="107"/>
      <c r="CV135" s="107"/>
      <c r="CW135" s="107"/>
      <c r="CX135" s="107"/>
      <c r="CY135" s="107">
        <v>1</v>
      </c>
      <c r="CZ135" s="107"/>
      <c r="DA135" s="107"/>
      <c r="DB135" s="107"/>
      <c r="DC135" s="107"/>
      <c r="DD135" s="107"/>
      <c r="DE135" s="107"/>
      <c r="DF135" s="107"/>
      <c r="DG135" s="107"/>
      <c r="DH135" s="107"/>
      <c r="DI135" s="107"/>
      <c r="DJ135" s="107"/>
      <c r="DK135" s="107"/>
      <c r="DL135" s="107"/>
      <c r="DM135" s="107"/>
    </row>
    <row r="136" spans="2:117" x14ac:dyDescent="0.3">
      <c r="B136" s="107" t="s">
        <v>1005</v>
      </c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  <c r="BC136" s="107"/>
      <c r="BD136" s="107"/>
      <c r="BE136" s="107"/>
      <c r="BF136" s="107"/>
      <c r="BG136" s="107"/>
      <c r="BH136" s="107"/>
      <c r="BI136" s="107"/>
      <c r="BJ136" s="107"/>
      <c r="BK136" s="107"/>
      <c r="BL136" s="107"/>
      <c r="BM136" s="107"/>
      <c r="BN136" s="107"/>
      <c r="BO136" s="107"/>
      <c r="BP136" s="107"/>
      <c r="BQ136" s="107"/>
      <c r="BR136" s="107"/>
      <c r="BS136" s="107"/>
      <c r="BT136" s="107"/>
      <c r="BU136" s="107"/>
      <c r="BV136" s="107"/>
      <c r="BW136" s="107"/>
      <c r="BX136" s="107"/>
      <c r="BY136" s="107"/>
      <c r="BZ136" s="107"/>
      <c r="CA136" s="107"/>
      <c r="CB136" s="107"/>
      <c r="CC136" s="107"/>
      <c r="CD136" s="107"/>
      <c r="CE136" s="107"/>
      <c r="CF136" s="107"/>
      <c r="CG136" s="107"/>
      <c r="CH136" s="107"/>
      <c r="CI136" s="107"/>
      <c r="CJ136" s="107"/>
      <c r="CK136" s="107"/>
      <c r="CL136" s="107"/>
      <c r="CM136" s="107"/>
      <c r="CN136" s="107"/>
      <c r="CO136" s="107"/>
      <c r="CP136" s="107"/>
      <c r="CQ136" s="107"/>
      <c r="CR136" s="107"/>
      <c r="CS136" s="107"/>
      <c r="CT136" s="107"/>
      <c r="CU136" s="107"/>
      <c r="CV136" s="107"/>
      <c r="CW136" s="107"/>
      <c r="CX136" s="107"/>
      <c r="CY136" s="107"/>
      <c r="CZ136" s="107">
        <v>1</v>
      </c>
      <c r="DA136" s="107"/>
      <c r="DB136" s="107"/>
      <c r="DC136" s="107"/>
      <c r="DD136" s="107"/>
      <c r="DE136" s="107"/>
      <c r="DF136" s="107"/>
      <c r="DG136" s="107"/>
      <c r="DH136" s="107"/>
      <c r="DI136" s="107"/>
      <c r="DJ136" s="107"/>
      <c r="DK136" s="107"/>
      <c r="DL136" s="107"/>
      <c r="DM136" s="107"/>
    </row>
    <row r="137" spans="2:117" x14ac:dyDescent="0.3">
      <c r="B137" s="107" t="s">
        <v>1006</v>
      </c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  <c r="BC137" s="107"/>
      <c r="BD137" s="107"/>
      <c r="BE137" s="107"/>
      <c r="BF137" s="107"/>
      <c r="BG137" s="107"/>
      <c r="BH137" s="107"/>
      <c r="BI137" s="107"/>
      <c r="BJ137" s="107"/>
      <c r="BK137" s="107"/>
      <c r="BL137" s="107"/>
      <c r="BM137" s="107"/>
      <c r="BN137" s="107"/>
      <c r="BO137" s="107"/>
      <c r="BP137" s="107"/>
      <c r="BQ137" s="107"/>
      <c r="BR137" s="107"/>
      <c r="BS137" s="107"/>
      <c r="BT137" s="107"/>
      <c r="BU137" s="107"/>
      <c r="BV137" s="107"/>
      <c r="BW137" s="107"/>
      <c r="BX137" s="107"/>
      <c r="BY137" s="107"/>
      <c r="BZ137" s="107"/>
      <c r="CA137" s="107"/>
      <c r="CB137" s="107"/>
      <c r="CC137" s="107"/>
      <c r="CD137" s="107"/>
      <c r="CE137" s="107"/>
      <c r="CF137" s="107"/>
      <c r="CG137" s="107"/>
      <c r="CH137" s="107"/>
      <c r="CI137" s="107"/>
      <c r="CJ137" s="107"/>
      <c r="CK137" s="107"/>
      <c r="CL137" s="107"/>
      <c r="CM137" s="107"/>
      <c r="CN137" s="107"/>
      <c r="CO137" s="107"/>
      <c r="CP137" s="107"/>
      <c r="CQ137" s="107"/>
      <c r="CR137" s="107"/>
      <c r="CS137" s="107"/>
      <c r="CT137" s="107"/>
      <c r="CU137" s="107"/>
      <c r="CV137" s="107"/>
      <c r="CW137" s="107"/>
      <c r="CX137" s="107"/>
      <c r="CY137" s="107"/>
      <c r="CZ137" s="107"/>
      <c r="DA137" s="107">
        <v>1</v>
      </c>
      <c r="DB137" s="107"/>
      <c r="DC137" s="107"/>
      <c r="DD137" s="107"/>
      <c r="DE137" s="107"/>
      <c r="DF137" s="107"/>
      <c r="DG137" s="107"/>
      <c r="DH137" s="107"/>
      <c r="DI137" s="107"/>
      <c r="DJ137" s="107"/>
      <c r="DK137" s="107"/>
      <c r="DL137" s="107"/>
      <c r="DM137" s="107"/>
    </row>
    <row r="138" spans="2:117" x14ac:dyDescent="0.3">
      <c r="B138" s="107" t="s">
        <v>1007</v>
      </c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  <c r="BC138" s="107"/>
      <c r="BD138" s="107"/>
      <c r="BE138" s="107"/>
      <c r="BF138" s="107"/>
      <c r="BG138" s="107"/>
      <c r="BH138" s="107"/>
      <c r="BI138" s="107"/>
      <c r="BJ138" s="107"/>
      <c r="BK138" s="107"/>
      <c r="BL138" s="107"/>
      <c r="BM138" s="107"/>
      <c r="BN138" s="107"/>
      <c r="BO138" s="107"/>
      <c r="BP138" s="107"/>
      <c r="BQ138" s="107"/>
      <c r="BR138" s="107"/>
      <c r="BS138" s="107"/>
      <c r="BT138" s="107"/>
      <c r="BU138" s="107"/>
      <c r="BV138" s="107"/>
      <c r="BW138" s="107"/>
      <c r="BX138" s="107"/>
      <c r="BY138" s="107"/>
      <c r="BZ138" s="107"/>
      <c r="CA138" s="107"/>
      <c r="CB138" s="107"/>
      <c r="CC138" s="107"/>
      <c r="CD138" s="107"/>
      <c r="CE138" s="107"/>
      <c r="CF138" s="107"/>
      <c r="CG138" s="107"/>
      <c r="CH138" s="107"/>
      <c r="CI138" s="107"/>
      <c r="CJ138" s="107"/>
      <c r="CK138" s="107"/>
      <c r="CL138" s="107"/>
      <c r="CM138" s="107"/>
      <c r="CN138" s="107"/>
      <c r="CO138" s="107"/>
      <c r="CP138" s="107"/>
      <c r="CQ138" s="107"/>
      <c r="CR138" s="107"/>
      <c r="CS138" s="107"/>
      <c r="CT138" s="107"/>
      <c r="CU138" s="107"/>
      <c r="CV138" s="107"/>
      <c r="CW138" s="107"/>
      <c r="CX138" s="107"/>
      <c r="CY138" s="107"/>
      <c r="CZ138" s="107"/>
      <c r="DA138" s="107"/>
      <c r="DB138" s="107">
        <v>1</v>
      </c>
      <c r="DC138" s="107"/>
      <c r="DD138" s="107"/>
      <c r="DE138" s="107"/>
      <c r="DF138" s="107"/>
      <c r="DG138" s="107"/>
      <c r="DH138" s="107"/>
      <c r="DI138" s="107"/>
      <c r="DJ138" s="107"/>
      <c r="DK138" s="107"/>
      <c r="DL138" s="107"/>
      <c r="DM138" s="107"/>
    </row>
    <row r="139" spans="2:117" x14ac:dyDescent="0.3">
      <c r="B139" s="107" t="s">
        <v>1008</v>
      </c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  <c r="BC139" s="107"/>
      <c r="BD139" s="107"/>
      <c r="BE139" s="107"/>
      <c r="BF139" s="107"/>
      <c r="BG139" s="107"/>
      <c r="BH139" s="107"/>
      <c r="BI139" s="107"/>
      <c r="BJ139" s="107"/>
      <c r="BK139" s="107"/>
      <c r="BL139" s="107"/>
      <c r="BM139" s="107"/>
      <c r="BN139" s="107"/>
      <c r="BO139" s="107"/>
      <c r="BP139" s="107"/>
      <c r="BQ139" s="107"/>
      <c r="BR139" s="107"/>
      <c r="BS139" s="107"/>
      <c r="BT139" s="107"/>
      <c r="BU139" s="107"/>
      <c r="BV139" s="107"/>
      <c r="BW139" s="107"/>
      <c r="BX139" s="107"/>
      <c r="BY139" s="107"/>
      <c r="BZ139" s="107"/>
      <c r="CA139" s="107"/>
      <c r="CB139" s="107"/>
      <c r="CC139" s="107"/>
      <c r="CD139" s="107"/>
      <c r="CE139" s="107"/>
      <c r="CF139" s="107"/>
      <c r="CG139" s="107"/>
      <c r="CH139" s="107"/>
      <c r="CI139" s="107"/>
      <c r="CJ139" s="107"/>
      <c r="CK139" s="107"/>
      <c r="CL139" s="107"/>
      <c r="CM139" s="107"/>
      <c r="CN139" s="107"/>
      <c r="CO139" s="107"/>
      <c r="CP139" s="107"/>
      <c r="CQ139" s="107"/>
      <c r="CR139" s="107"/>
      <c r="CS139" s="107"/>
      <c r="CT139" s="107"/>
      <c r="CU139" s="107"/>
      <c r="CV139" s="107"/>
      <c r="CW139" s="107"/>
      <c r="CX139" s="107"/>
      <c r="CY139" s="107"/>
      <c r="CZ139" s="107"/>
      <c r="DA139" s="107"/>
      <c r="DB139" s="107"/>
      <c r="DC139" s="107">
        <v>1</v>
      </c>
      <c r="DD139" s="107"/>
      <c r="DE139" s="107"/>
      <c r="DF139" s="107"/>
      <c r="DG139" s="107"/>
      <c r="DH139" s="107"/>
      <c r="DI139" s="107"/>
      <c r="DJ139" s="107"/>
      <c r="DK139" s="107"/>
      <c r="DL139" s="107"/>
      <c r="DM139" s="107"/>
    </row>
    <row r="140" spans="2:117" x14ac:dyDescent="0.3">
      <c r="B140" s="107" t="s">
        <v>1009</v>
      </c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7"/>
      <c r="BX140" s="107"/>
      <c r="BY140" s="107"/>
      <c r="BZ140" s="107"/>
      <c r="CA140" s="107"/>
      <c r="CB140" s="107"/>
      <c r="CC140" s="107"/>
      <c r="CD140" s="107"/>
      <c r="CE140" s="107"/>
      <c r="CF140" s="107"/>
      <c r="CG140" s="107"/>
      <c r="CH140" s="107"/>
      <c r="CI140" s="107"/>
      <c r="CJ140" s="107"/>
      <c r="CK140" s="107"/>
      <c r="CL140" s="107"/>
      <c r="CM140" s="107"/>
      <c r="CN140" s="107"/>
      <c r="CO140" s="107"/>
      <c r="CP140" s="107"/>
      <c r="CQ140" s="107"/>
      <c r="CR140" s="107"/>
      <c r="CS140" s="107"/>
      <c r="CT140" s="107"/>
      <c r="CU140" s="107"/>
      <c r="CV140" s="107"/>
      <c r="CW140" s="107"/>
      <c r="CX140" s="107"/>
      <c r="CY140" s="107"/>
      <c r="CZ140" s="107"/>
      <c r="DA140" s="107"/>
      <c r="DB140" s="107"/>
      <c r="DC140" s="107"/>
      <c r="DD140" s="107">
        <v>1</v>
      </c>
      <c r="DE140" s="107"/>
      <c r="DF140" s="107"/>
      <c r="DG140" s="107"/>
      <c r="DH140" s="107"/>
      <c r="DI140" s="107"/>
      <c r="DJ140" s="107"/>
      <c r="DK140" s="107"/>
      <c r="DL140" s="107"/>
      <c r="DM140" s="107"/>
    </row>
    <row r="141" spans="2:117" x14ac:dyDescent="0.3">
      <c r="B141" s="107" t="s">
        <v>1010</v>
      </c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  <c r="BC141" s="107"/>
      <c r="BD141" s="107"/>
      <c r="BE141" s="107"/>
      <c r="BF141" s="107"/>
      <c r="BG141" s="107"/>
      <c r="BH141" s="107"/>
      <c r="BI141" s="107"/>
      <c r="BJ141" s="107"/>
      <c r="BK141" s="107"/>
      <c r="BL141" s="107"/>
      <c r="BM141" s="107"/>
      <c r="BN141" s="107"/>
      <c r="BO141" s="107"/>
      <c r="BP141" s="107"/>
      <c r="BQ141" s="107"/>
      <c r="BR141" s="107"/>
      <c r="BS141" s="107"/>
      <c r="BT141" s="107"/>
      <c r="BU141" s="107"/>
      <c r="BV141" s="107"/>
      <c r="BW141" s="107"/>
      <c r="BX141" s="107"/>
      <c r="BY141" s="107"/>
      <c r="BZ141" s="107"/>
      <c r="CA141" s="107"/>
      <c r="CB141" s="107"/>
      <c r="CC141" s="107"/>
      <c r="CD141" s="107"/>
      <c r="CE141" s="107"/>
      <c r="CF141" s="107"/>
      <c r="CG141" s="107"/>
      <c r="CH141" s="107"/>
      <c r="CI141" s="107"/>
      <c r="CJ141" s="107"/>
      <c r="CK141" s="107"/>
      <c r="CL141" s="107"/>
      <c r="CM141" s="107"/>
      <c r="CN141" s="107"/>
      <c r="CO141" s="107"/>
      <c r="CP141" s="107"/>
      <c r="CQ141" s="107"/>
      <c r="CR141" s="107"/>
      <c r="CS141" s="107"/>
      <c r="CT141" s="107"/>
      <c r="CU141" s="107"/>
      <c r="CV141" s="107"/>
      <c r="CW141" s="107"/>
      <c r="CX141" s="107"/>
      <c r="CY141" s="107"/>
      <c r="CZ141" s="107"/>
      <c r="DA141" s="107"/>
      <c r="DB141" s="107"/>
      <c r="DC141" s="107"/>
      <c r="DD141" s="107"/>
      <c r="DE141" s="107">
        <v>1</v>
      </c>
      <c r="DF141" s="107"/>
      <c r="DG141" s="107"/>
      <c r="DH141" s="107"/>
      <c r="DI141" s="107"/>
      <c r="DJ141" s="107"/>
      <c r="DK141" s="107"/>
      <c r="DL141" s="107"/>
      <c r="DM141" s="107"/>
    </row>
    <row r="142" spans="2:117" x14ac:dyDescent="0.3">
      <c r="B142" s="107" t="s">
        <v>1011</v>
      </c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  <c r="BS142" s="107"/>
      <c r="BT142" s="107"/>
      <c r="BU142" s="107"/>
      <c r="BV142" s="107"/>
      <c r="BW142" s="107"/>
      <c r="BX142" s="107"/>
      <c r="BY142" s="107"/>
      <c r="BZ142" s="107"/>
      <c r="CA142" s="107"/>
      <c r="CB142" s="107"/>
      <c r="CC142" s="107"/>
      <c r="CD142" s="107"/>
      <c r="CE142" s="107"/>
      <c r="CF142" s="107"/>
      <c r="CG142" s="107"/>
      <c r="CH142" s="107"/>
      <c r="CI142" s="107"/>
      <c r="CJ142" s="107"/>
      <c r="CK142" s="107"/>
      <c r="CL142" s="107"/>
      <c r="CM142" s="107"/>
      <c r="CN142" s="107"/>
      <c r="CO142" s="107"/>
      <c r="CP142" s="107"/>
      <c r="CQ142" s="107"/>
      <c r="CR142" s="107"/>
      <c r="CS142" s="107"/>
      <c r="CT142" s="107"/>
      <c r="CU142" s="107"/>
      <c r="CV142" s="107"/>
      <c r="CW142" s="107"/>
      <c r="CX142" s="107"/>
      <c r="CY142" s="107"/>
      <c r="CZ142" s="107"/>
      <c r="DA142" s="107"/>
      <c r="DB142" s="107"/>
      <c r="DC142" s="107"/>
      <c r="DD142" s="107"/>
      <c r="DE142" s="107"/>
      <c r="DF142" s="107">
        <v>1</v>
      </c>
      <c r="DG142" s="107"/>
      <c r="DH142" s="107"/>
      <c r="DI142" s="107"/>
      <c r="DJ142" s="107"/>
      <c r="DK142" s="107"/>
      <c r="DL142" s="107"/>
      <c r="DM142" s="107"/>
    </row>
    <row r="143" spans="2:117" x14ac:dyDescent="0.3">
      <c r="B143" s="107" t="s">
        <v>1012</v>
      </c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  <c r="BY143" s="107"/>
      <c r="BZ143" s="107"/>
      <c r="CA143" s="107"/>
      <c r="CB143" s="107"/>
      <c r="CC143" s="107"/>
      <c r="CD143" s="107"/>
      <c r="CE143" s="107"/>
      <c r="CF143" s="107"/>
      <c r="CG143" s="107"/>
      <c r="CH143" s="107"/>
      <c r="CI143" s="107"/>
      <c r="CJ143" s="107"/>
      <c r="CK143" s="107"/>
      <c r="CL143" s="107"/>
      <c r="CM143" s="107"/>
      <c r="CN143" s="107"/>
      <c r="CO143" s="107"/>
      <c r="CP143" s="107"/>
      <c r="CQ143" s="107"/>
      <c r="CR143" s="107"/>
      <c r="CS143" s="107"/>
      <c r="CT143" s="107"/>
      <c r="CU143" s="107"/>
      <c r="CV143" s="107"/>
      <c r="CW143" s="107"/>
      <c r="CX143" s="107"/>
      <c r="CY143" s="107"/>
      <c r="CZ143" s="107"/>
      <c r="DA143" s="107"/>
      <c r="DB143" s="107"/>
      <c r="DC143" s="107"/>
      <c r="DD143" s="107"/>
      <c r="DE143" s="107"/>
      <c r="DF143" s="107"/>
      <c r="DG143" s="107">
        <v>1</v>
      </c>
      <c r="DH143" s="107"/>
      <c r="DI143" s="107"/>
      <c r="DJ143" s="107"/>
      <c r="DK143" s="107"/>
      <c r="DL143" s="107"/>
      <c r="DM143" s="107"/>
    </row>
    <row r="144" spans="2:117" x14ac:dyDescent="0.3">
      <c r="B144" s="107" t="s">
        <v>1013</v>
      </c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  <c r="BH144" s="107"/>
      <c r="BI144" s="107"/>
      <c r="BJ144" s="107"/>
      <c r="BK144" s="107"/>
      <c r="BL144" s="107"/>
      <c r="BM144" s="107"/>
      <c r="BN144" s="107"/>
      <c r="BO144" s="107"/>
      <c r="BP144" s="107"/>
      <c r="BQ144" s="107"/>
      <c r="BR144" s="107"/>
      <c r="BS144" s="107"/>
      <c r="BT144" s="107"/>
      <c r="BU144" s="107"/>
      <c r="BV144" s="107"/>
      <c r="BW144" s="107"/>
      <c r="BX144" s="107"/>
      <c r="BY144" s="107"/>
      <c r="BZ144" s="107"/>
      <c r="CA144" s="107"/>
      <c r="CB144" s="107"/>
      <c r="CC144" s="107"/>
      <c r="CD144" s="107"/>
      <c r="CE144" s="107"/>
      <c r="CF144" s="107"/>
      <c r="CG144" s="107"/>
      <c r="CH144" s="107"/>
      <c r="CI144" s="107"/>
      <c r="CJ144" s="107"/>
      <c r="CK144" s="107"/>
      <c r="CL144" s="107"/>
      <c r="CM144" s="107"/>
      <c r="CN144" s="107"/>
      <c r="CO144" s="107"/>
      <c r="CP144" s="107"/>
      <c r="CQ144" s="107"/>
      <c r="CR144" s="107"/>
      <c r="CS144" s="107"/>
      <c r="CT144" s="107"/>
      <c r="CU144" s="107"/>
      <c r="CV144" s="107"/>
      <c r="CW144" s="107"/>
      <c r="CX144" s="107"/>
      <c r="CY144" s="107"/>
      <c r="CZ144" s="107"/>
      <c r="DA144" s="107"/>
      <c r="DB144" s="107"/>
      <c r="DC144" s="107"/>
      <c r="DD144" s="107"/>
      <c r="DE144" s="107"/>
      <c r="DF144" s="107"/>
      <c r="DG144" s="107"/>
      <c r="DH144" s="107">
        <v>1</v>
      </c>
      <c r="DI144" s="107"/>
      <c r="DJ144" s="107"/>
      <c r="DK144" s="107"/>
      <c r="DL144" s="107"/>
      <c r="DM144" s="107"/>
    </row>
    <row r="145" spans="2:117" x14ac:dyDescent="0.3">
      <c r="B145" s="107" t="s">
        <v>1014</v>
      </c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  <c r="BH145" s="107"/>
      <c r="BI145" s="107"/>
      <c r="BJ145" s="107"/>
      <c r="BK145" s="107"/>
      <c r="BL145" s="107"/>
      <c r="BM145" s="107"/>
      <c r="BN145" s="107"/>
      <c r="BO145" s="107"/>
      <c r="BP145" s="107"/>
      <c r="BQ145" s="107"/>
      <c r="BR145" s="107"/>
      <c r="BS145" s="107"/>
      <c r="BT145" s="107"/>
      <c r="BU145" s="107"/>
      <c r="BV145" s="107"/>
      <c r="BW145" s="107"/>
      <c r="BX145" s="107"/>
      <c r="BY145" s="107"/>
      <c r="BZ145" s="107"/>
      <c r="CA145" s="107"/>
      <c r="CB145" s="107"/>
      <c r="CC145" s="107"/>
      <c r="CD145" s="107"/>
      <c r="CE145" s="107"/>
      <c r="CF145" s="107"/>
      <c r="CG145" s="107"/>
      <c r="CH145" s="107"/>
      <c r="CI145" s="107"/>
      <c r="CJ145" s="107"/>
      <c r="CK145" s="107"/>
      <c r="CL145" s="107"/>
      <c r="CM145" s="107"/>
      <c r="CN145" s="107"/>
      <c r="CO145" s="107"/>
      <c r="CP145" s="107"/>
      <c r="CQ145" s="107"/>
      <c r="CR145" s="107"/>
      <c r="CS145" s="107"/>
      <c r="CT145" s="107"/>
      <c r="CU145" s="107"/>
      <c r="CV145" s="107"/>
      <c r="CW145" s="107"/>
      <c r="CX145" s="107"/>
      <c r="CY145" s="107"/>
      <c r="CZ145" s="107"/>
      <c r="DA145" s="107"/>
      <c r="DB145" s="107"/>
      <c r="DC145" s="107"/>
      <c r="DD145" s="107"/>
      <c r="DE145" s="107"/>
      <c r="DF145" s="107"/>
      <c r="DG145" s="107"/>
      <c r="DH145" s="107"/>
      <c r="DI145" s="107">
        <v>1</v>
      </c>
      <c r="DJ145" s="107"/>
      <c r="DK145" s="107"/>
      <c r="DL145" s="107"/>
      <c r="DM145" s="107"/>
    </row>
    <row r="146" spans="2:117" x14ac:dyDescent="0.3">
      <c r="B146" s="107" t="s">
        <v>1015</v>
      </c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  <c r="BH146" s="107"/>
      <c r="BI146" s="107"/>
      <c r="BJ146" s="107"/>
      <c r="BK146" s="107"/>
      <c r="BL146" s="107"/>
      <c r="BM146" s="107"/>
      <c r="BN146" s="107"/>
      <c r="BO146" s="107"/>
      <c r="BP146" s="107"/>
      <c r="BQ146" s="107"/>
      <c r="BR146" s="107"/>
      <c r="BS146" s="107"/>
      <c r="BT146" s="107"/>
      <c r="BU146" s="107"/>
      <c r="BV146" s="107"/>
      <c r="BW146" s="107"/>
      <c r="BX146" s="107"/>
      <c r="BY146" s="107"/>
      <c r="BZ146" s="107"/>
      <c r="CA146" s="107"/>
      <c r="CB146" s="107"/>
      <c r="CC146" s="107"/>
      <c r="CD146" s="107"/>
      <c r="CE146" s="107"/>
      <c r="CF146" s="107"/>
      <c r="CG146" s="107"/>
      <c r="CH146" s="107"/>
      <c r="CI146" s="107"/>
      <c r="CJ146" s="107"/>
      <c r="CK146" s="107"/>
      <c r="CL146" s="107"/>
      <c r="CM146" s="107"/>
      <c r="CN146" s="107"/>
      <c r="CO146" s="107"/>
      <c r="CP146" s="107"/>
      <c r="CQ146" s="107"/>
      <c r="CR146" s="107"/>
      <c r="CS146" s="107"/>
      <c r="CT146" s="107"/>
      <c r="CU146" s="107"/>
      <c r="CV146" s="107"/>
      <c r="CW146" s="107"/>
      <c r="CX146" s="107"/>
      <c r="CY146" s="107"/>
      <c r="CZ146" s="107"/>
      <c r="DA146" s="107"/>
      <c r="DB146" s="107"/>
      <c r="DC146" s="107"/>
      <c r="DD146" s="107"/>
      <c r="DE146" s="107"/>
      <c r="DF146" s="107"/>
      <c r="DG146" s="107"/>
      <c r="DH146" s="107"/>
      <c r="DI146" s="107"/>
      <c r="DJ146" s="107">
        <v>1</v>
      </c>
      <c r="DK146" s="107"/>
      <c r="DL146" s="107"/>
      <c r="DM146" s="107"/>
    </row>
    <row r="147" spans="2:117" x14ac:dyDescent="0.3">
      <c r="B147" s="107" t="s">
        <v>1016</v>
      </c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  <c r="BH147" s="107"/>
      <c r="BI147" s="107"/>
      <c r="BJ147" s="107"/>
      <c r="BK147" s="107"/>
      <c r="BL147" s="107"/>
      <c r="BM147" s="107"/>
      <c r="BN147" s="107"/>
      <c r="BO147" s="107"/>
      <c r="BP147" s="107"/>
      <c r="BQ147" s="107"/>
      <c r="BR147" s="107"/>
      <c r="BS147" s="107"/>
      <c r="BT147" s="107"/>
      <c r="BU147" s="107"/>
      <c r="BV147" s="107"/>
      <c r="BW147" s="107"/>
      <c r="BX147" s="107"/>
      <c r="BY147" s="107"/>
      <c r="BZ147" s="107"/>
      <c r="CA147" s="107"/>
      <c r="CB147" s="107"/>
      <c r="CC147" s="107"/>
      <c r="CD147" s="107"/>
      <c r="CE147" s="107"/>
      <c r="CF147" s="107"/>
      <c r="CG147" s="107"/>
      <c r="CH147" s="107"/>
      <c r="CI147" s="107"/>
      <c r="CJ147" s="107"/>
      <c r="CK147" s="107"/>
      <c r="CL147" s="107"/>
      <c r="CM147" s="107"/>
      <c r="CN147" s="107"/>
      <c r="CO147" s="107"/>
      <c r="CP147" s="107"/>
      <c r="CQ147" s="107"/>
      <c r="CR147" s="107"/>
      <c r="CS147" s="107"/>
      <c r="CT147" s="107"/>
      <c r="CU147" s="107"/>
      <c r="CV147" s="107"/>
      <c r="CW147" s="107"/>
      <c r="CX147" s="107"/>
      <c r="CY147" s="107"/>
      <c r="CZ147" s="107"/>
      <c r="DA147" s="107"/>
      <c r="DB147" s="107"/>
      <c r="DC147" s="107"/>
      <c r="DD147" s="107"/>
      <c r="DE147" s="107"/>
      <c r="DF147" s="107"/>
      <c r="DG147" s="107"/>
      <c r="DH147" s="107"/>
      <c r="DI147" s="107"/>
      <c r="DJ147" s="107"/>
      <c r="DK147" s="107">
        <v>1</v>
      </c>
      <c r="DL147" s="107"/>
      <c r="DM147" s="107"/>
    </row>
    <row r="148" spans="2:117" x14ac:dyDescent="0.3">
      <c r="B148" s="107" t="s">
        <v>1017</v>
      </c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  <c r="BH148" s="107"/>
      <c r="BI148" s="107"/>
      <c r="BJ148" s="107"/>
      <c r="BK148" s="107"/>
      <c r="BL148" s="107"/>
      <c r="BM148" s="107"/>
      <c r="BN148" s="107"/>
      <c r="BO148" s="107"/>
      <c r="BP148" s="107"/>
      <c r="BQ148" s="107"/>
      <c r="BR148" s="107"/>
      <c r="BS148" s="107"/>
      <c r="BT148" s="107"/>
      <c r="BU148" s="107"/>
      <c r="BV148" s="107"/>
      <c r="BW148" s="107"/>
      <c r="BX148" s="107"/>
      <c r="BY148" s="107"/>
      <c r="BZ148" s="107"/>
      <c r="CA148" s="107"/>
      <c r="CB148" s="107"/>
      <c r="CC148" s="107"/>
      <c r="CD148" s="107"/>
      <c r="CE148" s="107"/>
      <c r="CF148" s="107"/>
      <c r="CG148" s="107"/>
      <c r="CH148" s="107"/>
      <c r="CI148" s="107"/>
      <c r="CJ148" s="107"/>
      <c r="CK148" s="107"/>
      <c r="CL148" s="107"/>
      <c r="CM148" s="107"/>
      <c r="CN148" s="107"/>
      <c r="CO148" s="107"/>
      <c r="CP148" s="107"/>
      <c r="CQ148" s="107"/>
      <c r="CR148" s="107"/>
      <c r="CS148" s="107"/>
      <c r="CT148" s="107"/>
      <c r="CU148" s="107"/>
      <c r="CV148" s="107"/>
      <c r="CW148" s="107"/>
      <c r="CX148" s="107"/>
      <c r="CY148" s="107"/>
      <c r="CZ148" s="107"/>
      <c r="DA148" s="107"/>
      <c r="DB148" s="107"/>
      <c r="DC148" s="107"/>
      <c r="DD148" s="107"/>
      <c r="DE148" s="107"/>
      <c r="DF148" s="107"/>
      <c r="DG148" s="107"/>
      <c r="DH148" s="107"/>
      <c r="DI148" s="107"/>
      <c r="DJ148" s="107"/>
      <c r="DK148" s="107"/>
      <c r="DL148" s="107">
        <v>1</v>
      </c>
      <c r="DM148" s="107"/>
    </row>
    <row r="149" spans="2:117" x14ac:dyDescent="0.3">
      <c r="B149" s="107" t="s">
        <v>1018</v>
      </c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  <c r="BH149" s="107"/>
      <c r="BI149" s="107"/>
      <c r="BJ149" s="107"/>
      <c r="BK149" s="107"/>
      <c r="BL149" s="107"/>
      <c r="BM149" s="107"/>
      <c r="BN149" s="107"/>
      <c r="BO149" s="107"/>
      <c r="BP149" s="107"/>
      <c r="BQ149" s="107"/>
      <c r="BR149" s="107"/>
      <c r="BS149" s="107"/>
      <c r="BT149" s="107"/>
      <c r="BU149" s="107"/>
      <c r="BV149" s="107"/>
      <c r="BW149" s="107"/>
      <c r="BX149" s="107"/>
      <c r="BY149" s="107"/>
      <c r="BZ149" s="107"/>
      <c r="CA149" s="107"/>
      <c r="CB149" s="107"/>
      <c r="CC149" s="107"/>
      <c r="CD149" s="107"/>
      <c r="CE149" s="107"/>
      <c r="CF149" s="107"/>
      <c r="CG149" s="107"/>
      <c r="CH149" s="107"/>
      <c r="CI149" s="107"/>
      <c r="CJ149" s="107"/>
      <c r="CK149" s="107"/>
      <c r="CL149" s="107"/>
      <c r="CM149" s="107"/>
      <c r="CN149" s="107"/>
      <c r="CO149" s="107"/>
      <c r="CP149" s="107"/>
      <c r="CQ149" s="107"/>
      <c r="CR149" s="107"/>
      <c r="CS149" s="107"/>
      <c r="CT149" s="107"/>
      <c r="CU149" s="107"/>
      <c r="CV149" s="107"/>
      <c r="CW149" s="107"/>
      <c r="CX149" s="107"/>
      <c r="CY149" s="107"/>
      <c r="CZ149" s="107"/>
      <c r="DA149" s="107"/>
      <c r="DB149" s="107"/>
      <c r="DC149" s="107"/>
      <c r="DD149" s="107"/>
      <c r="DE149" s="107"/>
      <c r="DF149" s="107"/>
      <c r="DG149" s="107"/>
      <c r="DH149" s="107"/>
      <c r="DI149" s="107"/>
      <c r="DJ149" s="107"/>
      <c r="DK149" s="107"/>
      <c r="DL149" s="107"/>
      <c r="DM149" s="107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2"/>
  <sheetViews>
    <sheetView topLeftCell="A31" workbookViewId="0">
      <selection activeCell="A53" sqref="A53:XFD53"/>
    </sheetView>
  </sheetViews>
  <sheetFormatPr baseColWidth="10" defaultColWidth="8.88671875" defaultRowHeight="14.4" x14ac:dyDescent="0.3"/>
  <cols>
    <col min="4" max="4" width="20" customWidth="1"/>
    <col min="5" max="5" width="20.109375" customWidth="1"/>
  </cols>
  <sheetData>
    <row r="1" spans="1:10" s="43" customFormat="1" x14ac:dyDescent="0.3">
      <c r="B1" s="113" t="s">
        <v>339</v>
      </c>
      <c r="C1" s="113" t="s">
        <v>339</v>
      </c>
      <c r="D1" s="113" t="s">
        <v>1175</v>
      </c>
      <c r="E1" s="113" t="s">
        <v>1175</v>
      </c>
      <c r="F1" s="4" t="s">
        <v>1111</v>
      </c>
      <c r="G1" s="4" t="s">
        <v>282</v>
      </c>
      <c r="H1" s="114" t="s">
        <v>1177</v>
      </c>
      <c r="I1" s="43" t="s">
        <v>1343</v>
      </c>
      <c r="J1" s="43" t="s">
        <v>1344</v>
      </c>
    </row>
    <row r="2" spans="1:10" x14ac:dyDescent="0.3">
      <c r="B2" s="4" t="s">
        <v>9</v>
      </c>
      <c r="C2" s="4" t="s">
        <v>10</v>
      </c>
      <c r="D2" s="4" t="s">
        <v>9</v>
      </c>
      <c r="E2" s="4" t="s">
        <v>10</v>
      </c>
      <c r="F2" s="4" t="s">
        <v>1178</v>
      </c>
      <c r="G2" s="4" t="s">
        <v>1178</v>
      </c>
      <c r="H2" s="4" t="s">
        <v>1178</v>
      </c>
      <c r="I2" t="s">
        <v>1345</v>
      </c>
      <c r="J2" t="s">
        <v>1345</v>
      </c>
    </row>
    <row r="3" spans="1:10" x14ac:dyDescent="0.3">
      <c r="A3" s="4" t="s">
        <v>1179</v>
      </c>
      <c r="B3">
        <v>0.19580400000000003</v>
      </c>
      <c r="C3">
        <v>0.52214400000000005</v>
      </c>
      <c r="D3">
        <v>0.1</v>
      </c>
      <c r="E3">
        <v>0.8</v>
      </c>
      <c r="F3">
        <v>3.8661728585653775E-2</v>
      </c>
      <c r="G3" s="2"/>
      <c r="H3">
        <v>2451.7069999999999</v>
      </c>
      <c r="I3">
        <v>0.05</v>
      </c>
      <c r="J3">
        <v>0.1</v>
      </c>
    </row>
    <row r="4" spans="1:10" x14ac:dyDescent="0.3">
      <c r="A4" s="4" t="s">
        <v>1180</v>
      </c>
      <c r="B4">
        <v>0.19580400000000003</v>
      </c>
      <c r="C4">
        <v>0.52214400000000005</v>
      </c>
      <c r="D4">
        <v>0.1</v>
      </c>
      <c r="E4">
        <v>0.8</v>
      </c>
      <c r="F4">
        <v>3.8661728585653775E-2</v>
      </c>
      <c r="G4" s="2"/>
      <c r="H4">
        <v>50.466999999999999</v>
      </c>
      <c r="I4">
        <v>0.05</v>
      </c>
      <c r="J4">
        <v>0.1</v>
      </c>
    </row>
    <row r="5" spans="1:10" x14ac:dyDescent="0.3">
      <c r="A5" s="4" t="s">
        <v>1181</v>
      </c>
      <c r="B5">
        <v>0.19580400000000003</v>
      </c>
      <c r="C5">
        <v>0.52214400000000005</v>
      </c>
      <c r="D5">
        <v>0.1</v>
      </c>
      <c r="E5">
        <v>0.8</v>
      </c>
      <c r="F5">
        <v>3.8661728585653775E-2</v>
      </c>
      <c r="G5" s="2"/>
      <c r="H5">
        <v>7873.1803399999999</v>
      </c>
      <c r="I5">
        <v>0.05</v>
      </c>
      <c r="J5">
        <v>0.1</v>
      </c>
    </row>
    <row r="6" spans="1:10" x14ac:dyDescent="0.3">
      <c r="A6" s="4" t="s">
        <v>1182</v>
      </c>
      <c r="B6">
        <v>0.19580400000000003</v>
      </c>
      <c r="C6">
        <v>0.52214400000000005</v>
      </c>
      <c r="D6">
        <v>0.1</v>
      </c>
      <c r="E6">
        <v>0.8</v>
      </c>
      <c r="F6">
        <v>3.8661728585653775E-2</v>
      </c>
      <c r="G6" s="2"/>
      <c r="I6">
        <v>0.05</v>
      </c>
      <c r="J6">
        <v>0.1</v>
      </c>
    </row>
    <row r="7" spans="1:10" x14ac:dyDescent="0.3">
      <c r="A7" s="4" t="s">
        <v>1183</v>
      </c>
      <c r="B7">
        <v>0.19580400000000003</v>
      </c>
      <c r="C7">
        <v>0.52214400000000005</v>
      </c>
      <c r="D7">
        <v>0.1</v>
      </c>
      <c r="E7">
        <v>0.8</v>
      </c>
      <c r="F7">
        <v>3.8661728585653775E-2</v>
      </c>
      <c r="G7" s="2"/>
      <c r="I7">
        <v>0.05</v>
      </c>
      <c r="J7">
        <v>0.1</v>
      </c>
    </row>
    <row r="8" spans="1:10" x14ac:dyDescent="0.3">
      <c r="A8" s="4" t="s">
        <v>1184</v>
      </c>
      <c r="B8">
        <v>0.19580400000000003</v>
      </c>
      <c r="C8">
        <v>0.52214400000000005</v>
      </c>
      <c r="D8">
        <v>0.1</v>
      </c>
      <c r="E8">
        <v>0.8</v>
      </c>
      <c r="F8">
        <v>3.8661728585653775E-2</v>
      </c>
      <c r="G8" s="2"/>
      <c r="H8">
        <v>3060.61</v>
      </c>
      <c r="I8">
        <v>0.05</v>
      </c>
      <c r="J8">
        <v>0.1</v>
      </c>
    </row>
    <row r="9" spans="1:10" x14ac:dyDescent="0.3">
      <c r="A9" s="4" t="s">
        <v>1185</v>
      </c>
      <c r="B9">
        <v>0.19580400000000003</v>
      </c>
      <c r="C9">
        <v>0.52214400000000005</v>
      </c>
      <c r="D9">
        <v>0.1</v>
      </c>
      <c r="E9">
        <v>0.8</v>
      </c>
      <c r="F9">
        <v>3.8661728585653775E-2</v>
      </c>
      <c r="G9" s="2"/>
      <c r="H9">
        <v>111.46869000000001</v>
      </c>
      <c r="I9">
        <v>0.05</v>
      </c>
      <c r="J9">
        <v>0.1</v>
      </c>
    </row>
    <row r="10" spans="1:10" x14ac:dyDescent="0.3">
      <c r="A10" s="4" t="s">
        <v>1186</v>
      </c>
      <c r="B10">
        <v>0.19580400000000003</v>
      </c>
      <c r="C10">
        <v>0.52214400000000005</v>
      </c>
      <c r="D10">
        <v>0.1</v>
      </c>
      <c r="E10">
        <v>0.8</v>
      </c>
      <c r="F10">
        <v>3.8661728585653775E-2</v>
      </c>
      <c r="G10" s="2"/>
      <c r="I10">
        <v>0.05</v>
      </c>
      <c r="J10">
        <v>0.1</v>
      </c>
    </row>
    <row r="11" spans="1:10" x14ac:dyDescent="0.3">
      <c r="A11" s="4" t="s">
        <v>1187</v>
      </c>
      <c r="B11">
        <v>0.19580400000000003</v>
      </c>
      <c r="C11">
        <v>0.52214400000000005</v>
      </c>
      <c r="D11">
        <v>0.1</v>
      </c>
      <c r="E11">
        <v>0.8</v>
      </c>
      <c r="F11">
        <v>9.6654321464134427E-2</v>
      </c>
      <c r="G11" s="2"/>
      <c r="H11">
        <v>8643.1980000000003</v>
      </c>
      <c r="I11">
        <v>0.05</v>
      </c>
      <c r="J11">
        <v>0.1</v>
      </c>
    </row>
    <row r="12" spans="1:10" x14ac:dyDescent="0.3">
      <c r="A12" s="4" t="s">
        <v>1188</v>
      </c>
      <c r="B12">
        <v>0.19580400000000003</v>
      </c>
      <c r="C12">
        <v>0.52214400000000005</v>
      </c>
      <c r="D12">
        <v>0.1</v>
      </c>
      <c r="E12">
        <v>0.8</v>
      </c>
      <c r="F12">
        <v>5.7992592878480652E-2</v>
      </c>
      <c r="G12" s="2"/>
      <c r="H12">
        <v>579.95400000000006</v>
      </c>
      <c r="I12">
        <v>0.05</v>
      </c>
      <c r="J12">
        <v>0.1</v>
      </c>
    </row>
    <row r="13" spans="1:10" x14ac:dyDescent="0.3">
      <c r="A13" s="4" t="s">
        <v>1189</v>
      </c>
      <c r="B13">
        <v>0.19580400000000003</v>
      </c>
      <c r="C13">
        <v>0.52214400000000005</v>
      </c>
      <c r="D13">
        <v>0.1</v>
      </c>
      <c r="E13">
        <v>0.8</v>
      </c>
      <c r="F13">
        <v>9.6654321464134427E-2</v>
      </c>
      <c r="G13" s="2"/>
      <c r="H13">
        <v>2301.6377700000003</v>
      </c>
      <c r="I13">
        <v>0.05</v>
      </c>
      <c r="J13">
        <v>0.1</v>
      </c>
    </row>
    <row r="14" spans="1:10" x14ac:dyDescent="0.3">
      <c r="A14" s="4" t="s">
        <v>1190</v>
      </c>
      <c r="B14">
        <v>0.19580400000000003</v>
      </c>
      <c r="C14">
        <v>0.52214400000000005</v>
      </c>
      <c r="D14">
        <v>0.1</v>
      </c>
      <c r="E14">
        <v>0.8</v>
      </c>
      <c r="F14">
        <v>9.6654321464134427E-2</v>
      </c>
      <c r="G14" s="2"/>
      <c r="H14">
        <v>7.3094566666666676</v>
      </c>
      <c r="I14">
        <v>0.05</v>
      </c>
      <c r="J14">
        <v>0.1</v>
      </c>
    </row>
    <row r="15" spans="1:10" x14ac:dyDescent="0.3">
      <c r="A15" s="4" t="s">
        <v>1191</v>
      </c>
      <c r="B15">
        <v>0.15000000000000002</v>
      </c>
      <c r="C15">
        <v>0.4</v>
      </c>
      <c r="D15">
        <v>0.1</v>
      </c>
      <c r="E15">
        <v>0.8</v>
      </c>
      <c r="F15">
        <v>3.8661728585653775E-2</v>
      </c>
      <c r="G15" s="2"/>
      <c r="I15">
        <v>0.05</v>
      </c>
      <c r="J15">
        <v>0.1</v>
      </c>
    </row>
    <row r="16" spans="1:10" x14ac:dyDescent="0.3">
      <c r="A16" s="4" t="s">
        <v>1192</v>
      </c>
      <c r="B16">
        <v>0.15000000000000002</v>
      </c>
      <c r="C16">
        <v>0.4</v>
      </c>
      <c r="D16">
        <v>0.1</v>
      </c>
      <c r="E16">
        <v>0.8</v>
      </c>
      <c r="F16">
        <v>3.8661728585653775E-2</v>
      </c>
      <c r="G16" s="2"/>
      <c r="I16">
        <v>0.05</v>
      </c>
      <c r="J16">
        <v>0.1</v>
      </c>
    </row>
    <row r="17" spans="1:10" x14ac:dyDescent="0.3">
      <c r="A17" s="4" t="s">
        <v>1193</v>
      </c>
      <c r="B17">
        <v>0.15000000000000002</v>
      </c>
      <c r="C17">
        <v>0.4</v>
      </c>
      <c r="D17">
        <v>0.1</v>
      </c>
      <c r="E17">
        <v>0.8</v>
      </c>
      <c r="F17">
        <v>3.8661728585653775E-2</v>
      </c>
      <c r="G17" s="2"/>
      <c r="I17">
        <v>0.05</v>
      </c>
      <c r="J17">
        <v>0.1</v>
      </c>
    </row>
    <row r="18" spans="1:10" x14ac:dyDescent="0.3">
      <c r="A18" s="4" t="s">
        <v>1194</v>
      </c>
      <c r="B18">
        <v>0.15000000000000002</v>
      </c>
      <c r="C18">
        <v>0.4</v>
      </c>
      <c r="D18">
        <v>0.1</v>
      </c>
      <c r="E18">
        <v>0.8</v>
      </c>
      <c r="F18">
        <v>3.8661728585653775E-2</v>
      </c>
      <c r="G18" s="2"/>
      <c r="I18">
        <v>0.05</v>
      </c>
      <c r="J18">
        <v>0.1</v>
      </c>
    </row>
    <row r="19" spans="1:10" x14ac:dyDescent="0.3">
      <c r="A19" s="4" t="s">
        <v>1195</v>
      </c>
      <c r="B19">
        <v>0.15000000000000002</v>
      </c>
      <c r="C19">
        <v>0.4</v>
      </c>
      <c r="D19">
        <v>0.1</v>
      </c>
      <c r="E19">
        <v>0.8</v>
      </c>
      <c r="F19">
        <v>3.8661728585653775E-2</v>
      </c>
      <c r="G19" s="2"/>
      <c r="I19">
        <v>0.05</v>
      </c>
      <c r="J19">
        <v>0.1</v>
      </c>
    </row>
    <row r="20" spans="1:10" x14ac:dyDescent="0.3">
      <c r="A20" s="4" t="s">
        <v>1349</v>
      </c>
      <c r="B20">
        <v>0.15000000000000002</v>
      </c>
      <c r="C20">
        <v>0.4</v>
      </c>
      <c r="D20">
        <v>0.1</v>
      </c>
      <c r="E20">
        <v>0.8</v>
      </c>
      <c r="F20">
        <v>3.8661728585653775E-2</v>
      </c>
      <c r="G20" s="2"/>
      <c r="I20">
        <v>0.05</v>
      </c>
      <c r="J20">
        <v>0.1</v>
      </c>
    </row>
    <row r="21" spans="1:10" x14ac:dyDescent="0.3">
      <c r="A21" s="4" t="s">
        <v>1197</v>
      </c>
      <c r="B21">
        <v>0.74</v>
      </c>
      <c r="C21">
        <v>2.2400000000000002</v>
      </c>
      <c r="D21">
        <v>0.1</v>
      </c>
      <c r="E21">
        <v>0.8</v>
      </c>
      <c r="F21">
        <v>3.8661728585653775E-2</v>
      </c>
      <c r="G21" s="2"/>
      <c r="H21">
        <v>496.2936666666667</v>
      </c>
      <c r="I21">
        <v>0.05</v>
      </c>
      <c r="J21">
        <v>0.1</v>
      </c>
    </row>
    <row r="22" spans="1:10" x14ac:dyDescent="0.3">
      <c r="A22" s="4" t="s">
        <v>1198</v>
      </c>
      <c r="B22">
        <v>0.74</v>
      </c>
      <c r="C22">
        <v>2.2400000000000002</v>
      </c>
      <c r="D22">
        <v>0.1</v>
      </c>
      <c r="E22">
        <v>0.8</v>
      </c>
      <c r="F22">
        <v>3.8661728585653775E-2</v>
      </c>
      <c r="G22" s="2"/>
      <c r="H22">
        <v>213.06187333333332</v>
      </c>
      <c r="I22">
        <v>0.05</v>
      </c>
      <c r="J22">
        <v>0.1</v>
      </c>
    </row>
    <row r="23" spans="1:10" x14ac:dyDescent="0.3">
      <c r="A23" s="4" t="s">
        <v>1199</v>
      </c>
      <c r="B23">
        <v>0.74</v>
      </c>
      <c r="C23">
        <v>2.2400000000000002</v>
      </c>
      <c r="D23">
        <v>0.1</v>
      </c>
      <c r="E23">
        <v>0.8</v>
      </c>
      <c r="F23">
        <v>3.8661728585653775E-2</v>
      </c>
      <c r="G23" s="2"/>
      <c r="I23">
        <v>0.05</v>
      </c>
      <c r="J23">
        <v>0.1</v>
      </c>
    </row>
    <row r="24" spans="1:10" x14ac:dyDescent="0.3">
      <c r="A24" s="4" t="s">
        <v>1200</v>
      </c>
      <c r="B24">
        <v>0.74</v>
      </c>
      <c r="C24">
        <v>2.2400000000000002</v>
      </c>
      <c r="D24">
        <v>0.1</v>
      </c>
      <c r="E24">
        <v>0.8</v>
      </c>
      <c r="F24">
        <v>3.8661728585653775E-2</v>
      </c>
      <c r="G24" s="2"/>
      <c r="I24">
        <v>0.05</v>
      </c>
      <c r="J24">
        <v>0.1</v>
      </c>
    </row>
    <row r="25" spans="1:10" x14ac:dyDescent="0.3">
      <c r="A25" s="4" t="s">
        <v>1201</v>
      </c>
      <c r="B25">
        <v>0.74</v>
      </c>
      <c r="C25">
        <v>2.2400000000000002</v>
      </c>
      <c r="D25">
        <v>0.1</v>
      </c>
      <c r="E25">
        <v>0.8</v>
      </c>
      <c r="F25">
        <v>3.8661728585653775E-2</v>
      </c>
      <c r="G25" s="2"/>
      <c r="I25">
        <v>0.05</v>
      </c>
      <c r="J25">
        <v>0.1</v>
      </c>
    </row>
    <row r="26" spans="1:10" x14ac:dyDescent="0.3">
      <c r="A26" s="4" t="s">
        <v>1202</v>
      </c>
      <c r="B26">
        <v>0.74</v>
      </c>
      <c r="C26">
        <v>2.2400000000000002</v>
      </c>
      <c r="D26">
        <v>0.1</v>
      </c>
      <c r="E26">
        <v>0.8</v>
      </c>
      <c r="F26">
        <v>3.8661728585653775E-2</v>
      </c>
      <c r="G26" s="2"/>
      <c r="I26">
        <v>0.05</v>
      </c>
      <c r="J26">
        <v>0.1</v>
      </c>
    </row>
    <row r="27" spans="1:10" x14ac:dyDescent="0.3">
      <c r="A27" s="4" t="s">
        <v>1203</v>
      </c>
      <c r="B27">
        <v>0.74</v>
      </c>
      <c r="C27">
        <v>2.2400000000000002</v>
      </c>
      <c r="D27">
        <v>0.1</v>
      </c>
      <c r="E27">
        <v>0.8</v>
      </c>
      <c r="F27">
        <v>3.8661728585653775E-2</v>
      </c>
      <c r="G27" s="2"/>
      <c r="I27">
        <v>0.05</v>
      </c>
      <c r="J27">
        <v>0.1</v>
      </c>
    </row>
    <row r="28" spans="1:10" x14ac:dyDescent="0.3">
      <c r="A28" s="4" t="s">
        <v>1204</v>
      </c>
      <c r="B28">
        <v>0.74</v>
      </c>
      <c r="C28">
        <v>2.2400000000000002</v>
      </c>
      <c r="D28">
        <v>0.1</v>
      </c>
      <c r="E28">
        <v>0.8</v>
      </c>
      <c r="F28">
        <v>3.8661728585653775E-2</v>
      </c>
      <c r="G28" s="2"/>
      <c r="I28">
        <v>0.05</v>
      </c>
      <c r="J28">
        <v>0.1</v>
      </c>
    </row>
    <row r="29" spans="1:10" x14ac:dyDescent="0.3">
      <c r="A29" s="4" t="s">
        <v>1205</v>
      </c>
      <c r="B29">
        <v>0.85</v>
      </c>
      <c r="C29">
        <v>2.52</v>
      </c>
      <c r="D29">
        <v>0.1</v>
      </c>
      <c r="E29">
        <v>0.8</v>
      </c>
      <c r="F29">
        <v>3.8661728585653775E-2</v>
      </c>
      <c r="G29" s="2"/>
      <c r="I29">
        <v>0.05</v>
      </c>
      <c r="J29">
        <v>0.1</v>
      </c>
    </row>
    <row r="30" spans="1:10" x14ac:dyDescent="0.3">
      <c r="A30" s="4" t="s">
        <v>1206</v>
      </c>
      <c r="B30">
        <v>0.85</v>
      </c>
      <c r="C30">
        <v>2.52</v>
      </c>
      <c r="D30">
        <v>0.1</v>
      </c>
      <c r="E30">
        <v>0.8</v>
      </c>
      <c r="F30">
        <v>3.8661728585653775E-2</v>
      </c>
      <c r="G30" s="2"/>
      <c r="I30">
        <v>0.05</v>
      </c>
      <c r="J30">
        <v>0.1</v>
      </c>
    </row>
    <row r="31" spans="1:10" x14ac:dyDescent="0.3">
      <c r="A31" s="4" t="s">
        <v>1207</v>
      </c>
      <c r="B31">
        <v>0.85</v>
      </c>
      <c r="C31">
        <v>2.52</v>
      </c>
      <c r="D31">
        <v>0.1</v>
      </c>
      <c r="E31">
        <v>0.8</v>
      </c>
      <c r="F31">
        <v>3.8661728585653775E-2</v>
      </c>
      <c r="G31" s="2"/>
      <c r="I31">
        <v>0.05</v>
      </c>
      <c r="J31">
        <v>0.1</v>
      </c>
    </row>
    <row r="32" spans="1:10" x14ac:dyDescent="0.3">
      <c r="A32" s="4" t="s">
        <v>1208</v>
      </c>
      <c r="B32">
        <v>0.85</v>
      </c>
      <c r="C32">
        <v>2.52</v>
      </c>
      <c r="D32">
        <v>0.1</v>
      </c>
      <c r="E32">
        <v>0.8</v>
      </c>
      <c r="F32">
        <v>3.8661728585653775E-2</v>
      </c>
      <c r="G32" s="2"/>
      <c r="I32">
        <v>0.05</v>
      </c>
      <c r="J32">
        <v>0.1</v>
      </c>
    </row>
    <row r="33" spans="1:10" x14ac:dyDescent="0.3">
      <c r="A33" s="4" t="s">
        <v>1209</v>
      </c>
      <c r="B33">
        <v>0.85</v>
      </c>
      <c r="C33">
        <v>2.52</v>
      </c>
      <c r="D33">
        <v>0.1</v>
      </c>
      <c r="E33">
        <v>0.8</v>
      </c>
      <c r="F33">
        <v>3.8661728585653775E-2</v>
      </c>
      <c r="G33" s="2"/>
      <c r="I33">
        <v>0.05</v>
      </c>
      <c r="J33">
        <v>0.1</v>
      </c>
    </row>
    <row r="34" spans="1:10" x14ac:dyDescent="0.3">
      <c r="A34" s="4" t="s">
        <v>1210</v>
      </c>
      <c r="B34">
        <v>0.85</v>
      </c>
      <c r="C34">
        <v>2.52</v>
      </c>
      <c r="D34">
        <v>0.1</v>
      </c>
      <c r="E34">
        <v>0.8</v>
      </c>
      <c r="F34">
        <v>3.8661728585653775E-2</v>
      </c>
      <c r="G34" s="2"/>
      <c r="I34">
        <v>0.05</v>
      </c>
      <c r="J34">
        <v>0.1</v>
      </c>
    </row>
    <row r="35" spans="1:10" x14ac:dyDescent="0.3">
      <c r="A35" s="4" t="s">
        <v>1352</v>
      </c>
      <c r="B35">
        <v>0.85</v>
      </c>
      <c r="C35">
        <v>2.52</v>
      </c>
      <c r="D35">
        <v>0.1</v>
      </c>
      <c r="E35">
        <v>0.8</v>
      </c>
      <c r="F35">
        <v>3.8661728585653775E-2</v>
      </c>
      <c r="G35" s="2"/>
      <c r="I35">
        <v>0.05</v>
      </c>
      <c r="J35">
        <v>0.1</v>
      </c>
    </row>
    <row r="36" spans="1:10" x14ac:dyDescent="0.3">
      <c r="A36" s="4" t="s">
        <v>1214</v>
      </c>
      <c r="B36">
        <v>0.85</v>
      </c>
      <c r="C36">
        <v>2.52</v>
      </c>
      <c r="D36">
        <v>0.1</v>
      </c>
      <c r="E36">
        <v>0.8</v>
      </c>
      <c r="F36">
        <v>3.8661728585653775E-2</v>
      </c>
      <c r="G36" s="2"/>
      <c r="I36">
        <v>0.05</v>
      </c>
      <c r="J36">
        <v>0.1</v>
      </c>
    </row>
    <row r="37" spans="1:10" x14ac:dyDescent="0.3">
      <c r="A37" s="4" t="s">
        <v>1215</v>
      </c>
      <c r="B37">
        <v>0.85</v>
      </c>
      <c r="C37">
        <v>2.52</v>
      </c>
      <c r="D37">
        <v>0.1</v>
      </c>
      <c r="E37">
        <v>0.8</v>
      </c>
      <c r="F37">
        <v>3.8661728585653775E-2</v>
      </c>
      <c r="G37" s="2"/>
      <c r="I37">
        <v>0.05</v>
      </c>
      <c r="J37">
        <v>0.1</v>
      </c>
    </row>
    <row r="38" spans="1:10" x14ac:dyDescent="0.3">
      <c r="A38" s="4" t="s">
        <v>1216</v>
      </c>
      <c r="B38">
        <v>0.85</v>
      </c>
      <c r="C38">
        <v>2.52</v>
      </c>
      <c r="D38">
        <v>0.1</v>
      </c>
      <c r="E38">
        <v>0.8</v>
      </c>
      <c r="F38">
        <v>3.8661728585653775E-2</v>
      </c>
      <c r="G38" s="2"/>
      <c r="I38">
        <v>0.05</v>
      </c>
      <c r="J38">
        <v>0.1</v>
      </c>
    </row>
    <row r="39" spans="1:10" x14ac:dyDescent="0.3">
      <c r="A39" s="4" t="s">
        <v>1217</v>
      </c>
      <c r="B39">
        <v>0.85</v>
      </c>
      <c r="C39">
        <v>2.52</v>
      </c>
      <c r="D39">
        <v>0.1</v>
      </c>
      <c r="E39">
        <v>0.8</v>
      </c>
      <c r="F39">
        <v>3.8661728585653775E-2</v>
      </c>
      <c r="G39" s="2"/>
      <c r="I39">
        <v>0.05</v>
      </c>
      <c r="J39">
        <v>0.1</v>
      </c>
    </row>
    <row r="40" spans="1:10" x14ac:dyDescent="0.3">
      <c r="A40" s="4" t="s">
        <v>1218</v>
      </c>
      <c r="B40">
        <v>0.85</v>
      </c>
      <c r="C40">
        <v>2.52</v>
      </c>
      <c r="D40">
        <v>0.1</v>
      </c>
      <c r="E40">
        <v>0.8</v>
      </c>
      <c r="F40">
        <v>3.8661728585653775E-2</v>
      </c>
      <c r="G40" s="2"/>
      <c r="I40">
        <v>0.05</v>
      </c>
      <c r="J40">
        <v>0.1</v>
      </c>
    </row>
    <row r="41" spans="1:10" x14ac:dyDescent="0.3">
      <c r="A41" s="4" t="s">
        <v>1220</v>
      </c>
      <c r="B41">
        <v>0.85</v>
      </c>
      <c r="C41">
        <v>2.52</v>
      </c>
      <c r="D41">
        <v>0.1</v>
      </c>
      <c r="E41">
        <v>0.8</v>
      </c>
      <c r="F41">
        <v>3.8661728585653775E-2</v>
      </c>
      <c r="G41" s="2"/>
      <c r="I41">
        <v>0.05</v>
      </c>
      <c r="J41">
        <v>0.1</v>
      </c>
    </row>
    <row r="42" spans="1:10" x14ac:dyDescent="0.3">
      <c r="A42" s="4" t="s">
        <v>1221</v>
      </c>
      <c r="B42">
        <v>0.85</v>
      </c>
      <c r="C42">
        <v>2.52</v>
      </c>
      <c r="D42">
        <v>0.1</v>
      </c>
      <c r="E42">
        <v>0.8</v>
      </c>
      <c r="F42">
        <v>3.8661728585653775E-2</v>
      </c>
      <c r="G42" s="2"/>
      <c r="I42">
        <v>0.05</v>
      </c>
      <c r="J42">
        <v>0.1</v>
      </c>
    </row>
    <row r="43" spans="1:10" x14ac:dyDescent="0.3">
      <c r="A43" s="4" t="s">
        <v>1222</v>
      </c>
      <c r="B43">
        <v>0.85</v>
      </c>
      <c r="C43">
        <v>2.52</v>
      </c>
      <c r="D43">
        <v>0.1</v>
      </c>
      <c r="E43">
        <v>0.8</v>
      </c>
      <c r="F43">
        <v>3.8661728585653775E-2</v>
      </c>
      <c r="G43" s="2"/>
      <c r="I43">
        <v>0.05</v>
      </c>
      <c r="J43">
        <v>0.1</v>
      </c>
    </row>
    <row r="44" spans="1:10" x14ac:dyDescent="0.3">
      <c r="A44" s="4" t="s">
        <v>1223</v>
      </c>
      <c r="B44">
        <v>0.85</v>
      </c>
      <c r="C44">
        <v>2.52</v>
      </c>
      <c r="D44">
        <v>0.1</v>
      </c>
      <c r="E44">
        <v>0.8</v>
      </c>
      <c r="F44">
        <v>3.8661728585653775E-2</v>
      </c>
      <c r="G44" s="2"/>
      <c r="I44">
        <v>0.05</v>
      </c>
      <c r="J44">
        <v>0.1</v>
      </c>
    </row>
    <row r="45" spans="1:10" x14ac:dyDescent="0.3">
      <c r="A45" s="4" t="s">
        <v>1350</v>
      </c>
      <c r="B45">
        <v>0.85</v>
      </c>
      <c r="C45">
        <v>2.52</v>
      </c>
      <c r="D45">
        <v>0.1</v>
      </c>
      <c r="E45">
        <v>0.8</v>
      </c>
      <c r="F45">
        <v>3.8661728585653775E-2</v>
      </c>
      <c r="G45" s="2"/>
      <c r="I45">
        <v>0.05</v>
      </c>
      <c r="J45">
        <v>0.1</v>
      </c>
    </row>
    <row r="46" spans="1:10" x14ac:dyDescent="0.3">
      <c r="A46" s="4" t="s">
        <v>1224</v>
      </c>
      <c r="B46">
        <v>0.85</v>
      </c>
      <c r="C46">
        <v>2.52</v>
      </c>
      <c r="D46">
        <v>0.1</v>
      </c>
      <c r="E46">
        <v>0.8</v>
      </c>
      <c r="F46">
        <v>3.8661728585653775E-2</v>
      </c>
      <c r="G46" s="2"/>
      <c r="I46">
        <v>0.05</v>
      </c>
      <c r="J46">
        <v>0.1</v>
      </c>
    </row>
    <row r="47" spans="1:10" x14ac:dyDescent="0.3">
      <c r="A47" s="4" t="s">
        <v>1225</v>
      </c>
      <c r="B47">
        <v>0.85</v>
      </c>
      <c r="C47">
        <v>2.52</v>
      </c>
      <c r="D47">
        <v>0.1</v>
      </c>
      <c r="E47">
        <v>0.8</v>
      </c>
      <c r="F47">
        <v>3.8661728585653775E-2</v>
      </c>
      <c r="G47" s="2"/>
      <c r="I47">
        <v>0.05</v>
      </c>
      <c r="J47">
        <v>0.1</v>
      </c>
    </row>
    <row r="48" spans="1:10" x14ac:dyDescent="0.3">
      <c r="A48" s="4" t="s">
        <v>1226</v>
      </c>
      <c r="B48">
        <v>1.1499999999999999</v>
      </c>
      <c r="C48">
        <v>2.8</v>
      </c>
      <c r="D48">
        <v>0.1</v>
      </c>
      <c r="E48">
        <v>0.8</v>
      </c>
      <c r="F48">
        <v>3.8661728585653775E-2</v>
      </c>
      <c r="G48" s="2"/>
      <c r="I48">
        <v>0.05</v>
      </c>
      <c r="J48">
        <v>0.1</v>
      </c>
    </row>
    <row r="49" spans="1:10" x14ac:dyDescent="0.3">
      <c r="A49" s="4" t="s">
        <v>1227</v>
      </c>
      <c r="B49">
        <v>1.26</v>
      </c>
      <c r="C49">
        <v>3.36</v>
      </c>
      <c r="D49">
        <v>0.1</v>
      </c>
      <c r="E49">
        <v>0.8</v>
      </c>
      <c r="F49">
        <v>3.8661728585653775E-2</v>
      </c>
      <c r="G49" s="2"/>
      <c r="I49">
        <v>0.05</v>
      </c>
      <c r="J49">
        <v>0.1</v>
      </c>
    </row>
    <row r="50" spans="1:10" x14ac:dyDescent="0.3">
      <c r="A50" s="4" t="s">
        <v>1229</v>
      </c>
      <c r="B50">
        <v>1.26</v>
      </c>
      <c r="C50">
        <v>3.36</v>
      </c>
      <c r="D50">
        <v>0.1</v>
      </c>
      <c r="E50">
        <v>0.8</v>
      </c>
      <c r="F50">
        <v>3.8661728585653775E-2</v>
      </c>
      <c r="G50" s="2" t="s">
        <v>1230</v>
      </c>
      <c r="I50">
        <v>0.05</v>
      </c>
      <c r="J50">
        <v>0.1</v>
      </c>
    </row>
    <row r="51" spans="1:10" x14ac:dyDescent="0.3">
      <c r="A51" s="4" t="s">
        <v>1231</v>
      </c>
      <c r="B51">
        <v>1.26</v>
      </c>
      <c r="C51">
        <v>3.36</v>
      </c>
      <c r="D51">
        <v>0.1</v>
      </c>
      <c r="E51">
        <v>0.8</v>
      </c>
      <c r="F51">
        <v>3.8661728585653775E-2</v>
      </c>
      <c r="G51" s="2"/>
      <c r="I51">
        <v>0.05</v>
      </c>
      <c r="J51">
        <v>0.1</v>
      </c>
    </row>
    <row r="52" spans="1:10" x14ac:dyDescent="0.3">
      <c r="A52" s="4" t="s">
        <v>1232</v>
      </c>
      <c r="B52">
        <v>1.26</v>
      </c>
      <c r="C52">
        <v>3.36</v>
      </c>
      <c r="D52">
        <v>0.1</v>
      </c>
      <c r="E52">
        <v>0.8</v>
      </c>
      <c r="F52">
        <v>3.8661728585653775E-2</v>
      </c>
      <c r="G52" s="2"/>
      <c r="I52">
        <v>0.05</v>
      </c>
      <c r="J52">
        <v>0.1</v>
      </c>
    </row>
    <row r="53" spans="1:10" x14ac:dyDescent="0.3">
      <c r="A53" s="4" t="s">
        <v>1234</v>
      </c>
      <c r="B53">
        <v>0.85</v>
      </c>
      <c r="C53">
        <v>2.52</v>
      </c>
      <c r="D53">
        <v>0.1</v>
      </c>
      <c r="E53">
        <v>0.8</v>
      </c>
      <c r="F53">
        <v>3.8661728585653775E-2</v>
      </c>
      <c r="G53" s="2"/>
      <c r="I53">
        <v>0.05</v>
      </c>
      <c r="J53">
        <v>0.1</v>
      </c>
    </row>
    <row r="54" spans="1:10" x14ac:dyDescent="0.3">
      <c r="A54" s="4" t="s">
        <v>1235</v>
      </c>
      <c r="B54">
        <v>0.85</v>
      </c>
      <c r="C54">
        <v>2.52</v>
      </c>
      <c r="D54">
        <v>0.1</v>
      </c>
      <c r="E54">
        <v>0.8</v>
      </c>
      <c r="F54">
        <v>3.8661728585653775E-2</v>
      </c>
      <c r="G54" s="2"/>
      <c r="I54">
        <v>0.05</v>
      </c>
      <c r="J54">
        <v>0.1</v>
      </c>
    </row>
    <row r="55" spans="1:10" x14ac:dyDescent="0.3">
      <c r="A55" s="4" t="s">
        <v>1351</v>
      </c>
      <c r="B55">
        <v>0.85</v>
      </c>
      <c r="C55">
        <v>2.52</v>
      </c>
      <c r="D55">
        <v>0.1</v>
      </c>
      <c r="E55">
        <v>0.8</v>
      </c>
      <c r="F55">
        <v>3.8661728585653775E-2</v>
      </c>
      <c r="G55" s="2"/>
      <c r="I55">
        <v>0.05</v>
      </c>
      <c r="J55">
        <v>0.1</v>
      </c>
    </row>
    <row r="56" spans="1:10" x14ac:dyDescent="0.3">
      <c r="A56" s="4" t="s">
        <v>1238</v>
      </c>
      <c r="B56">
        <v>0.85</v>
      </c>
      <c r="C56">
        <v>2.52</v>
      </c>
      <c r="D56">
        <v>0.1</v>
      </c>
      <c r="E56">
        <v>0.8</v>
      </c>
      <c r="F56">
        <v>3.8661728585653775E-2</v>
      </c>
      <c r="G56" s="2"/>
      <c r="I56">
        <v>0.05</v>
      </c>
      <c r="J56">
        <v>0.1</v>
      </c>
    </row>
    <row r="57" spans="1:10" x14ac:dyDescent="0.3">
      <c r="A57" s="4" t="s">
        <v>1239</v>
      </c>
      <c r="B57">
        <v>0.85</v>
      </c>
      <c r="C57">
        <v>2.52</v>
      </c>
      <c r="D57">
        <v>0.1</v>
      </c>
      <c r="E57">
        <v>0.8</v>
      </c>
      <c r="F57">
        <v>3.8661728585653775E-2</v>
      </c>
      <c r="G57" s="2"/>
      <c r="I57">
        <v>0.05</v>
      </c>
      <c r="J57">
        <v>0.1</v>
      </c>
    </row>
    <row r="58" spans="1:10" x14ac:dyDescent="0.3">
      <c r="A58" s="4" t="s">
        <v>1240</v>
      </c>
      <c r="B58">
        <v>0.85</v>
      </c>
      <c r="C58">
        <v>2.52</v>
      </c>
      <c r="D58">
        <v>0.1</v>
      </c>
      <c r="E58">
        <v>0.8</v>
      </c>
      <c r="F58">
        <v>3.8661728585653775E-2</v>
      </c>
      <c r="G58" s="2"/>
      <c r="I58">
        <v>0.05</v>
      </c>
      <c r="J58">
        <v>0.1</v>
      </c>
    </row>
    <row r="59" spans="1:10" x14ac:dyDescent="0.3">
      <c r="A59" s="4" t="s">
        <v>1243</v>
      </c>
      <c r="B59">
        <v>0.85</v>
      </c>
      <c r="C59">
        <v>2.52</v>
      </c>
      <c r="D59">
        <v>0.1</v>
      </c>
      <c r="E59">
        <v>0.8</v>
      </c>
      <c r="F59">
        <v>3.8661728585653775E-2</v>
      </c>
      <c r="G59" s="2"/>
      <c r="I59">
        <v>0.05</v>
      </c>
      <c r="J59">
        <v>0.1</v>
      </c>
    </row>
    <row r="60" spans="1:10" x14ac:dyDescent="0.3">
      <c r="A60" s="4" t="s">
        <v>1094</v>
      </c>
      <c r="B60">
        <v>0.19580400000000003</v>
      </c>
      <c r="C60">
        <v>0.52214400000000005</v>
      </c>
      <c r="D60">
        <v>0.1</v>
      </c>
      <c r="E60">
        <v>0.8</v>
      </c>
      <c r="F60">
        <v>9.6654321464134427E-2</v>
      </c>
      <c r="G60" s="2"/>
      <c r="H60">
        <v>42030.990666666665</v>
      </c>
      <c r="I60">
        <v>0.05</v>
      </c>
      <c r="J60">
        <v>0.1</v>
      </c>
    </row>
    <row r="61" spans="1:10" x14ac:dyDescent="0.3">
      <c r="A61" s="4" t="s">
        <v>1102</v>
      </c>
      <c r="B61">
        <v>1.26</v>
      </c>
      <c r="C61">
        <v>3.36</v>
      </c>
      <c r="D61">
        <v>0.1</v>
      </c>
      <c r="E61">
        <v>0.8</v>
      </c>
      <c r="F61">
        <v>3.8661728585653775E-2</v>
      </c>
      <c r="G61" s="2" t="s">
        <v>1230</v>
      </c>
      <c r="I61">
        <v>0.05</v>
      </c>
      <c r="J61">
        <v>0.1</v>
      </c>
    </row>
    <row r="62" spans="1:10" x14ac:dyDescent="0.3">
      <c r="A62" s="4" t="s">
        <v>1046</v>
      </c>
      <c r="B62">
        <v>0.85</v>
      </c>
      <c r="C62">
        <v>2.52</v>
      </c>
      <c r="D62">
        <v>0.1</v>
      </c>
      <c r="E62">
        <v>0.8</v>
      </c>
      <c r="F62">
        <v>0.04</v>
      </c>
      <c r="G62" s="2"/>
      <c r="I62">
        <v>0.05</v>
      </c>
      <c r="J62">
        <v>0.1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9"/>
  <sheetViews>
    <sheetView topLeftCell="A47" workbookViewId="0">
      <selection activeCell="A58" sqref="A58:D58"/>
    </sheetView>
  </sheetViews>
  <sheetFormatPr baseColWidth="10" defaultColWidth="8.88671875" defaultRowHeight="14.4" x14ac:dyDescent="0.3"/>
  <sheetData>
    <row r="1" spans="1:10" x14ac:dyDescent="0.3">
      <c r="B1" s="23" t="s">
        <v>14</v>
      </c>
      <c r="C1" s="23" t="s">
        <v>13</v>
      </c>
      <c r="D1" s="23" t="s">
        <v>393</v>
      </c>
      <c r="E1" s="23" t="s">
        <v>18</v>
      </c>
      <c r="F1" s="23" t="s">
        <v>29</v>
      </c>
      <c r="G1" s="23" t="s">
        <v>30</v>
      </c>
      <c r="H1" s="23" t="s">
        <v>823</v>
      </c>
      <c r="I1" t="s">
        <v>818</v>
      </c>
      <c r="J1" t="s">
        <v>820</v>
      </c>
    </row>
    <row r="2" spans="1:10" x14ac:dyDescent="0.3">
      <c r="A2" t="s">
        <v>624</v>
      </c>
      <c r="B2" s="23"/>
      <c r="C2">
        <v>5.05</v>
      </c>
      <c r="D2">
        <v>5.05</v>
      </c>
      <c r="E2" s="23"/>
      <c r="F2" s="23"/>
      <c r="G2" s="23"/>
      <c r="H2">
        <v>0.4</v>
      </c>
    </row>
    <row r="3" spans="1:10" x14ac:dyDescent="0.3">
      <c r="A3" t="s">
        <v>625</v>
      </c>
      <c r="B3" s="1"/>
      <c r="C3">
        <v>4.45</v>
      </c>
      <c r="D3">
        <v>4.45</v>
      </c>
      <c r="H3">
        <v>0.4</v>
      </c>
    </row>
    <row r="4" spans="1:10" x14ac:dyDescent="0.3">
      <c r="A4" t="s">
        <v>626</v>
      </c>
      <c r="B4" s="1"/>
      <c r="C4">
        <v>1.3</v>
      </c>
      <c r="D4">
        <v>1.3</v>
      </c>
      <c r="H4">
        <v>0.4</v>
      </c>
    </row>
    <row r="5" spans="1:10" x14ac:dyDescent="0.3">
      <c r="A5" t="s">
        <v>627</v>
      </c>
      <c r="B5" s="1"/>
      <c r="C5">
        <v>1.85</v>
      </c>
      <c r="D5">
        <v>1.85</v>
      </c>
      <c r="H5">
        <v>0.4</v>
      </c>
    </row>
    <row r="6" spans="1:10" x14ac:dyDescent="0.3">
      <c r="A6" t="s">
        <v>628</v>
      </c>
      <c r="B6" s="1"/>
      <c r="C6">
        <v>2.4500000000000002</v>
      </c>
      <c r="D6">
        <v>2.4500000000000002</v>
      </c>
      <c r="H6">
        <v>0.4</v>
      </c>
    </row>
    <row r="7" spans="1:10" x14ac:dyDescent="0.3">
      <c r="A7" t="s">
        <v>629</v>
      </c>
      <c r="B7" s="1"/>
      <c r="C7">
        <v>2.7</v>
      </c>
      <c r="D7">
        <v>2.7</v>
      </c>
      <c r="H7">
        <v>0.4</v>
      </c>
    </row>
    <row r="8" spans="1:10" x14ac:dyDescent="0.3">
      <c r="A8" t="s">
        <v>630</v>
      </c>
      <c r="B8" s="1"/>
      <c r="C8">
        <v>2.5</v>
      </c>
      <c r="D8">
        <v>2.5</v>
      </c>
      <c r="H8">
        <v>0.4</v>
      </c>
    </row>
    <row r="9" spans="1:10" x14ac:dyDescent="0.3">
      <c r="A9" t="s">
        <v>631</v>
      </c>
      <c r="B9" s="1"/>
      <c r="C9">
        <v>3.25</v>
      </c>
      <c r="D9">
        <v>3.25</v>
      </c>
      <c r="H9">
        <v>0.4</v>
      </c>
    </row>
    <row r="10" spans="1:10" x14ac:dyDescent="0.3">
      <c r="A10" t="s">
        <v>632</v>
      </c>
      <c r="B10" s="1"/>
      <c r="C10">
        <v>2</v>
      </c>
      <c r="D10">
        <v>2</v>
      </c>
    </row>
    <row r="11" spans="1:10" x14ac:dyDescent="0.3">
      <c r="A11" t="s">
        <v>633</v>
      </c>
      <c r="B11" s="1"/>
      <c r="C11">
        <v>1.3</v>
      </c>
      <c r="D11">
        <v>1.3</v>
      </c>
    </row>
    <row r="12" spans="1:10" x14ac:dyDescent="0.3">
      <c r="A12" t="s">
        <v>634</v>
      </c>
      <c r="B12" s="1"/>
      <c r="C12">
        <v>3.65</v>
      </c>
      <c r="D12">
        <v>3.65</v>
      </c>
    </row>
    <row r="13" spans="1:10" x14ac:dyDescent="0.3">
      <c r="A13" t="s">
        <v>635</v>
      </c>
      <c r="B13" s="1"/>
      <c r="C13">
        <v>6.45</v>
      </c>
      <c r="D13">
        <v>6.45</v>
      </c>
    </row>
    <row r="14" spans="1:10" x14ac:dyDescent="0.3">
      <c r="A14" t="s">
        <v>136</v>
      </c>
      <c r="B14" s="1"/>
      <c r="C14">
        <v>2.5</v>
      </c>
      <c r="D14">
        <v>2.5</v>
      </c>
    </row>
    <row r="15" spans="1:10" x14ac:dyDescent="0.3">
      <c r="A15" t="s">
        <v>636</v>
      </c>
      <c r="C15">
        <v>1.25</v>
      </c>
      <c r="D15">
        <v>1.25</v>
      </c>
    </row>
    <row r="16" spans="1:10" x14ac:dyDescent="0.3">
      <c r="A16" t="s">
        <v>227</v>
      </c>
      <c r="B16" s="1"/>
      <c r="C16">
        <v>3.05</v>
      </c>
      <c r="D16">
        <v>3.05</v>
      </c>
    </row>
    <row r="17" spans="1:13" x14ac:dyDescent="0.3">
      <c r="A17" t="s">
        <v>234</v>
      </c>
      <c r="B17" s="1"/>
      <c r="C17">
        <v>5.2</v>
      </c>
      <c r="D17">
        <v>5.2</v>
      </c>
    </row>
    <row r="18" spans="1:13" x14ac:dyDescent="0.3">
      <c r="A18" t="s">
        <v>137</v>
      </c>
      <c r="B18" s="1"/>
      <c r="C18">
        <v>10</v>
      </c>
      <c r="D18">
        <v>10</v>
      </c>
      <c r="M18" t="s">
        <v>1172</v>
      </c>
    </row>
    <row r="19" spans="1:13" x14ac:dyDescent="0.3">
      <c r="A19" t="s">
        <v>1356</v>
      </c>
      <c r="B19" s="1"/>
      <c r="C19">
        <v>0.9</v>
      </c>
      <c r="D19">
        <v>0.9</v>
      </c>
    </row>
    <row r="20" spans="1:13" x14ac:dyDescent="0.3">
      <c r="A20" t="s">
        <v>637</v>
      </c>
      <c r="B20" s="1"/>
      <c r="C20">
        <v>3.85</v>
      </c>
      <c r="D20">
        <v>3.85</v>
      </c>
    </row>
    <row r="21" spans="1:13" x14ac:dyDescent="0.3">
      <c r="A21" t="s">
        <v>638</v>
      </c>
      <c r="B21" s="1"/>
      <c r="C21">
        <v>4.4000000000000004</v>
      </c>
      <c r="D21">
        <v>4.4000000000000004</v>
      </c>
    </row>
    <row r="22" spans="1:13" x14ac:dyDescent="0.3">
      <c r="A22" t="s">
        <v>639</v>
      </c>
      <c r="B22" s="1"/>
      <c r="C22">
        <v>3.3</v>
      </c>
      <c r="D22">
        <v>3.3</v>
      </c>
    </row>
    <row r="23" spans="1:13" x14ac:dyDescent="0.3">
      <c r="A23" t="s">
        <v>640</v>
      </c>
      <c r="B23" s="1"/>
      <c r="C23">
        <v>3.65</v>
      </c>
      <c r="D23">
        <v>3.65</v>
      </c>
    </row>
    <row r="24" spans="1:13" x14ac:dyDescent="0.3">
      <c r="A24" t="s">
        <v>641</v>
      </c>
      <c r="B24" s="1"/>
      <c r="C24">
        <v>2.6</v>
      </c>
      <c r="D24">
        <v>2.6</v>
      </c>
    </row>
    <row r="25" spans="1:13" x14ac:dyDescent="0.3">
      <c r="A25" t="s">
        <v>642</v>
      </c>
      <c r="B25" s="1"/>
      <c r="C25">
        <v>2.7</v>
      </c>
      <c r="D25">
        <v>2.7</v>
      </c>
    </row>
    <row r="26" spans="1:13" x14ac:dyDescent="0.3">
      <c r="A26" t="s">
        <v>643</v>
      </c>
      <c r="B26" s="1"/>
      <c r="C26">
        <v>2</v>
      </c>
      <c r="D26">
        <v>2</v>
      </c>
    </row>
    <row r="27" spans="1:13" x14ac:dyDescent="0.3">
      <c r="A27" t="s">
        <v>139</v>
      </c>
      <c r="B27" s="1"/>
      <c r="C27">
        <v>1.1499999999999999</v>
      </c>
      <c r="D27">
        <v>1.1499999999999999</v>
      </c>
    </row>
    <row r="28" spans="1:13" x14ac:dyDescent="0.3">
      <c r="A28" t="s">
        <v>140</v>
      </c>
      <c r="B28" s="1"/>
      <c r="C28">
        <v>3.75</v>
      </c>
      <c r="D28">
        <v>3.75</v>
      </c>
    </row>
    <row r="29" spans="1:13" x14ac:dyDescent="0.3">
      <c r="A29" t="s">
        <v>644</v>
      </c>
      <c r="B29" s="1"/>
      <c r="C29">
        <v>3.7</v>
      </c>
      <c r="D29">
        <v>3.7</v>
      </c>
    </row>
    <row r="30" spans="1:13" x14ac:dyDescent="0.3">
      <c r="A30" t="s">
        <v>645</v>
      </c>
      <c r="B30" s="1"/>
      <c r="C30">
        <v>4.05</v>
      </c>
      <c r="D30">
        <v>4.05</v>
      </c>
    </row>
    <row r="31" spans="1:13" x14ac:dyDescent="0.3">
      <c r="A31" t="s">
        <v>646</v>
      </c>
      <c r="B31" s="1"/>
      <c r="C31">
        <v>3.4</v>
      </c>
      <c r="D31">
        <v>3.4</v>
      </c>
    </row>
    <row r="32" spans="1:13" x14ac:dyDescent="0.3">
      <c r="A32" t="s">
        <v>647</v>
      </c>
      <c r="B32" s="1"/>
      <c r="C32">
        <v>2.95</v>
      </c>
      <c r="D32">
        <v>2.95</v>
      </c>
    </row>
    <row r="33" spans="1:4" x14ac:dyDescent="0.3">
      <c r="A33" t="s">
        <v>141</v>
      </c>
      <c r="B33" s="1"/>
      <c r="C33">
        <v>2.1</v>
      </c>
      <c r="D33">
        <v>2.1</v>
      </c>
    </row>
    <row r="34" spans="1:4" x14ac:dyDescent="0.3">
      <c r="A34" t="s">
        <v>226</v>
      </c>
      <c r="B34" s="1"/>
      <c r="C34">
        <v>3.3</v>
      </c>
      <c r="D34">
        <v>3.3</v>
      </c>
    </row>
    <row r="35" spans="1:4" x14ac:dyDescent="0.3">
      <c r="A35" t="s">
        <v>358</v>
      </c>
      <c r="B35" s="1"/>
      <c r="C35">
        <v>2.9</v>
      </c>
      <c r="D35">
        <v>2.9</v>
      </c>
    </row>
    <row r="36" spans="1:4" x14ac:dyDescent="0.3">
      <c r="A36" t="s">
        <v>261</v>
      </c>
      <c r="B36" s="1"/>
      <c r="C36">
        <v>2.95</v>
      </c>
      <c r="D36">
        <v>2.95</v>
      </c>
    </row>
    <row r="37" spans="1:4" x14ac:dyDescent="0.3">
      <c r="A37" t="s">
        <v>263</v>
      </c>
      <c r="B37" s="1"/>
      <c r="C37">
        <v>4.2</v>
      </c>
      <c r="D37">
        <v>4.2</v>
      </c>
    </row>
    <row r="38" spans="1:4" x14ac:dyDescent="0.3">
      <c r="A38" t="s">
        <v>265</v>
      </c>
      <c r="B38" s="1"/>
      <c r="C38">
        <v>3.75</v>
      </c>
      <c r="D38">
        <v>3.75</v>
      </c>
    </row>
    <row r="39" spans="1:4" x14ac:dyDescent="0.3">
      <c r="A39" t="s">
        <v>267</v>
      </c>
      <c r="B39" s="1"/>
      <c r="C39">
        <v>4.4000000000000004</v>
      </c>
      <c r="D39">
        <v>4.4000000000000004</v>
      </c>
    </row>
    <row r="40" spans="1:4" x14ac:dyDescent="0.3">
      <c r="A40" t="s">
        <v>649</v>
      </c>
      <c r="C40">
        <v>4.05</v>
      </c>
      <c r="D40">
        <v>4.05</v>
      </c>
    </row>
    <row r="41" spans="1:4" x14ac:dyDescent="0.3">
      <c r="A41" t="s">
        <v>269</v>
      </c>
      <c r="B41" s="1"/>
      <c r="C41">
        <v>2.8</v>
      </c>
      <c r="D41">
        <v>2.8</v>
      </c>
    </row>
    <row r="42" spans="1:4" x14ac:dyDescent="0.3">
      <c r="A42" t="s">
        <v>650</v>
      </c>
      <c r="C42">
        <v>4.3</v>
      </c>
      <c r="D42">
        <v>4.3</v>
      </c>
    </row>
    <row r="43" spans="1:4" x14ac:dyDescent="0.3">
      <c r="A43" t="s">
        <v>144</v>
      </c>
      <c r="B43" s="1"/>
      <c r="C43">
        <v>3.75</v>
      </c>
      <c r="D43">
        <v>3.75</v>
      </c>
    </row>
    <row r="44" spans="1:4" x14ac:dyDescent="0.3">
      <c r="A44" t="s">
        <v>166</v>
      </c>
      <c r="B44" s="6">
        <v>5</v>
      </c>
      <c r="C44">
        <v>2.8</v>
      </c>
      <c r="D44">
        <v>2.8</v>
      </c>
    </row>
    <row r="45" spans="1:4" x14ac:dyDescent="0.3">
      <c r="A45" t="s">
        <v>145</v>
      </c>
      <c r="C45">
        <v>2.8</v>
      </c>
      <c r="D45">
        <v>2.8</v>
      </c>
    </row>
    <row r="46" spans="1:4" x14ac:dyDescent="0.3">
      <c r="A46" t="s">
        <v>146</v>
      </c>
      <c r="B46" s="1"/>
      <c r="C46">
        <v>2.8</v>
      </c>
      <c r="D46">
        <v>2.8</v>
      </c>
    </row>
    <row r="47" spans="1:4" x14ac:dyDescent="0.3">
      <c r="A47" t="s">
        <v>147</v>
      </c>
      <c r="B47" s="1"/>
      <c r="C47">
        <v>1.9</v>
      </c>
      <c r="D47">
        <v>1.9</v>
      </c>
    </row>
    <row r="48" spans="1:4" x14ac:dyDescent="0.3">
      <c r="A48" t="s">
        <v>148</v>
      </c>
      <c r="B48" s="1"/>
      <c r="C48">
        <v>1.9</v>
      </c>
      <c r="D48">
        <v>1.9</v>
      </c>
    </row>
    <row r="49" spans="1:7" x14ac:dyDescent="0.3">
      <c r="A49" t="s">
        <v>150</v>
      </c>
      <c r="B49" s="1">
        <v>2</v>
      </c>
      <c r="C49">
        <v>1.9</v>
      </c>
      <c r="D49">
        <v>1.9</v>
      </c>
    </row>
    <row r="50" spans="1:7" x14ac:dyDescent="0.3">
      <c r="A50" t="s">
        <v>151</v>
      </c>
      <c r="B50" s="1"/>
      <c r="C50">
        <v>1.9</v>
      </c>
      <c r="D50">
        <v>1.9</v>
      </c>
    </row>
    <row r="51" spans="1:7" x14ac:dyDescent="0.3">
      <c r="A51" t="s">
        <v>152</v>
      </c>
      <c r="B51" s="1"/>
      <c r="C51">
        <v>1.9</v>
      </c>
      <c r="D51">
        <v>1.9</v>
      </c>
    </row>
    <row r="52" spans="1:7" x14ac:dyDescent="0.3">
      <c r="A52" t="s">
        <v>153</v>
      </c>
      <c r="B52" s="1"/>
      <c r="C52">
        <v>1.9</v>
      </c>
      <c r="D52">
        <v>1.9</v>
      </c>
    </row>
    <row r="53" spans="1:7" x14ac:dyDescent="0.3">
      <c r="A53" s="5" t="s">
        <v>154</v>
      </c>
      <c r="B53" s="1"/>
      <c r="C53">
        <v>1.9</v>
      </c>
      <c r="D53">
        <v>1.9</v>
      </c>
    </row>
    <row r="54" spans="1:7" x14ac:dyDescent="0.3">
      <c r="A54" t="s">
        <v>1358</v>
      </c>
      <c r="B54" s="1"/>
      <c r="C54">
        <v>1.9</v>
      </c>
      <c r="D54">
        <v>1.9</v>
      </c>
      <c r="G54">
        <v>10</v>
      </c>
    </row>
    <row r="55" spans="1:7" x14ac:dyDescent="0.3">
      <c r="A55" t="s">
        <v>651</v>
      </c>
      <c r="B55" s="1"/>
      <c r="C55">
        <v>1.9</v>
      </c>
      <c r="D55">
        <v>1.9</v>
      </c>
    </row>
    <row r="56" spans="1:7" x14ac:dyDescent="0.3">
      <c r="A56" t="s">
        <v>652</v>
      </c>
      <c r="B56" s="1"/>
      <c r="C56">
        <v>1.9</v>
      </c>
      <c r="D56">
        <v>1.9</v>
      </c>
    </row>
    <row r="57" spans="1:7" x14ac:dyDescent="0.3">
      <c r="A57" t="s">
        <v>156</v>
      </c>
      <c r="B57" s="1"/>
      <c r="C57">
        <v>1.9</v>
      </c>
      <c r="D57">
        <v>1.9</v>
      </c>
    </row>
    <row r="58" spans="1:7" x14ac:dyDescent="0.3">
      <c r="A58" t="s">
        <v>653</v>
      </c>
      <c r="C58">
        <v>1.9</v>
      </c>
      <c r="D58">
        <v>1.9</v>
      </c>
    </row>
    <row r="59" spans="1:7" x14ac:dyDescent="0.3">
      <c r="B59" s="1"/>
    </row>
    <row r="63" spans="1:7" x14ac:dyDescent="0.3">
      <c r="B63" s="1"/>
    </row>
    <row r="64" spans="1:7" x14ac:dyDescent="0.3">
      <c r="B64" s="1"/>
    </row>
    <row r="69" spans="1:2" x14ac:dyDescent="0.3">
      <c r="B69" s="1"/>
    </row>
    <row r="79" spans="1:2" x14ac:dyDescent="0.3">
      <c r="A79" s="2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D18"/>
  <sheetViews>
    <sheetView workbookViewId="0">
      <selection activeCell="K8" sqref="K8"/>
    </sheetView>
  </sheetViews>
  <sheetFormatPr baseColWidth="10" defaultColWidth="8.88671875" defaultRowHeight="14.4" x14ac:dyDescent="0.3"/>
  <cols>
    <col min="3" max="3" width="15.88671875" customWidth="1"/>
  </cols>
  <sheetData>
    <row r="1" spans="1:82" x14ac:dyDescent="0.3">
      <c r="B1" t="s">
        <v>1062</v>
      </c>
    </row>
    <row r="3" spans="1:82" x14ac:dyDescent="0.3">
      <c r="C3" t="s">
        <v>1051</v>
      </c>
      <c r="D3" t="s">
        <v>909</v>
      </c>
      <c r="E3" t="s">
        <v>910</v>
      </c>
      <c r="F3" t="s">
        <v>1052</v>
      </c>
      <c r="G3" t="s">
        <v>123</v>
      </c>
      <c r="H3" s="4" t="s">
        <v>1113</v>
      </c>
      <c r="I3" s="61" t="s">
        <v>1057</v>
      </c>
      <c r="J3" t="s">
        <v>125</v>
      </c>
      <c r="K3" t="s">
        <v>1249</v>
      </c>
    </row>
    <row r="4" spans="1:82" x14ac:dyDescent="0.3">
      <c r="A4" t="s">
        <v>1058</v>
      </c>
      <c r="B4" t="s">
        <v>1060</v>
      </c>
      <c r="C4">
        <v>-0.35989832621425544</v>
      </c>
      <c r="D4">
        <v>-0.26267419768331268</v>
      </c>
      <c r="E4">
        <v>-0.25350789894771697</v>
      </c>
      <c r="F4">
        <v>-0.262118874381572</v>
      </c>
      <c r="G4">
        <v>-3.8737401510850326E-3</v>
      </c>
      <c r="H4">
        <v>-0.12280264718186491</v>
      </c>
      <c r="I4">
        <v>-0.48752411595352707</v>
      </c>
      <c r="J4">
        <v>-0.32878554146818295</v>
      </c>
      <c r="K4">
        <v>-0.22094563591641825</v>
      </c>
    </row>
    <row r="5" spans="1:82" x14ac:dyDescent="0.3">
      <c r="A5" t="s">
        <v>1058</v>
      </c>
      <c r="B5" t="s">
        <v>1059</v>
      </c>
      <c r="C5">
        <v>1.6029705279502049</v>
      </c>
      <c r="D5">
        <v>1.6297386219007777</v>
      </c>
      <c r="E5">
        <v>1.4684956611809663</v>
      </c>
      <c r="F5">
        <v>1.6155830973293142</v>
      </c>
      <c r="G5">
        <v>1.0268112398561471</v>
      </c>
      <c r="H5">
        <v>1.5567055554608569</v>
      </c>
      <c r="I5">
        <v>3.3439664848289499</v>
      </c>
      <c r="J5">
        <v>2.557410792486873</v>
      </c>
      <c r="K5">
        <v>1.836450927085429</v>
      </c>
    </row>
    <row r="6" spans="1:82" x14ac:dyDescent="0.3">
      <c r="A6" t="s">
        <v>1061</v>
      </c>
      <c r="B6" t="s">
        <v>1060</v>
      </c>
      <c r="C6">
        <v>7.8237187726089952E-2</v>
      </c>
      <c r="D6">
        <v>-0.28871033138185337</v>
      </c>
      <c r="E6">
        <v>-0.25656310342851302</v>
      </c>
      <c r="F6">
        <v>-0.28728803588390833</v>
      </c>
      <c r="G6">
        <v>-0.3552906546081735</v>
      </c>
      <c r="H6">
        <v>-0.33566718828218828</v>
      </c>
      <c r="I6">
        <v>-0.28736375990142693</v>
      </c>
      <c r="J6">
        <v>-0.30851208038775951</v>
      </c>
      <c r="K6">
        <v>-0.32077305566810876</v>
      </c>
    </row>
    <row r="7" spans="1:82" x14ac:dyDescent="0.3">
      <c r="A7" t="s">
        <v>1061</v>
      </c>
      <c r="B7" t="s">
        <v>1059</v>
      </c>
      <c r="C7">
        <v>0.62104645666730318</v>
      </c>
      <c r="D7">
        <v>1.7137944299365739</v>
      </c>
      <c r="E7">
        <v>1.6471096215959933</v>
      </c>
      <c r="F7">
        <v>1.7118797158481425</v>
      </c>
      <c r="G7">
        <v>1.8671343537874039</v>
      </c>
      <c r="H7">
        <v>1.7781961747473687</v>
      </c>
      <c r="I7">
        <v>1.5435340881394615</v>
      </c>
      <c r="J7">
        <v>1.647114156125163</v>
      </c>
      <c r="K7">
        <v>1.74111709328586</v>
      </c>
    </row>
    <row r="9" spans="1:82" x14ac:dyDescent="0.3">
      <c r="C9" s="83" t="s">
        <v>16</v>
      </c>
      <c r="D9" s="83" t="s">
        <v>16</v>
      </c>
      <c r="E9" s="83" t="s">
        <v>16</v>
      </c>
      <c r="F9" s="83" t="s">
        <v>16</v>
      </c>
      <c r="G9" s="83" t="s">
        <v>16</v>
      </c>
      <c r="H9" s="83" t="s">
        <v>16</v>
      </c>
      <c r="I9" s="83" t="s">
        <v>16</v>
      </c>
      <c r="J9" s="83" t="s">
        <v>16</v>
      </c>
      <c r="K9" s="83" t="s">
        <v>16</v>
      </c>
      <c r="L9" s="83" t="s">
        <v>16</v>
      </c>
      <c r="M9" s="83" t="s">
        <v>16</v>
      </c>
      <c r="N9" s="4" t="s">
        <v>16</v>
      </c>
      <c r="O9" s="4" t="s">
        <v>16</v>
      </c>
      <c r="P9" s="4" t="s">
        <v>17</v>
      </c>
      <c r="Q9" s="4" t="s">
        <v>17</v>
      </c>
      <c r="R9" s="4" t="s">
        <v>17</v>
      </c>
      <c r="S9" s="4" t="s">
        <v>17</v>
      </c>
      <c r="T9" s="4" t="s">
        <v>17</v>
      </c>
      <c r="U9" s="4" t="s">
        <v>17</v>
      </c>
      <c r="V9" s="4" t="s">
        <v>17</v>
      </c>
      <c r="W9" s="4" t="s">
        <v>17</v>
      </c>
      <c r="X9" s="4" t="s">
        <v>17</v>
      </c>
      <c r="Y9" s="4" t="s">
        <v>17</v>
      </c>
      <c r="Z9" s="4" t="s">
        <v>17</v>
      </c>
      <c r="AA9" s="4" t="s">
        <v>17</v>
      </c>
      <c r="AB9" s="4" t="s">
        <v>17</v>
      </c>
    </row>
    <row r="10" spans="1:82" x14ac:dyDescent="0.3">
      <c r="C10" s="4" t="s">
        <v>1051</v>
      </c>
      <c r="D10" s="4" t="s">
        <v>909</v>
      </c>
      <c r="E10" s="4" t="s">
        <v>910</v>
      </c>
      <c r="F10" s="4" t="s">
        <v>1052</v>
      </c>
      <c r="G10" s="4" t="s">
        <v>123</v>
      </c>
      <c r="H10" s="4" t="s">
        <v>124</v>
      </c>
      <c r="I10" s="61" t="s">
        <v>1057</v>
      </c>
      <c r="J10" s="4" t="s">
        <v>125</v>
      </c>
      <c r="K10" s="4" t="s">
        <v>126</v>
      </c>
      <c r="L10" s="4" t="s">
        <v>459</v>
      </c>
      <c r="M10" s="4" t="s">
        <v>460</v>
      </c>
      <c r="N10" s="4" t="s">
        <v>1056</v>
      </c>
      <c r="O10" s="4" t="s">
        <v>1055</v>
      </c>
      <c r="P10" s="4" t="s">
        <v>1051</v>
      </c>
      <c r="Q10" s="4" t="s">
        <v>909</v>
      </c>
      <c r="R10" s="4" t="s">
        <v>910</v>
      </c>
      <c r="S10" s="4" t="s">
        <v>1052</v>
      </c>
      <c r="T10" s="4" t="s">
        <v>123</v>
      </c>
      <c r="U10" s="4" t="s">
        <v>124</v>
      </c>
      <c r="V10" s="4" t="s">
        <v>1053</v>
      </c>
      <c r="W10" s="4" t="s">
        <v>125</v>
      </c>
      <c r="X10" s="4" t="s">
        <v>126</v>
      </c>
      <c r="Y10" s="4" t="s">
        <v>459</v>
      </c>
      <c r="Z10" s="4" t="s">
        <v>460</v>
      </c>
      <c r="AA10" s="4" t="s">
        <v>1056</v>
      </c>
      <c r="AB10" s="4" t="s">
        <v>1055</v>
      </c>
    </row>
    <row r="11" spans="1:82" x14ac:dyDescent="0.3">
      <c r="B11" s="4" t="s">
        <v>662</v>
      </c>
      <c r="C11">
        <v>9.9869975000098365E-3</v>
      </c>
      <c r="D11">
        <v>0.89252515375440677</v>
      </c>
      <c r="E11">
        <v>0.81242082065559273</v>
      </c>
      <c r="F11">
        <v>0.88586465579329432</v>
      </c>
      <c r="G11">
        <v>1.0296549394176229</v>
      </c>
      <c r="H11">
        <v>1.0306812540873356</v>
      </c>
      <c r="I11">
        <v>1.0556797769247341</v>
      </c>
      <c r="J11">
        <v>1.0430201346486703</v>
      </c>
      <c r="K11">
        <v>1.008810180888037</v>
      </c>
      <c r="L11">
        <v>1.0099849211383043</v>
      </c>
      <c r="M11">
        <v>1.0099849211383043</v>
      </c>
      <c r="N11">
        <v>1.0099849211383043</v>
      </c>
      <c r="O11">
        <v>1.0099849211383043</v>
      </c>
      <c r="P11">
        <v>-8.934086918615183E-3</v>
      </c>
      <c r="Q11">
        <v>-0.7289344183477986</v>
      </c>
      <c r="R11">
        <v>-0.67819939568402199</v>
      </c>
      <c r="S11">
        <v>-0.72932814451141448</v>
      </c>
      <c r="T11">
        <v>-0.85781900653475573</v>
      </c>
      <c r="U11">
        <v>-0.83648712979872919</v>
      </c>
      <c r="V11">
        <v>-0.88422525348876513</v>
      </c>
      <c r="W11">
        <v>-0.90886186694708404</v>
      </c>
      <c r="X11">
        <v>-0.82599099346321025</v>
      </c>
      <c r="Y11">
        <v>-0.99661607217590653</v>
      </c>
      <c r="Z11">
        <v>-0.9945184207202421</v>
      </c>
      <c r="AA11">
        <v>-0.99911066872106236</v>
      </c>
      <c r="AB11">
        <v>-0.99778749029426417</v>
      </c>
    </row>
    <row r="15" spans="1:82" x14ac:dyDescent="0.3">
      <c r="D15" s="4" t="s">
        <v>1179</v>
      </c>
      <c r="E15" s="4" t="s">
        <v>1180</v>
      </c>
      <c r="F15" s="4" t="s">
        <v>1181</v>
      </c>
      <c r="G15" s="4" t="s">
        <v>1182</v>
      </c>
      <c r="H15" s="4" t="s">
        <v>1183</v>
      </c>
      <c r="I15" s="4" t="s">
        <v>1184</v>
      </c>
      <c r="J15" s="4" t="s">
        <v>1185</v>
      </c>
      <c r="K15" s="4" t="s">
        <v>1186</v>
      </c>
      <c r="L15" s="4" t="s">
        <v>1187</v>
      </c>
      <c r="M15" s="4" t="s">
        <v>1188</v>
      </c>
      <c r="N15" s="4" t="s">
        <v>1189</v>
      </c>
      <c r="O15" s="4" t="s">
        <v>1190</v>
      </c>
      <c r="P15" s="4" t="s">
        <v>1191</v>
      </c>
      <c r="Q15" s="4" t="s">
        <v>1192</v>
      </c>
      <c r="R15" s="4" t="s">
        <v>1193</v>
      </c>
      <c r="S15" s="4" t="s">
        <v>1194</v>
      </c>
      <c r="T15" s="4" t="s">
        <v>1195</v>
      </c>
      <c r="U15" s="4" t="s">
        <v>1196</v>
      </c>
      <c r="V15" s="4" t="s">
        <v>1197</v>
      </c>
      <c r="W15" s="4" t="s">
        <v>1198</v>
      </c>
      <c r="X15" s="4" t="s">
        <v>1199</v>
      </c>
      <c r="Y15" s="4" t="s">
        <v>1200</v>
      </c>
      <c r="Z15" s="4" t="s">
        <v>1201</v>
      </c>
      <c r="AA15" s="4" t="s">
        <v>1202</v>
      </c>
      <c r="AB15" s="4" t="s">
        <v>1203</v>
      </c>
      <c r="AC15" s="4" t="s">
        <v>1204</v>
      </c>
      <c r="AD15" s="4" t="s">
        <v>1205</v>
      </c>
      <c r="AE15" s="4" t="s">
        <v>1206</v>
      </c>
      <c r="AF15" s="4" t="s">
        <v>1207</v>
      </c>
      <c r="AG15" s="4" t="s">
        <v>1208</v>
      </c>
      <c r="AH15" s="4" t="s">
        <v>1209</v>
      </c>
      <c r="AI15" s="4" t="s">
        <v>1210</v>
      </c>
      <c r="AJ15" s="4" t="s">
        <v>1211</v>
      </c>
      <c r="AK15" s="4" t="s">
        <v>1212</v>
      </c>
      <c r="AL15" s="4" t="s">
        <v>1213</v>
      </c>
      <c r="AM15" s="4" t="s">
        <v>1214</v>
      </c>
      <c r="AN15" s="4" t="s">
        <v>1215</v>
      </c>
      <c r="AO15" s="4" t="s">
        <v>1216</v>
      </c>
      <c r="AP15" s="4" t="s">
        <v>1217</v>
      </c>
      <c r="AQ15" s="4" t="s">
        <v>1218</v>
      </c>
      <c r="AR15" s="4" t="s">
        <v>1219</v>
      </c>
      <c r="AS15" s="4" t="s">
        <v>1220</v>
      </c>
      <c r="AT15" s="4" t="s">
        <v>1221</v>
      </c>
      <c r="AU15" s="4" t="s">
        <v>1222</v>
      </c>
      <c r="AV15" s="4" t="s">
        <v>1223</v>
      </c>
      <c r="AW15" s="4" t="s">
        <v>271</v>
      </c>
      <c r="AX15" s="4" t="s">
        <v>612</v>
      </c>
      <c r="AY15" s="115" t="s">
        <v>613</v>
      </c>
      <c r="AZ15" s="4" t="s">
        <v>614</v>
      </c>
      <c r="BA15" s="4" t="s">
        <v>615</v>
      </c>
      <c r="BB15" s="4" t="s">
        <v>616</v>
      </c>
      <c r="BC15" s="4" t="s">
        <v>617</v>
      </c>
      <c r="BD15" s="4" t="s">
        <v>618</v>
      </c>
      <c r="BE15" s="4" t="s">
        <v>238</v>
      </c>
      <c r="BF15" s="4" t="s">
        <v>245</v>
      </c>
      <c r="BG15" s="4" t="s">
        <v>619</v>
      </c>
      <c r="BH15" s="4" t="s">
        <v>251</v>
      </c>
      <c r="BI15" s="4" t="s">
        <v>1224</v>
      </c>
      <c r="BJ15" s="4" t="s">
        <v>1225</v>
      </c>
      <c r="BK15" s="4" t="s">
        <v>1226</v>
      </c>
      <c r="BL15" s="4" t="s">
        <v>1227</v>
      </c>
      <c r="BM15" s="4" t="s">
        <v>1228</v>
      </c>
      <c r="BN15" s="4" t="s">
        <v>1229</v>
      </c>
      <c r="BO15" s="4" t="s">
        <v>1231</v>
      </c>
      <c r="BP15" s="4" t="s">
        <v>1232</v>
      </c>
      <c r="BQ15" s="4" t="s">
        <v>1233</v>
      </c>
      <c r="BR15" s="4" t="s">
        <v>1234</v>
      </c>
      <c r="BS15" s="4" t="s">
        <v>1235</v>
      </c>
      <c r="BT15" s="4" t="s">
        <v>1236</v>
      </c>
      <c r="BU15" s="4" t="s">
        <v>1237</v>
      </c>
      <c r="BV15" s="4" t="s">
        <v>1238</v>
      </c>
      <c r="BW15" s="4" t="s">
        <v>1239</v>
      </c>
      <c r="BX15" s="4" t="s">
        <v>1240</v>
      </c>
      <c r="BY15" s="4" t="s">
        <v>1241</v>
      </c>
      <c r="BZ15" s="4" t="s">
        <v>1242</v>
      </c>
      <c r="CA15" s="4" t="s">
        <v>1243</v>
      </c>
      <c r="CB15" s="4" t="s">
        <v>1094</v>
      </c>
      <c r="CC15" s="4" t="s">
        <v>1102</v>
      </c>
      <c r="CD15" s="4" t="s">
        <v>1046</v>
      </c>
    </row>
    <row r="16" spans="1:82" x14ac:dyDescent="0.3">
      <c r="B16" s="4" t="s">
        <v>662</v>
      </c>
      <c r="C16" t="s">
        <v>657</v>
      </c>
      <c r="D16" t="s">
        <v>111</v>
      </c>
    </row>
    <row r="17" spans="2:3" x14ac:dyDescent="0.3">
      <c r="B17" t="s">
        <v>127</v>
      </c>
      <c r="C17" t="s">
        <v>657</v>
      </c>
    </row>
    <row r="18" spans="2:3" x14ac:dyDescent="0.3">
      <c r="B18" t="s">
        <v>160</v>
      </c>
      <c r="C18" t="s">
        <v>657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468B-058E-4F08-BE75-B6719F5DDFC7}">
  <dimension ref="A1"/>
  <sheetViews>
    <sheetView workbookViewId="0"/>
  </sheetViews>
  <sheetFormatPr baseColWidth="10" defaultColWidth="10.88671875" defaultRowHeight="14.4" x14ac:dyDescent="0.3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7E5-E3C1-43B4-A1DD-1897CB1051C5}">
  <dimension ref="A1:J10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12.21875" customWidth="1"/>
    <col min="2" max="2" width="13.21875" customWidth="1"/>
    <col min="4" max="5" width="14.77734375" customWidth="1"/>
  </cols>
  <sheetData>
    <row r="1" spans="1:10" x14ac:dyDescent="0.3">
      <c r="A1" t="s">
        <v>1325</v>
      </c>
      <c r="D1" t="s">
        <v>1327</v>
      </c>
      <c r="G1" t="s">
        <v>1319</v>
      </c>
    </row>
    <row r="2" spans="1:10" ht="34.049999999999997" customHeight="1" x14ac:dyDescent="0.3">
      <c r="A2" s="118" t="s">
        <v>1326</v>
      </c>
      <c r="B2" s="118"/>
      <c r="D2" s="119" t="s">
        <v>1328</v>
      </c>
      <c r="E2" s="119"/>
    </row>
    <row r="3" spans="1:10" x14ac:dyDescent="0.3">
      <c r="A3" t="s">
        <v>1317</v>
      </c>
      <c r="D3" t="s">
        <v>1318</v>
      </c>
    </row>
    <row r="5" spans="1:10" x14ac:dyDescent="0.3">
      <c r="A5" t="s">
        <v>1354</v>
      </c>
      <c r="B5">
        <v>0.3</v>
      </c>
      <c r="D5" t="s">
        <v>1354</v>
      </c>
      <c r="E5">
        <v>0.02</v>
      </c>
      <c r="G5" t="s">
        <v>1329</v>
      </c>
      <c r="H5">
        <v>0.02</v>
      </c>
      <c r="J5" t="s">
        <v>1330</v>
      </c>
    </row>
    <row r="6" spans="1:10" x14ac:dyDescent="0.3">
      <c r="G6" t="s">
        <v>1320</v>
      </c>
      <c r="H6">
        <v>0.06</v>
      </c>
      <c r="J6" t="s">
        <v>1331</v>
      </c>
    </row>
    <row r="7" spans="1:10" x14ac:dyDescent="0.3">
      <c r="G7" t="s">
        <v>1321</v>
      </c>
      <c r="H7">
        <v>0.5</v>
      </c>
      <c r="J7" t="s">
        <v>1332</v>
      </c>
    </row>
    <row r="8" spans="1:10" x14ac:dyDescent="0.3">
      <c r="G8" t="s">
        <v>1322</v>
      </c>
      <c r="H8">
        <v>0.2</v>
      </c>
      <c r="J8" t="s">
        <v>1333</v>
      </c>
    </row>
    <row r="9" spans="1:10" x14ac:dyDescent="0.3">
      <c r="G9" t="s">
        <v>1323</v>
      </c>
      <c r="H9">
        <v>0.01</v>
      </c>
      <c r="J9" t="s">
        <v>1335</v>
      </c>
    </row>
    <row r="10" spans="1:10" x14ac:dyDescent="0.3">
      <c r="G10" t="s">
        <v>1324</v>
      </c>
      <c r="H10">
        <v>0.03</v>
      </c>
      <c r="J10" t="s">
        <v>1334</v>
      </c>
    </row>
  </sheetData>
  <mergeCells count="2">
    <mergeCell ref="A2:B2"/>
    <mergeCell ref="D2:E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selection activeCell="I23" sqref="I23"/>
    </sheetView>
  </sheetViews>
  <sheetFormatPr baseColWidth="10" defaultColWidth="8.88671875" defaultRowHeight="14.4" x14ac:dyDescent="0.3"/>
  <sheetData>
    <row r="1" spans="1:2" x14ac:dyDescent="0.3">
      <c r="B1" s="23" t="s">
        <v>119</v>
      </c>
    </row>
    <row r="2" spans="1:2" x14ac:dyDescent="0.3">
      <c r="A2" t="s">
        <v>127</v>
      </c>
      <c r="B2" s="24"/>
    </row>
    <row r="3" spans="1:2" x14ac:dyDescent="0.3">
      <c r="A3" t="s">
        <v>228</v>
      </c>
      <c r="B3" s="24"/>
    </row>
    <row r="4" spans="1:2" x14ac:dyDescent="0.3">
      <c r="A4" t="s">
        <v>134</v>
      </c>
      <c r="B4" s="2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H8"/>
  <sheetViews>
    <sheetView workbookViewId="0">
      <selection activeCell="C4" sqref="C4"/>
    </sheetView>
  </sheetViews>
  <sheetFormatPr baseColWidth="10" defaultColWidth="10.88671875" defaultRowHeight="14.4" x14ac:dyDescent="0.3"/>
  <cols>
    <col min="2" max="2" width="17.21875" customWidth="1"/>
  </cols>
  <sheetData>
    <row r="1" spans="1:86" x14ac:dyDescent="0.3">
      <c r="C1" s="4">
        <v>2017</v>
      </c>
      <c r="D1" s="4">
        <f>+C1+1</f>
        <v>2018</v>
      </c>
      <c r="E1" s="4">
        <f t="shared" ref="E1:BP1" si="0">+D1+1</f>
        <v>2019</v>
      </c>
      <c r="F1" s="4">
        <f t="shared" si="0"/>
        <v>2020</v>
      </c>
      <c r="G1" s="4">
        <f t="shared" si="0"/>
        <v>2021</v>
      </c>
      <c r="H1" s="4">
        <f t="shared" si="0"/>
        <v>2022</v>
      </c>
      <c r="I1" s="4">
        <f t="shared" si="0"/>
        <v>2023</v>
      </c>
      <c r="J1" s="4">
        <f t="shared" si="0"/>
        <v>2024</v>
      </c>
      <c r="K1" s="4">
        <f t="shared" si="0"/>
        <v>2025</v>
      </c>
      <c r="L1" s="4">
        <f t="shared" si="0"/>
        <v>2026</v>
      </c>
      <c r="M1" s="4">
        <f t="shared" si="0"/>
        <v>2027</v>
      </c>
      <c r="N1" s="4">
        <f t="shared" si="0"/>
        <v>2028</v>
      </c>
      <c r="O1" s="4">
        <f t="shared" si="0"/>
        <v>2029</v>
      </c>
      <c r="P1" s="4">
        <f t="shared" si="0"/>
        <v>2030</v>
      </c>
      <c r="Q1" s="4">
        <f t="shared" si="0"/>
        <v>2031</v>
      </c>
      <c r="R1" s="4">
        <f t="shared" si="0"/>
        <v>2032</v>
      </c>
      <c r="S1" s="4">
        <f t="shared" si="0"/>
        <v>2033</v>
      </c>
      <c r="T1" s="4">
        <f t="shared" si="0"/>
        <v>2034</v>
      </c>
      <c r="U1" s="4">
        <f t="shared" si="0"/>
        <v>2035</v>
      </c>
      <c r="V1" s="4">
        <f t="shared" si="0"/>
        <v>2036</v>
      </c>
      <c r="W1" s="4">
        <f t="shared" si="0"/>
        <v>2037</v>
      </c>
      <c r="X1" s="4">
        <f t="shared" si="0"/>
        <v>2038</v>
      </c>
      <c r="Y1" s="4">
        <f t="shared" si="0"/>
        <v>2039</v>
      </c>
      <c r="Z1" s="4">
        <f t="shared" si="0"/>
        <v>2040</v>
      </c>
      <c r="AA1" s="4">
        <f t="shared" si="0"/>
        <v>2041</v>
      </c>
      <c r="AB1" s="4">
        <f t="shared" si="0"/>
        <v>2042</v>
      </c>
      <c r="AC1" s="4">
        <f t="shared" si="0"/>
        <v>2043</v>
      </c>
      <c r="AD1" s="4">
        <f t="shared" si="0"/>
        <v>2044</v>
      </c>
      <c r="AE1" s="4">
        <f t="shared" si="0"/>
        <v>2045</v>
      </c>
      <c r="AF1" s="4">
        <f t="shared" si="0"/>
        <v>2046</v>
      </c>
      <c r="AG1" s="4">
        <f t="shared" si="0"/>
        <v>2047</v>
      </c>
      <c r="AH1" s="4">
        <f t="shared" si="0"/>
        <v>2048</v>
      </c>
      <c r="AI1" s="4">
        <f t="shared" si="0"/>
        <v>2049</v>
      </c>
      <c r="AJ1" s="4">
        <f t="shared" si="0"/>
        <v>2050</v>
      </c>
      <c r="AK1" s="4">
        <f t="shared" si="0"/>
        <v>2051</v>
      </c>
      <c r="AL1" s="4">
        <f t="shared" si="0"/>
        <v>2052</v>
      </c>
      <c r="AM1" s="4">
        <f t="shared" si="0"/>
        <v>2053</v>
      </c>
      <c r="AN1" s="4">
        <f t="shared" si="0"/>
        <v>2054</v>
      </c>
      <c r="AO1" s="4">
        <f t="shared" si="0"/>
        <v>2055</v>
      </c>
      <c r="AP1" s="4">
        <f t="shared" si="0"/>
        <v>2056</v>
      </c>
      <c r="AQ1" s="4">
        <f t="shared" si="0"/>
        <v>2057</v>
      </c>
      <c r="AR1" s="4">
        <f t="shared" si="0"/>
        <v>2058</v>
      </c>
      <c r="AS1" s="4">
        <f t="shared" si="0"/>
        <v>2059</v>
      </c>
      <c r="AT1" s="4">
        <f t="shared" si="0"/>
        <v>2060</v>
      </c>
      <c r="AU1" s="4">
        <f t="shared" si="0"/>
        <v>2061</v>
      </c>
      <c r="AV1" s="4">
        <f t="shared" si="0"/>
        <v>2062</v>
      </c>
      <c r="AW1" s="4">
        <f t="shared" si="0"/>
        <v>2063</v>
      </c>
      <c r="AX1" s="4">
        <f t="shared" si="0"/>
        <v>2064</v>
      </c>
      <c r="AY1" s="4">
        <f t="shared" si="0"/>
        <v>2065</v>
      </c>
      <c r="AZ1" s="4">
        <f t="shared" si="0"/>
        <v>2066</v>
      </c>
      <c r="BA1" s="4">
        <f t="shared" si="0"/>
        <v>2067</v>
      </c>
      <c r="BB1" s="4">
        <f t="shared" si="0"/>
        <v>2068</v>
      </c>
      <c r="BC1" s="4">
        <f t="shared" si="0"/>
        <v>2069</v>
      </c>
      <c r="BD1" s="4">
        <f t="shared" si="0"/>
        <v>2070</v>
      </c>
      <c r="BE1" s="4">
        <f t="shared" si="0"/>
        <v>2071</v>
      </c>
      <c r="BF1" s="4">
        <f t="shared" si="0"/>
        <v>2072</v>
      </c>
      <c r="BG1" s="4">
        <f t="shared" si="0"/>
        <v>2073</v>
      </c>
      <c r="BH1" s="4">
        <f t="shared" si="0"/>
        <v>2074</v>
      </c>
      <c r="BI1" s="4">
        <f t="shared" si="0"/>
        <v>2075</v>
      </c>
      <c r="BJ1" s="4">
        <f t="shared" si="0"/>
        <v>2076</v>
      </c>
      <c r="BK1" s="4">
        <f t="shared" si="0"/>
        <v>2077</v>
      </c>
      <c r="BL1" s="4">
        <f t="shared" si="0"/>
        <v>2078</v>
      </c>
      <c r="BM1" s="4">
        <f t="shared" si="0"/>
        <v>2079</v>
      </c>
      <c r="BN1" s="4">
        <f t="shared" si="0"/>
        <v>2080</v>
      </c>
      <c r="BO1" s="4">
        <f t="shared" si="0"/>
        <v>2081</v>
      </c>
      <c r="BP1" s="4">
        <f t="shared" si="0"/>
        <v>2082</v>
      </c>
      <c r="BQ1" s="4">
        <f t="shared" ref="BQ1:CH1" si="1">+BP1+1</f>
        <v>2083</v>
      </c>
      <c r="BR1" s="4">
        <f t="shared" si="1"/>
        <v>2084</v>
      </c>
      <c r="BS1" s="4">
        <f t="shared" si="1"/>
        <v>2085</v>
      </c>
      <c r="BT1" s="4">
        <f t="shared" si="1"/>
        <v>2086</v>
      </c>
      <c r="BU1" s="4">
        <f t="shared" si="1"/>
        <v>2087</v>
      </c>
      <c r="BV1" s="4">
        <f t="shared" si="1"/>
        <v>2088</v>
      </c>
      <c r="BW1" s="4">
        <f t="shared" si="1"/>
        <v>2089</v>
      </c>
      <c r="BX1" s="4">
        <f t="shared" si="1"/>
        <v>2090</v>
      </c>
      <c r="BY1" s="4">
        <f t="shared" si="1"/>
        <v>2091</v>
      </c>
      <c r="BZ1" s="4">
        <f t="shared" si="1"/>
        <v>2092</v>
      </c>
      <c r="CA1" s="4">
        <f t="shared" si="1"/>
        <v>2093</v>
      </c>
      <c r="CB1" s="4">
        <f t="shared" si="1"/>
        <v>2094</v>
      </c>
      <c r="CC1" s="4">
        <f t="shared" si="1"/>
        <v>2095</v>
      </c>
      <c r="CD1" s="4">
        <f t="shared" si="1"/>
        <v>2096</v>
      </c>
      <c r="CE1" s="4">
        <f t="shared" si="1"/>
        <v>2097</v>
      </c>
      <c r="CF1" s="4">
        <f t="shared" si="1"/>
        <v>2098</v>
      </c>
      <c r="CG1" s="4">
        <f t="shared" si="1"/>
        <v>2099</v>
      </c>
      <c r="CH1" s="4">
        <f t="shared" si="1"/>
        <v>2100</v>
      </c>
    </row>
    <row r="2" spans="1:86" x14ac:dyDescent="0.3">
      <c r="A2" s="4" t="s">
        <v>898</v>
      </c>
      <c r="B2" s="4" t="s">
        <v>894</v>
      </c>
      <c r="C2">
        <v>0.5</v>
      </c>
      <c r="D2">
        <f>+C2+0.5</f>
        <v>1</v>
      </c>
      <c r="E2">
        <f t="shared" ref="E2:BP2" si="2">+D2+0.5</f>
        <v>1.5</v>
      </c>
      <c r="F2">
        <f t="shared" si="2"/>
        <v>2</v>
      </c>
      <c r="G2">
        <f t="shared" si="2"/>
        <v>2.5</v>
      </c>
      <c r="H2">
        <f t="shared" si="2"/>
        <v>3</v>
      </c>
      <c r="I2">
        <f t="shared" si="2"/>
        <v>3.5</v>
      </c>
      <c r="J2">
        <f t="shared" si="2"/>
        <v>4</v>
      </c>
      <c r="K2">
        <f t="shared" si="2"/>
        <v>4.5</v>
      </c>
      <c r="L2">
        <f t="shared" si="2"/>
        <v>5</v>
      </c>
      <c r="M2">
        <f t="shared" si="2"/>
        <v>5.5</v>
      </c>
      <c r="N2">
        <f t="shared" si="2"/>
        <v>6</v>
      </c>
      <c r="O2">
        <f t="shared" si="2"/>
        <v>6.5</v>
      </c>
      <c r="P2">
        <f t="shared" si="2"/>
        <v>7</v>
      </c>
      <c r="Q2">
        <f t="shared" si="2"/>
        <v>7.5</v>
      </c>
      <c r="R2">
        <f t="shared" si="2"/>
        <v>8</v>
      </c>
      <c r="S2">
        <f t="shared" si="2"/>
        <v>8.5</v>
      </c>
      <c r="T2">
        <f t="shared" si="2"/>
        <v>9</v>
      </c>
      <c r="U2">
        <f t="shared" si="2"/>
        <v>9.5</v>
      </c>
      <c r="V2">
        <f t="shared" si="2"/>
        <v>10</v>
      </c>
      <c r="W2">
        <f t="shared" si="2"/>
        <v>10.5</v>
      </c>
      <c r="X2">
        <f t="shared" si="2"/>
        <v>11</v>
      </c>
      <c r="Y2">
        <f t="shared" si="2"/>
        <v>11.5</v>
      </c>
      <c r="Z2">
        <f t="shared" si="2"/>
        <v>12</v>
      </c>
      <c r="AA2">
        <f t="shared" si="2"/>
        <v>12.5</v>
      </c>
      <c r="AB2">
        <f t="shared" si="2"/>
        <v>13</v>
      </c>
      <c r="AC2">
        <f t="shared" si="2"/>
        <v>13.5</v>
      </c>
      <c r="AD2">
        <f t="shared" si="2"/>
        <v>14</v>
      </c>
      <c r="AE2">
        <f t="shared" si="2"/>
        <v>14.5</v>
      </c>
      <c r="AF2">
        <f t="shared" si="2"/>
        <v>15</v>
      </c>
      <c r="AG2">
        <f t="shared" si="2"/>
        <v>15.5</v>
      </c>
      <c r="AH2">
        <f t="shared" si="2"/>
        <v>16</v>
      </c>
      <c r="AI2">
        <f t="shared" si="2"/>
        <v>16.5</v>
      </c>
      <c r="AJ2">
        <f t="shared" si="2"/>
        <v>17</v>
      </c>
      <c r="AK2">
        <f t="shared" si="2"/>
        <v>17.5</v>
      </c>
      <c r="AL2">
        <f t="shared" si="2"/>
        <v>18</v>
      </c>
      <c r="AM2">
        <f t="shared" si="2"/>
        <v>18.5</v>
      </c>
      <c r="AN2">
        <f t="shared" si="2"/>
        <v>19</v>
      </c>
      <c r="AO2">
        <f t="shared" si="2"/>
        <v>19.5</v>
      </c>
      <c r="AP2">
        <f t="shared" si="2"/>
        <v>20</v>
      </c>
      <c r="AQ2">
        <f t="shared" si="2"/>
        <v>20.5</v>
      </c>
      <c r="AR2">
        <f t="shared" si="2"/>
        <v>21</v>
      </c>
      <c r="AS2">
        <f t="shared" si="2"/>
        <v>21.5</v>
      </c>
      <c r="AT2">
        <f t="shared" si="2"/>
        <v>22</v>
      </c>
      <c r="AU2">
        <f t="shared" si="2"/>
        <v>22.5</v>
      </c>
      <c r="AV2">
        <f t="shared" si="2"/>
        <v>23</v>
      </c>
      <c r="AW2">
        <f t="shared" si="2"/>
        <v>23.5</v>
      </c>
      <c r="AX2">
        <f t="shared" si="2"/>
        <v>24</v>
      </c>
      <c r="AY2">
        <f t="shared" si="2"/>
        <v>24.5</v>
      </c>
      <c r="AZ2">
        <f t="shared" si="2"/>
        <v>25</v>
      </c>
      <c r="BA2">
        <f t="shared" si="2"/>
        <v>25.5</v>
      </c>
      <c r="BB2">
        <f t="shared" si="2"/>
        <v>26</v>
      </c>
      <c r="BC2">
        <f t="shared" si="2"/>
        <v>26.5</v>
      </c>
      <c r="BD2">
        <f t="shared" si="2"/>
        <v>27</v>
      </c>
      <c r="BE2">
        <f t="shared" si="2"/>
        <v>27.5</v>
      </c>
      <c r="BF2">
        <f t="shared" si="2"/>
        <v>28</v>
      </c>
      <c r="BG2">
        <f t="shared" si="2"/>
        <v>28.5</v>
      </c>
      <c r="BH2">
        <f t="shared" si="2"/>
        <v>29</v>
      </c>
      <c r="BI2">
        <f t="shared" si="2"/>
        <v>29.5</v>
      </c>
      <c r="BJ2">
        <f t="shared" si="2"/>
        <v>30</v>
      </c>
      <c r="BK2">
        <f t="shared" si="2"/>
        <v>30.5</v>
      </c>
      <c r="BL2">
        <f t="shared" si="2"/>
        <v>31</v>
      </c>
      <c r="BM2">
        <f t="shared" si="2"/>
        <v>31.5</v>
      </c>
      <c r="BN2">
        <f t="shared" si="2"/>
        <v>32</v>
      </c>
      <c r="BO2">
        <f t="shared" si="2"/>
        <v>32.5</v>
      </c>
      <c r="BP2">
        <f t="shared" si="2"/>
        <v>33</v>
      </c>
      <c r="BQ2">
        <f t="shared" ref="BQ2:CH2" si="3">+BP2+0.5</f>
        <v>33.5</v>
      </c>
      <c r="BR2">
        <f t="shared" si="3"/>
        <v>34</v>
      </c>
      <c r="BS2">
        <f t="shared" si="3"/>
        <v>34.5</v>
      </c>
      <c r="BT2">
        <f t="shared" si="3"/>
        <v>35</v>
      </c>
      <c r="BU2">
        <f t="shared" si="3"/>
        <v>35.5</v>
      </c>
      <c r="BV2">
        <f t="shared" si="3"/>
        <v>36</v>
      </c>
      <c r="BW2">
        <f t="shared" si="3"/>
        <v>36.5</v>
      </c>
      <c r="BX2">
        <f t="shared" si="3"/>
        <v>37</v>
      </c>
      <c r="BY2">
        <f t="shared" si="3"/>
        <v>37.5</v>
      </c>
      <c r="BZ2">
        <f t="shared" si="3"/>
        <v>38</v>
      </c>
      <c r="CA2">
        <f t="shared" si="3"/>
        <v>38.5</v>
      </c>
      <c r="CB2">
        <f t="shared" si="3"/>
        <v>39</v>
      </c>
      <c r="CC2">
        <f t="shared" si="3"/>
        <v>39.5</v>
      </c>
      <c r="CD2">
        <f t="shared" si="3"/>
        <v>40</v>
      </c>
      <c r="CE2">
        <f t="shared" si="3"/>
        <v>40.5</v>
      </c>
      <c r="CF2">
        <f t="shared" si="3"/>
        <v>41</v>
      </c>
      <c r="CG2">
        <f t="shared" si="3"/>
        <v>41.5</v>
      </c>
      <c r="CH2">
        <f t="shared" si="3"/>
        <v>42</v>
      </c>
    </row>
    <row r="3" spans="1:86" x14ac:dyDescent="0.3">
      <c r="A3" s="4" t="s">
        <v>898</v>
      </c>
      <c r="B3" s="4" t="s">
        <v>899</v>
      </c>
      <c r="C3">
        <v>1</v>
      </c>
      <c r="D3">
        <f>+MAX(+C3-0.02,0.0000000001)</f>
        <v>0.98</v>
      </c>
      <c r="E3">
        <f t="shared" ref="E3:BP4" si="4">+MAX(+D3-0.02,0.0000000001)</f>
        <v>0.96</v>
      </c>
      <c r="F3">
        <f t="shared" si="4"/>
        <v>0.94</v>
      </c>
      <c r="G3">
        <f t="shared" si="4"/>
        <v>0.91999999999999993</v>
      </c>
      <c r="H3">
        <f t="shared" si="4"/>
        <v>0.89999999999999991</v>
      </c>
      <c r="I3">
        <f t="shared" si="4"/>
        <v>0.87999999999999989</v>
      </c>
      <c r="J3">
        <f t="shared" si="4"/>
        <v>0.85999999999999988</v>
      </c>
      <c r="K3">
        <f t="shared" si="4"/>
        <v>0.83999999999999986</v>
      </c>
      <c r="L3">
        <f t="shared" si="4"/>
        <v>0.81999999999999984</v>
      </c>
      <c r="M3">
        <f t="shared" si="4"/>
        <v>0.79999999999999982</v>
      </c>
      <c r="N3">
        <f t="shared" si="4"/>
        <v>0.7799999999999998</v>
      </c>
      <c r="O3">
        <f t="shared" si="4"/>
        <v>0.75999999999999979</v>
      </c>
      <c r="P3">
        <f t="shared" si="4"/>
        <v>0.73999999999999977</v>
      </c>
      <c r="Q3">
        <f t="shared" si="4"/>
        <v>0.71999999999999975</v>
      </c>
      <c r="R3">
        <f t="shared" si="4"/>
        <v>0.69999999999999973</v>
      </c>
      <c r="S3">
        <f t="shared" si="4"/>
        <v>0.67999999999999972</v>
      </c>
      <c r="T3">
        <f t="shared" si="4"/>
        <v>0.6599999999999997</v>
      </c>
      <c r="U3">
        <f t="shared" si="4"/>
        <v>0.63999999999999968</v>
      </c>
      <c r="V3">
        <f t="shared" si="4"/>
        <v>0.61999999999999966</v>
      </c>
      <c r="W3">
        <f t="shared" si="4"/>
        <v>0.59999999999999964</v>
      </c>
      <c r="X3">
        <f t="shared" si="4"/>
        <v>0.57999999999999963</v>
      </c>
      <c r="Y3">
        <f t="shared" si="4"/>
        <v>0.55999999999999961</v>
      </c>
      <c r="Z3">
        <f t="shared" si="4"/>
        <v>0.53999999999999959</v>
      </c>
      <c r="AA3">
        <f t="shared" si="4"/>
        <v>0.51999999999999957</v>
      </c>
      <c r="AB3">
        <f t="shared" si="4"/>
        <v>0.49999999999999956</v>
      </c>
      <c r="AC3">
        <f t="shared" si="4"/>
        <v>0.47999999999999954</v>
      </c>
      <c r="AD3">
        <f t="shared" si="4"/>
        <v>0.45999999999999952</v>
      </c>
      <c r="AE3">
        <f t="shared" si="4"/>
        <v>0.4399999999999995</v>
      </c>
      <c r="AF3">
        <f t="shared" si="4"/>
        <v>0.41999999999999948</v>
      </c>
      <c r="AG3">
        <f t="shared" si="4"/>
        <v>0.39999999999999947</v>
      </c>
      <c r="AH3">
        <f t="shared" si="4"/>
        <v>0.37999999999999945</v>
      </c>
      <c r="AI3">
        <f t="shared" si="4"/>
        <v>0.35999999999999943</v>
      </c>
      <c r="AJ3">
        <f t="shared" si="4"/>
        <v>0.33999999999999941</v>
      </c>
      <c r="AK3">
        <f t="shared" si="4"/>
        <v>0.3199999999999994</v>
      </c>
      <c r="AL3">
        <f t="shared" si="4"/>
        <v>0.29999999999999938</v>
      </c>
      <c r="AM3">
        <f t="shared" si="4"/>
        <v>0.27999999999999936</v>
      </c>
      <c r="AN3">
        <f t="shared" si="4"/>
        <v>0.25999999999999934</v>
      </c>
      <c r="AO3">
        <f t="shared" si="4"/>
        <v>0.23999999999999935</v>
      </c>
      <c r="AP3">
        <f t="shared" si="4"/>
        <v>0.21999999999999936</v>
      </c>
      <c r="AQ3">
        <f t="shared" si="4"/>
        <v>0.19999999999999937</v>
      </c>
      <c r="AR3">
        <f t="shared" si="4"/>
        <v>0.17999999999999938</v>
      </c>
      <c r="AS3">
        <f t="shared" si="4"/>
        <v>0.15999999999999939</v>
      </c>
      <c r="AT3">
        <f t="shared" si="4"/>
        <v>0.1399999999999994</v>
      </c>
      <c r="AU3">
        <f t="shared" si="4"/>
        <v>0.1199999999999994</v>
      </c>
      <c r="AV3">
        <f t="shared" si="4"/>
        <v>9.9999999999999395E-2</v>
      </c>
      <c r="AW3">
        <f t="shared" si="4"/>
        <v>7.9999999999999391E-2</v>
      </c>
      <c r="AX3">
        <f t="shared" si="4"/>
        <v>5.9999999999999387E-2</v>
      </c>
      <c r="AY3">
        <f t="shared" si="4"/>
        <v>3.9999999999999383E-2</v>
      </c>
      <c r="AZ3">
        <f t="shared" si="4"/>
        <v>1.9999999999999383E-2</v>
      </c>
      <c r="BA3">
        <f t="shared" si="4"/>
        <v>1E-10</v>
      </c>
      <c r="BB3">
        <f t="shared" si="4"/>
        <v>1E-10</v>
      </c>
      <c r="BC3">
        <f t="shared" si="4"/>
        <v>1E-10</v>
      </c>
      <c r="BD3">
        <f t="shared" si="4"/>
        <v>1E-10</v>
      </c>
      <c r="BE3">
        <f t="shared" si="4"/>
        <v>1E-10</v>
      </c>
      <c r="BF3">
        <f t="shared" si="4"/>
        <v>1E-10</v>
      </c>
      <c r="BG3">
        <f t="shared" si="4"/>
        <v>1E-10</v>
      </c>
      <c r="BH3">
        <f t="shared" si="4"/>
        <v>1E-10</v>
      </c>
      <c r="BI3">
        <f t="shared" si="4"/>
        <v>1E-10</v>
      </c>
      <c r="BJ3">
        <f t="shared" si="4"/>
        <v>1E-10</v>
      </c>
      <c r="BK3">
        <f t="shared" si="4"/>
        <v>1E-10</v>
      </c>
      <c r="BL3">
        <f t="shared" si="4"/>
        <v>1E-10</v>
      </c>
      <c r="BM3">
        <f t="shared" si="4"/>
        <v>1E-10</v>
      </c>
      <c r="BN3">
        <f t="shared" si="4"/>
        <v>1E-10</v>
      </c>
      <c r="BO3">
        <f t="shared" si="4"/>
        <v>1E-10</v>
      </c>
      <c r="BP3">
        <f t="shared" si="4"/>
        <v>1E-10</v>
      </c>
      <c r="BQ3">
        <f t="shared" ref="BQ3:CH4" si="5">+MAX(+BP3-0.02,0.0000000001)</f>
        <v>1E-10</v>
      </c>
      <c r="BR3">
        <f t="shared" si="5"/>
        <v>1E-10</v>
      </c>
      <c r="BS3">
        <f t="shared" si="5"/>
        <v>1E-10</v>
      </c>
      <c r="BT3">
        <f t="shared" si="5"/>
        <v>1E-10</v>
      </c>
      <c r="BU3">
        <f t="shared" si="5"/>
        <v>1E-10</v>
      </c>
      <c r="BV3">
        <f t="shared" si="5"/>
        <v>1E-10</v>
      </c>
      <c r="BW3">
        <f t="shared" si="5"/>
        <v>1E-10</v>
      </c>
      <c r="BX3">
        <f t="shared" si="5"/>
        <v>1E-10</v>
      </c>
      <c r="BY3">
        <f t="shared" si="5"/>
        <v>1E-10</v>
      </c>
      <c r="BZ3">
        <f t="shared" si="5"/>
        <v>1E-10</v>
      </c>
      <c r="CA3">
        <f t="shared" si="5"/>
        <v>1E-10</v>
      </c>
      <c r="CB3">
        <f t="shared" si="5"/>
        <v>1E-10</v>
      </c>
      <c r="CC3">
        <f t="shared" si="5"/>
        <v>1E-10</v>
      </c>
      <c r="CD3">
        <f t="shared" si="5"/>
        <v>1E-10</v>
      </c>
      <c r="CE3">
        <f t="shared" si="5"/>
        <v>1E-10</v>
      </c>
      <c r="CF3">
        <f t="shared" si="5"/>
        <v>1E-10</v>
      </c>
      <c r="CG3">
        <f t="shared" si="5"/>
        <v>1E-10</v>
      </c>
      <c r="CH3">
        <f t="shared" si="5"/>
        <v>1E-10</v>
      </c>
    </row>
    <row r="4" spans="1:86" x14ac:dyDescent="0.3">
      <c r="A4" s="4" t="s">
        <v>898</v>
      </c>
      <c r="B4" s="4" t="s">
        <v>900</v>
      </c>
      <c r="C4">
        <v>1</v>
      </c>
      <c r="D4">
        <f t="shared" ref="D4:BO4" si="6">+MAX(+C4-0.02,0.0000000001)</f>
        <v>0.98</v>
      </c>
      <c r="E4">
        <f t="shared" si="6"/>
        <v>0.96</v>
      </c>
      <c r="F4">
        <f t="shared" si="6"/>
        <v>0.94</v>
      </c>
      <c r="G4">
        <f t="shared" si="6"/>
        <v>0.91999999999999993</v>
      </c>
      <c r="H4">
        <f t="shared" si="6"/>
        <v>0.89999999999999991</v>
      </c>
      <c r="I4">
        <f t="shared" si="6"/>
        <v>0.87999999999999989</v>
      </c>
      <c r="J4">
        <f t="shared" si="6"/>
        <v>0.85999999999999988</v>
      </c>
      <c r="K4">
        <f t="shared" si="6"/>
        <v>0.83999999999999986</v>
      </c>
      <c r="L4">
        <f t="shared" si="6"/>
        <v>0.81999999999999984</v>
      </c>
      <c r="M4">
        <f t="shared" si="6"/>
        <v>0.79999999999999982</v>
      </c>
      <c r="N4">
        <f t="shared" si="6"/>
        <v>0.7799999999999998</v>
      </c>
      <c r="O4">
        <f t="shared" si="6"/>
        <v>0.75999999999999979</v>
      </c>
      <c r="P4">
        <f t="shared" si="6"/>
        <v>0.73999999999999977</v>
      </c>
      <c r="Q4">
        <f t="shared" si="6"/>
        <v>0.71999999999999975</v>
      </c>
      <c r="R4">
        <f t="shared" si="6"/>
        <v>0.69999999999999973</v>
      </c>
      <c r="S4">
        <f t="shared" si="6"/>
        <v>0.67999999999999972</v>
      </c>
      <c r="T4">
        <f t="shared" si="6"/>
        <v>0.6599999999999997</v>
      </c>
      <c r="U4">
        <f t="shared" si="6"/>
        <v>0.63999999999999968</v>
      </c>
      <c r="V4">
        <f t="shared" si="6"/>
        <v>0.61999999999999966</v>
      </c>
      <c r="W4">
        <f t="shared" si="6"/>
        <v>0.59999999999999964</v>
      </c>
      <c r="X4">
        <f t="shared" si="6"/>
        <v>0.57999999999999963</v>
      </c>
      <c r="Y4">
        <f t="shared" si="6"/>
        <v>0.55999999999999961</v>
      </c>
      <c r="Z4">
        <f t="shared" si="6"/>
        <v>0.53999999999999959</v>
      </c>
      <c r="AA4">
        <f t="shared" si="6"/>
        <v>0.51999999999999957</v>
      </c>
      <c r="AB4">
        <f t="shared" si="6"/>
        <v>0.49999999999999956</v>
      </c>
      <c r="AC4">
        <f t="shared" si="6"/>
        <v>0.47999999999999954</v>
      </c>
      <c r="AD4">
        <f t="shared" si="6"/>
        <v>0.45999999999999952</v>
      </c>
      <c r="AE4">
        <f t="shared" si="6"/>
        <v>0.4399999999999995</v>
      </c>
      <c r="AF4">
        <f t="shared" si="6"/>
        <v>0.41999999999999948</v>
      </c>
      <c r="AG4">
        <f t="shared" si="6"/>
        <v>0.39999999999999947</v>
      </c>
      <c r="AH4">
        <f t="shared" si="6"/>
        <v>0.37999999999999945</v>
      </c>
      <c r="AI4">
        <f t="shared" si="6"/>
        <v>0.35999999999999943</v>
      </c>
      <c r="AJ4">
        <f t="shared" si="6"/>
        <v>0.33999999999999941</v>
      </c>
      <c r="AK4">
        <f t="shared" si="6"/>
        <v>0.3199999999999994</v>
      </c>
      <c r="AL4">
        <f t="shared" si="6"/>
        <v>0.29999999999999938</v>
      </c>
      <c r="AM4">
        <f t="shared" si="6"/>
        <v>0.27999999999999936</v>
      </c>
      <c r="AN4">
        <f t="shared" si="6"/>
        <v>0.25999999999999934</v>
      </c>
      <c r="AO4">
        <f t="shared" si="6"/>
        <v>0.23999999999999935</v>
      </c>
      <c r="AP4">
        <f t="shared" si="6"/>
        <v>0.21999999999999936</v>
      </c>
      <c r="AQ4">
        <f t="shared" si="6"/>
        <v>0.19999999999999937</v>
      </c>
      <c r="AR4">
        <f t="shared" si="6"/>
        <v>0.17999999999999938</v>
      </c>
      <c r="AS4">
        <f t="shared" si="6"/>
        <v>0.15999999999999939</v>
      </c>
      <c r="AT4">
        <f t="shared" si="6"/>
        <v>0.1399999999999994</v>
      </c>
      <c r="AU4">
        <f t="shared" si="6"/>
        <v>0.1199999999999994</v>
      </c>
      <c r="AV4">
        <f t="shared" si="6"/>
        <v>9.9999999999999395E-2</v>
      </c>
      <c r="AW4">
        <f t="shared" si="6"/>
        <v>7.9999999999999391E-2</v>
      </c>
      <c r="AX4">
        <f t="shared" si="6"/>
        <v>5.9999999999999387E-2</v>
      </c>
      <c r="AY4">
        <f t="shared" si="6"/>
        <v>3.9999999999999383E-2</v>
      </c>
      <c r="AZ4">
        <f t="shared" si="6"/>
        <v>1.9999999999999383E-2</v>
      </c>
      <c r="BA4">
        <f t="shared" si="6"/>
        <v>1E-10</v>
      </c>
      <c r="BB4">
        <f t="shared" si="6"/>
        <v>1E-10</v>
      </c>
      <c r="BC4">
        <f t="shared" si="6"/>
        <v>1E-10</v>
      </c>
      <c r="BD4">
        <f t="shared" si="6"/>
        <v>1E-10</v>
      </c>
      <c r="BE4">
        <f t="shared" si="6"/>
        <v>1E-10</v>
      </c>
      <c r="BF4">
        <f t="shared" si="6"/>
        <v>1E-10</v>
      </c>
      <c r="BG4">
        <f t="shared" si="6"/>
        <v>1E-10</v>
      </c>
      <c r="BH4">
        <f t="shared" si="6"/>
        <v>1E-10</v>
      </c>
      <c r="BI4">
        <f t="shared" si="6"/>
        <v>1E-10</v>
      </c>
      <c r="BJ4">
        <f t="shared" si="6"/>
        <v>1E-10</v>
      </c>
      <c r="BK4">
        <f t="shared" si="6"/>
        <v>1E-10</v>
      </c>
      <c r="BL4">
        <f t="shared" si="6"/>
        <v>1E-10</v>
      </c>
      <c r="BM4">
        <f t="shared" si="6"/>
        <v>1E-10</v>
      </c>
      <c r="BN4">
        <f t="shared" si="6"/>
        <v>1E-10</v>
      </c>
      <c r="BO4">
        <f t="shared" si="6"/>
        <v>1E-10</v>
      </c>
      <c r="BP4">
        <f t="shared" si="4"/>
        <v>1E-10</v>
      </c>
      <c r="BQ4">
        <f t="shared" si="5"/>
        <v>1E-10</v>
      </c>
      <c r="BR4">
        <f t="shared" si="5"/>
        <v>1E-10</v>
      </c>
      <c r="BS4">
        <f t="shared" si="5"/>
        <v>1E-10</v>
      </c>
      <c r="BT4">
        <f t="shared" si="5"/>
        <v>1E-10</v>
      </c>
      <c r="BU4">
        <f t="shared" si="5"/>
        <v>1E-10</v>
      </c>
      <c r="BV4">
        <f t="shared" si="5"/>
        <v>1E-10</v>
      </c>
      <c r="BW4">
        <f t="shared" si="5"/>
        <v>1E-10</v>
      </c>
      <c r="BX4">
        <f t="shared" si="5"/>
        <v>1E-10</v>
      </c>
      <c r="BY4">
        <f t="shared" si="5"/>
        <v>1E-10</v>
      </c>
      <c r="BZ4">
        <f t="shared" si="5"/>
        <v>1E-10</v>
      </c>
      <c r="CA4">
        <f t="shared" si="5"/>
        <v>1E-10</v>
      </c>
      <c r="CB4">
        <f t="shared" si="5"/>
        <v>1E-10</v>
      </c>
      <c r="CC4">
        <f t="shared" si="5"/>
        <v>1E-10</v>
      </c>
      <c r="CD4">
        <f t="shared" si="5"/>
        <v>1E-10</v>
      </c>
      <c r="CE4">
        <f t="shared" si="5"/>
        <v>1E-10</v>
      </c>
      <c r="CF4">
        <f t="shared" si="5"/>
        <v>1E-10</v>
      </c>
      <c r="CG4">
        <f t="shared" si="5"/>
        <v>1E-10</v>
      </c>
      <c r="CH4">
        <f t="shared" si="5"/>
        <v>1E-10</v>
      </c>
    </row>
    <row r="5" spans="1:86" x14ac:dyDescent="0.3">
      <c r="A5" s="4" t="s">
        <v>898</v>
      </c>
      <c r="B5" s="4" t="s">
        <v>901</v>
      </c>
    </row>
    <row r="6" spans="1:86" x14ac:dyDescent="0.3">
      <c r="A6" s="4"/>
      <c r="B6" s="4"/>
    </row>
    <row r="7" spans="1:86" x14ac:dyDescent="0.3">
      <c r="A7" s="4"/>
      <c r="B7" s="4"/>
    </row>
    <row r="8" spans="1:86" x14ac:dyDescent="0.3">
      <c r="A8" s="4"/>
      <c r="B8" s="4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G12" sqref="G11:G12"/>
    </sheetView>
  </sheetViews>
  <sheetFormatPr baseColWidth="10" defaultColWidth="10.88671875" defaultRowHeight="14.4" x14ac:dyDescent="0.3"/>
  <sheetData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74:FS175"/>
  <sheetViews>
    <sheetView workbookViewId="0">
      <selection activeCell="C20" sqref="C20"/>
    </sheetView>
  </sheetViews>
  <sheetFormatPr baseColWidth="10" defaultColWidth="10.88671875" defaultRowHeight="14.4" x14ac:dyDescent="0.3"/>
  <cols>
    <col min="1" max="1" width="27.5546875" customWidth="1"/>
  </cols>
  <sheetData>
    <row r="74" spans="2:67" x14ac:dyDescent="0.3">
      <c r="P74" s="7"/>
      <c r="R74" s="7"/>
      <c r="S74" s="7"/>
      <c r="AG74" s="7"/>
      <c r="AJ74" s="7"/>
      <c r="AL74" s="7"/>
      <c r="AM74" s="7"/>
      <c r="AN74" s="7"/>
      <c r="AO74" s="7"/>
      <c r="AR74" s="7"/>
      <c r="AS74" s="7"/>
      <c r="AV74" s="7"/>
      <c r="AW74" s="7"/>
      <c r="BB74" s="7"/>
      <c r="BC74" s="7"/>
      <c r="BD74" s="7"/>
      <c r="BJ74" s="7"/>
      <c r="BM74" s="7"/>
      <c r="BN74" s="7"/>
    </row>
    <row r="75" spans="2:67" x14ac:dyDescent="0.3">
      <c r="P75" s="7"/>
      <c r="R75" s="7"/>
      <c r="S75" s="7"/>
      <c r="AJ75" s="7"/>
      <c r="AL75" s="7"/>
      <c r="AM75" s="7"/>
      <c r="AN75" s="7"/>
      <c r="AO75" s="7"/>
      <c r="AP75" s="7"/>
      <c r="AQ75" s="7"/>
      <c r="AR75" s="7"/>
      <c r="AS75" s="7"/>
      <c r="AV75" s="7"/>
      <c r="AW75" s="7"/>
      <c r="AY75" s="7"/>
      <c r="AZ75" s="7"/>
      <c r="BA75" s="7"/>
      <c r="BB75" s="7"/>
      <c r="BC75" s="7"/>
    </row>
    <row r="76" spans="2:67" x14ac:dyDescent="0.3">
      <c r="P76" s="7"/>
      <c r="R76" s="7"/>
      <c r="S76" s="7"/>
      <c r="AG76" s="7"/>
      <c r="AL76" s="7"/>
      <c r="AM76" s="7"/>
      <c r="AN76" s="7"/>
      <c r="AO76" s="7"/>
      <c r="AP76" s="7"/>
      <c r="AR76" s="7"/>
      <c r="AS76" s="7"/>
      <c r="AV76" s="7"/>
      <c r="AW76" s="7"/>
      <c r="AY76" s="7"/>
      <c r="AZ76" s="7"/>
      <c r="BA76" s="7"/>
      <c r="BB76" s="7"/>
      <c r="BC76" s="7"/>
    </row>
    <row r="77" spans="2:67" x14ac:dyDescent="0.3">
      <c r="P77" s="7"/>
      <c r="Q77" s="7"/>
      <c r="R77" s="7"/>
      <c r="S77" s="7"/>
      <c r="AL77" s="7"/>
      <c r="AM77" s="7"/>
      <c r="AO77" s="7"/>
      <c r="AP77" s="7"/>
      <c r="AR77" s="7"/>
      <c r="AS77" s="7"/>
      <c r="AV77" s="7"/>
      <c r="AW77" s="7"/>
      <c r="AY77" s="7"/>
      <c r="AZ77" s="7"/>
      <c r="BB77" s="7"/>
      <c r="BC77" s="7"/>
      <c r="BJ77" s="7"/>
    </row>
    <row r="78" spans="2:67" x14ac:dyDescent="0.3">
      <c r="Q78" s="7"/>
      <c r="R78" s="7"/>
      <c r="S78" s="7"/>
      <c r="AF78" s="7"/>
      <c r="AG78" s="7"/>
      <c r="AJ78" s="7"/>
      <c r="AK78" s="7"/>
      <c r="AL78" s="7"/>
      <c r="AM78" s="7"/>
      <c r="AN78" s="7"/>
      <c r="AO78" s="7"/>
      <c r="AP78" s="7"/>
      <c r="AQ78" s="7"/>
      <c r="AW78" s="7"/>
      <c r="BB78" s="7"/>
      <c r="BC78" s="7"/>
      <c r="BD78" s="7"/>
      <c r="BH78" s="7"/>
      <c r="BI78" s="7"/>
      <c r="BJ78" s="7"/>
      <c r="BL78" s="7"/>
      <c r="BM78" s="7"/>
      <c r="BN78" s="7"/>
    </row>
    <row r="79" spans="2:67" x14ac:dyDescent="0.3">
      <c r="B79" s="7"/>
      <c r="H79" s="7"/>
      <c r="Q79" s="7"/>
      <c r="R79" s="7"/>
      <c r="S79" s="7"/>
      <c r="AG79" s="7"/>
      <c r="AK79" s="7"/>
      <c r="AL79" s="7"/>
      <c r="AM79" s="7"/>
      <c r="AN79" s="7"/>
      <c r="AO79" s="7"/>
      <c r="AP79" s="7"/>
      <c r="AQ79" s="7"/>
      <c r="AW79" s="7"/>
      <c r="BB79" s="7"/>
      <c r="BC79" s="7"/>
      <c r="BI79" s="7"/>
      <c r="BJ79" s="7"/>
      <c r="BM79" s="7"/>
      <c r="BN79" s="7"/>
    </row>
    <row r="80" spans="2:67" x14ac:dyDescent="0.3">
      <c r="Q80" s="7"/>
      <c r="R80" s="7"/>
      <c r="S80" s="7"/>
      <c r="AF80" s="7"/>
      <c r="AG80" s="7"/>
      <c r="AJ80" s="7"/>
      <c r="AL80" s="7"/>
      <c r="AM80" s="7"/>
      <c r="AN80" s="7"/>
      <c r="AO80" s="7"/>
      <c r="AP80" s="7"/>
      <c r="AQ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H80" s="7"/>
      <c r="BI80" s="7"/>
      <c r="BJ80" s="7"/>
      <c r="BL80" s="7"/>
      <c r="BM80" s="7"/>
      <c r="BN80" s="7"/>
      <c r="BO80" s="7"/>
    </row>
    <row r="81" spans="2:73" x14ac:dyDescent="0.3">
      <c r="P81" s="7"/>
      <c r="Q81" s="7"/>
      <c r="R81" s="7"/>
      <c r="S81" s="7"/>
      <c r="AG81" s="7"/>
      <c r="AL81" s="7"/>
      <c r="AM81" s="7"/>
      <c r="AR81" s="7"/>
      <c r="AS81" s="7"/>
      <c r="AW81" s="7"/>
      <c r="BB81" s="7"/>
      <c r="BC81" s="7"/>
      <c r="BJ81" s="7"/>
    </row>
    <row r="82" spans="2:73" x14ac:dyDescent="0.3">
      <c r="P82" s="7"/>
      <c r="R82" s="7"/>
      <c r="S82" s="7"/>
      <c r="AG82" s="7"/>
      <c r="AL82" s="7"/>
      <c r="AM82" s="7"/>
      <c r="AW82" s="7"/>
      <c r="BB82" s="7"/>
      <c r="BC82" s="7"/>
    </row>
    <row r="83" spans="2:73" x14ac:dyDescent="0.3">
      <c r="P83" s="7"/>
      <c r="S83" s="7"/>
      <c r="AL83" s="7"/>
      <c r="AM83" s="7"/>
      <c r="AW83" s="7"/>
      <c r="BB83" s="7"/>
      <c r="BC83" s="7"/>
    </row>
    <row r="84" spans="2:73" x14ac:dyDescent="0.3">
      <c r="P84" s="7"/>
      <c r="Q84" s="7"/>
      <c r="R84" s="7"/>
      <c r="S84" s="7"/>
      <c r="AG84" s="7"/>
      <c r="AJ84" s="7"/>
      <c r="AL84" s="7"/>
      <c r="AM84" s="7"/>
      <c r="AN84" s="7"/>
      <c r="AO84" s="7"/>
      <c r="AP84" s="7"/>
      <c r="AW84" s="7"/>
      <c r="BB84" s="7"/>
      <c r="BC84" s="7"/>
      <c r="BN84" s="7"/>
    </row>
    <row r="85" spans="2:73" x14ac:dyDescent="0.3">
      <c r="Q85" s="7"/>
      <c r="R85" s="7"/>
      <c r="AE85" s="7"/>
      <c r="AF85" s="7"/>
      <c r="AG85" s="7"/>
      <c r="AK85" s="7"/>
      <c r="AN85" s="7"/>
      <c r="AO85" s="7"/>
      <c r="AP85" s="7"/>
      <c r="AQ85" s="7"/>
      <c r="AR85" s="7"/>
      <c r="AS85" s="7"/>
      <c r="AU85" s="7"/>
      <c r="AV85" s="7"/>
      <c r="AW85" s="7"/>
      <c r="AX85" s="7"/>
      <c r="AY85" s="7"/>
      <c r="AZ85" s="7"/>
      <c r="BA85" s="7"/>
      <c r="BB85" s="7"/>
      <c r="BC85" s="7"/>
      <c r="BH85" s="7"/>
      <c r="BI85" s="7"/>
      <c r="BJ85" s="7"/>
      <c r="BK85" s="7"/>
      <c r="BL85" s="7"/>
      <c r="BM85" s="7"/>
      <c r="BN85" s="7"/>
      <c r="BO85" s="7"/>
      <c r="BU85" s="7"/>
    </row>
    <row r="86" spans="2:73" x14ac:dyDescent="0.3">
      <c r="AL86" s="7"/>
      <c r="AM86" s="7"/>
      <c r="AW86" s="7"/>
      <c r="BB86" s="7"/>
      <c r="BC86" s="7"/>
    </row>
    <row r="87" spans="2:73" x14ac:dyDescent="0.3">
      <c r="M87" s="7"/>
      <c r="P87" s="7"/>
      <c r="Q87" s="7"/>
      <c r="R87" s="7"/>
      <c r="S87" s="7"/>
      <c r="AG87" s="7"/>
      <c r="AJ87" s="7"/>
      <c r="AL87" s="7"/>
      <c r="AM87" s="7"/>
      <c r="AR87" s="7"/>
      <c r="AS87" s="7"/>
      <c r="AV87" s="7"/>
      <c r="AW87" s="7"/>
      <c r="AY87" s="7"/>
      <c r="AZ87" s="7"/>
      <c r="BB87" s="7"/>
      <c r="BC87" s="7"/>
      <c r="BJ87" s="7"/>
      <c r="BU87" s="7"/>
    </row>
    <row r="88" spans="2:73" x14ac:dyDescent="0.3">
      <c r="B88" s="7"/>
      <c r="C88" s="7"/>
      <c r="D88" s="7"/>
      <c r="F88" s="7"/>
      <c r="G88" s="7"/>
      <c r="H88" s="7"/>
      <c r="J88" s="7"/>
      <c r="L88" s="7"/>
      <c r="M88" s="7"/>
      <c r="O88" s="7"/>
      <c r="Q88" s="7"/>
      <c r="R88" s="7"/>
      <c r="X88" s="7"/>
      <c r="AD88" s="7"/>
      <c r="AO88" s="7"/>
      <c r="AP88" s="7"/>
      <c r="BJ88" s="7"/>
      <c r="BN88" s="7"/>
      <c r="BU88" s="7"/>
    </row>
    <row r="89" spans="2:73" x14ac:dyDescent="0.3"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T89" s="7"/>
      <c r="U89" s="7"/>
      <c r="W89" s="7"/>
      <c r="X89" s="7"/>
      <c r="AA89" s="7"/>
      <c r="AB89" s="7"/>
      <c r="AC89" s="7"/>
      <c r="AD89" s="7"/>
      <c r="AL89" s="7"/>
      <c r="AM89" s="7"/>
      <c r="AR89" s="7"/>
      <c r="AS89" s="7"/>
      <c r="AT89" s="7"/>
      <c r="BF89" s="7"/>
      <c r="BG89" s="7"/>
      <c r="BL89" s="7"/>
      <c r="BM89" s="7"/>
      <c r="BN89" s="7"/>
      <c r="BO89" s="7"/>
      <c r="BQ89" s="7"/>
      <c r="BR89" s="7"/>
      <c r="BS89" s="7"/>
      <c r="BT89" s="7"/>
      <c r="BU89" s="7"/>
    </row>
    <row r="90" spans="2:73" x14ac:dyDescent="0.3">
      <c r="B90" s="7"/>
      <c r="C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T90" s="7"/>
      <c r="U90" s="7"/>
      <c r="X90" s="7"/>
      <c r="AB90" s="7"/>
      <c r="AC90" s="7"/>
      <c r="AD90" s="7"/>
      <c r="AR90" s="7"/>
      <c r="BN90" s="7"/>
      <c r="BU90" s="7"/>
    </row>
    <row r="91" spans="2:73" x14ac:dyDescent="0.3">
      <c r="P91" s="7"/>
    </row>
    <row r="92" spans="2:73" x14ac:dyDescent="0.3">
      <c r="P92" s="7"/>
      <c r="R92" s="7"/>
      <c r="AL92" s="7"/>
      <c r="AM92" s="7"/>
      <c r="AO92" s="7"/>
      <c r="AW92" s="7"/>
      <c r="BB92" s="7"/>
      <c r="BC92" s="7"/>
    </row>
    <row r="93" spans="2:73" x14ac:dyDescent="0.3">
      <c r="P93" s="7"/>
      <c r="R93" s="7"/>
      <c r="S93" s="7"/>
      <c r="AL93" s="7"/>
      <c r="AM93" s="7"/>
      <c r="AO93" s="7"/>
      <c r="AP93" s="7"/>
      <c r="AW93" s="7"/>
      <c r="BB93" s="7"/>
      <c r="BC93" s="7"/>
    </row>
    <row r="94" spans="2:73" x14ac:dyDescent="0.3">
      <c r="P94" s="7"/>
      <c r="R94" s="7"/>
      <c r="S94" s="7"/>
      <c r="AL94" s="7"/>
      <c r="AM94" s="7"/>
      <c r="AO94" s="7"/>
      <c r="AP94" s="7"/>
      <c r="AQ94" s="7"/>
      <c r="AR94" s="7"/>
      <c r="AS94" s="7"/>
      <c r="AV94" s="7"/>
      <c r="AW94" s="7"/>
      <c r="BB94" s="7"/>
      <c r="BC94" s="7"/>
    </row>
    <row r="95" spans="2:73" x14ac:dyDescent="0.3">
      <c r="C95" s="7"/>
      <c r="H95" s="7"/>
      <c r="M95" s="7"/>
      <c r="P95" s="7"/>
      <c r="R95" s="7"/>
      <c r="AL95" s="7"/>
      <c r="AM95" s="7"/>
      <c r="AP95" s="7"/>
      <c r="AR95" s="7"/>
      <c r="AW95" s="7"/>
      <c r="BB95" s="7"/>
      <c r="BC95" s="7"/>
    </row>
    <row r="96" spans="2:73" x14ac:dyDescent="0.3">
      <c r="B96" s="7"/>
      <c r="H96" s="7"/>
      <c r="M96" s="7"/>
      <c r="R96" s="7"/>
      <c r="S96" s="7"/>
      <c r="AG96" s="7"/>
      <c r="AJ96" s="7"/>
      <c r="AL96" s="7"/>
      <c r="AM96" s="7"/>
      <c r="AO96" s="7"/>
      <c r="AP96" s="7"/>
      <c r="AQ96" s="7"/>
      <c r="AR96" s="7"/>
      <c r="AS96" s="7"/>
      <c r="AV96" s="7"/>
      <c r="AW96" s="7"/>
      <c r="AY96" s="7"/>
      <c r="AZ96" s="7"/>
      <c r="BA96" s="7"/>
      <c r="BB96" s="7"/>
      <c r="BC96" s="7"/>
      <c r="BU96" s="7"/>
    </row>
    <row r="97" spans="2:55" x14ac:dyDescent="0.3">
      <c r="P97" s="7"/>
      <c r="R97" s="7"/>
      <c r="AL97" s="7"/>
      <c r="AM97" s="7"/>
      <c r="AO97" s="7"/>
      <c r="AP97" s="7"/>
      <c r="AQ97" s="7"/>
      <c r="AR97" s="7"/>
      <c r="AS97" s="7"/>
      <c r="AW97" s="7"/>
      <c r="BB97" s="7"/>
      <c r="BC97" s="7"/>
    </row>
    <row r="98" spans="2:55" x14ac:dyDescent="0.3">
      <c r="P98" s="7"/>
      <c r="AW98" s="7"/>
      <c r="BB98" s="7"/>
    </row>
    <row r="99" spans="2:55" x14ac:dyDescent="0.3">
      <c r="M99" s="7"/>
      <c r="P99" s="7"/>
      <c r="AL99" s="7"/>
      <c r="AW99" s="7"/>
      <c r="BB99" s="7"/>
    </row>
    <row r="101" spans="2:55" x14ac:dyDescent="0.3">
      <c r="P101" s="7"/>
      <c r="BB101" s="7"/>
    </row>
    <row r="102" spans="2:55" x14ac:dyDescent="0.3">
      <c r="B102" s="7"/>
      <c r="C102" s="7"/>
      <c r="M102" s="7"/>
      <c r="P102" s="7"/>
      <c r="AL102" s="7"/>
      <c r="AM102" s="7"/>
    </row>
    <row r="103" spans="2:55" x14ac:dyDescent="0.3">
      <c r="BC103" s="7"/>
    </row>
    <row r="107" spans="2:55" x14ac:dyDescent="0.3">
      <c r="BC107" s="7"/>
    </row>
    <row r="111" spans="2:55" x14ac:dyDescent="0.3">
      <c r="C111" s="7"/>
      <c r="M111" s="7"/>
      <c r="P111" s="7"/>
    </row>
    <row r="117" spans="2:73" x14ac:dyDescent="0.3">
      <c r="M117" s="7"/>
      <c r="P117" s="7"/>
      <c r="AL117" s="7"/>
    </row>
    <row r="120" spans="2:73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AG120" s="7"/>
      <c r="AW120" s="7"/>
      <c r="AZ120" s="7"/>
      <c r="BB120" s="7"/>
      <c r="BC120" s="7"/>
      <c r="BU120" s="7"/>
    </row>
    <row r="121" spans="2:73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AG121" s="7"/>
      <c r="AW121" s="7"/>
      <c r="BB121" s="7"/>
      <c r="BC121" s="7"/>
      <c r="BU121" s="7"/>
    </row>
    <row r="122" spans="2:73" x14ac:dyDescent="0.3">
      <c r="B122" s="7"/>
      <c r="C122" s="7"/>
      <c r="M122" s="7"/>
      <c r="N122" s="7"/>
      <c r="P122" s="7"/>
    </row>
    <row r="123" spans="2:73" x14ac:dyDescent="0.3">
      <c r="B123" s="7"/>
      <c r="C123" s="7"/>
      <c r="D123" s="7"/>
      <c r="F123" s="7"/>
      <c r="G123" s="7"/>
      <c r="H123" s="7"/>
      <c r="I123" s="7"/>
      <c r="M123" s="7"/>
      <c r="N123" s="7"/>
      <c r="P123" s="7"/>
      <c r="R123" s="7"/>
      <c r="AG123" s="7"/>
      <c r="BC123" s="7"/>
      <c r="BU123" s="7"/>
    </row>
    <row r="125" spans="2:73" x14ac:dyDescent="0.3">
      <c r="B125" s="7"/>
      <c r="C125" s="7"/>
      <c r="M125" s="7"/>
      <c r="N125" s="7"/>
    </row>
    <row r="126" spans="2:73" x14ac:dyDescent="0.3">
      <c r="B126" s="7"/>
      <c r="C126" s="7"/>
      <c r="M126" s="7"/>
      <c r="N126" s="7"/>
      <c r="P126" s="7"/>
      <c r="BU126" s="7"/>
    </row>
    <row r="127" spans="2:73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X127" s="7"/>
      <c r="AG127" s="7"/>
      <c r="AW127" s="7"/>
      <c r="AZ127" s="7"/>
      <c r="BB127" s="7"/>
      <c r="BC127" s="7"/>
      <c r="BU127" s="7"/>
    </row>
    <row r="128" spans="2:73" x14ac:dyDescent="0.3">
      <c r="B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U128" s="7"/>
      <c r="V128" s="7"/>
      <c r="W128" s="7"/>
      <c r="X128" s="7"/>
      <c r="AG128" s="7"/>
      <c r="AV128" s="7"/>
      <c r="AW128" s="7"/>
      <c r="AY128" s="7"/>
      <c r="AZ128" s="7"/>
      <c r="BA128" s="7"/>
      <c r="BB128" s="7"/>
      <c r="BC128" s="7"/>
      <c r="BN128" s="7"/>
      <c r="BU128" s="7"/>
    </row>
    <row r="129" spans="2:73" x14ac:dyDescent="0.3">
      <c r="C129" s="7"/>
    </row>
    <row r="130" spans="2:73" x14ac:dyDescent="0.3">
      <c r="B130" s="7"/>
      <c r="C130" s="7"/>
      <c r="D130" s="7"/>
      <c r="E130" s="7"/>
      <c r="F130" s="7"/>
      <c r="G130" s="7"/>
      <c r="H130" s="7"/>
      <c r="I130" s="7"/>
      <c r="L130" s="7"/>
      <c r="M130" s="7"/>
      <c r="N130" s="7"/>
      <c r="O130" s="7"/>
      <c r="P130" s="7"/>
      <c r="R130" s="7"/>
      <c r="AG130" s="7"/>
      <c r="BB130" s="7"/>
      <c r="BC130" s="7"/>
      <c r="BU130" s="7"/>
    </row>
    <row r="131" spans="2:73" x14ac:dyDescent="0.3">
      <c r="H131" s="7"/>
      <c r="M131" s="7"/>
      <c r="N131" s="7"/>
      <c r="P131" s="7"/>
      <c r="BJ131" s="7"/>
    </row>
    <row r="133" spans="2:73" x14ac:dyDescent="0.3">
      <c r="P133" s="7"/>
    </row>
    <row r="135" spans="2:73" x14ac:dyDescent="0.3">
      <c r="P135" s="7"/>
    </row>
    <row r="145" spans="2:175" x14ac:dyDescent="0.3">
      <c r="P145" s="7"/>
    </row>
    <row r="146" spans="2:175" x14ac:dyDescent="0.3">
      <c r="B146" s="7"/>
      <c r="C146" s="7"/>
      <c r="P146" s="7"/>
      <c r="AW146" s="7"/>
      <c r="BB146" s="7"/>
    </row>
    <row r="147" spans="2:175" x14ac:dyDescent="0.3">
      <c r="B147" s="7"/>
      <c r="C147" s="7"/>
      <c r="L147" s="7"/>
      <c r="M147" s="7"/>
      <c r="P147" s="7"/>
      <c r="BB147" s="7"/>
    </row>
    <row r="148" spans="2:175" x14ac:dyDescent="0.3">
      <c r="P148" s="7"/>
      <c r="AW148" s="7"/>
      <c r="BB148" s="7"/>
      <c r="BC148" s="7"/>
    </row>
    <row r="149" spans="2:175" x14ac:dyDescent="0.3">
      <c r="P149" s="7"/>
      <c r="FS149" s="7"/>
    </row>
    <row r="164" spans="16:149" x14ac:dyDescent="0.3">
      <c r="P164" s="7"/>
    </row>
    <row r="169" spans="16:149" x14ac:dyDescent="0.3">
      <c r="BV169" s="7"/>
      <c r="CA169" s="7"/>
      <c r="CJ169" s="7"/>
    </row>
    <row r="170" spans="16:149" x14ac:dyDescent="0.3">
      <c r="CL170" s="7"/>
    </row>
    <row r="175" spans="16:149" x14ac:dyDescent="0.3">
      <c r="ES175" s="7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ER19"/>
  <sheetViews>
    <sheetView workbookViewId="0"/>
  </sheetViews>
  <sheetFormatPr baseColWidth="10" defaultColWidth="8.88671875" defaultRowHeight="14.4" x14ac:dyDescent="0.3"/>
  <cols>
    <col min="1" max="1" width="15.44140625" bestFit="1" customWidth="1"/>
    <col min="2" max="2" width="13.88671875" bestFit="1" customWidth="1"/>
    <col min="3" max="3" width="13.6640625" bestFit="1" customWidth="1"/>
    <col min="4" max="4" width="12.109375" bestFit="1" customWidth="1"/>
    <col min="5" max="5" width="13.6640625" bestFit="1" customWidth="1"/>
    <col min="6" max="15" width="12.109375" bestFit="1" customWidth="1"/>
    <col min="16" max="16" width="13.5546875" bestFit="1" customWidth="1"/>
    <col min="17" max="19" width="14.33203125" bestFit="1" customWidth="1"/>
    <col min="20" max="24" width="13.33203125" bestFit="1" customWidth="1"/>
    <col min="25" max="25" width="14.44140625" bestFit="1" customWidth="1"/>
    <col min="26" max="26" width="11" customWidth="1"/>
    <col min="27" max="27" width="11.88671875" bestFit="1" customWidth="1"/>
    <col min="28" max="30" width="12.6640625" bestFit="1" customWidth="1"/>
    <col min="31" max="31" width="13.88671875" bestFit="1" customWidth="1"/>
    <col min="32" max="32" width="11.88671875" bestFit="1" customWidth="1"/>
    <col min="33" max="33" width="14.88671875" bestFit="1" customWidth="1"/>
    <col min="34" max="35" width="11.88671875" bestFit="1" customWidth="1"/>
    <col min="36" max="36" width="12.6640625" bestFit="1" customWidth="1"/>
    <col min="37" max="37" width="12" bestFit="1" customWidth="1"/>
    <col min="38" max="38" width="12.6640625" bestFit="1" customWidth="1"/>
    <col min="39" max="39" width="11.88671875" bestFit="1" customWidth="1"/>
    <col min="40" max="40" width="13.5546875" bestFit="1" customWidth="1"/>
    <col min="41" max="41" width="11.6640625" bestFit="1" customWidth="1"/>
    <col min="42" max="42" width="11.88671875" bestFit="1" customWidth="1"/>
    <col min="43" max="43" width="12" bestFit="1" customWidth="1"/>
    <col min="44" max="44" width="11.88671875" bestFit="1" customWidth="1"/>
    <col min="45" max="46" width="13.5546875" bestFit="1" customWidth="1"/>
    <col min="47" max="47" width="12" bestFit="1" customWidth="1"/>
    <col min="48" max="48" width="13.5546875" bestFit="1" customWidth="1"/>
    <col min="49" max="49" width="11.88671875" bestFit="1" customWidth="1"/>
    <col min="50" max="50" width="10.88671875" bestFit="1" customWidth="1"/>
    <col min="51" max="52" width="11.88671875" bestFit="1" customWidth="1"/>
    <col min="53" max="53" width="12.109375" bestFit="1" customWidth="1"/>
    <col min="54" max="55" width="10.88671875" bestFit="1" customWidth="1"/>
    <col min="56" max="56" width="11.6640625" bestFit="1" customWidth="1"/>
    <col min="57" max="57" width="12" bestFit="1" customWidth="1"/>
    <col min="58" max="59" width="13.6640625" bestFit="1" customWidth="1"/>
    <col min="60" max="61" width="12.6640625" bestFit="1" customWidth="1"/>
    <col min="62" max="62" width="13.5546875" bestFit="1" customWidth="1"/>
    <col min="63" max="64" width="12.6640625" bestFit="1" customWidth="1"/>
    <col min="65" max="65" width="11.88671875" bestFit="1" customWidth="1"/>
    <col min="66" max="66" width="12.6640625" bestFit="1" customWidth="1"/>
    <col min="67" max="67" width="11.6640625" bestFit="1" customWidth="1"/>
    <col min="68" max="70" width="11.88671875" bestFit="1" customWidth="1"/>
    <col min="71" max="71" width="12.6640625" bestFit="1" customWidth="1"/>
    <col min="72" max="73" width="11.88671875" bestFit="1" customWidth="1"/>
    <col min="74" max="74" width="11.6640625" bestFit="1" customWidth="1"/>
    <col min="75" max="75" width="10.6640625" bestFit="1" customWidth="1"/>
  </cols>
  <sheetData>
    <row r="1" spans="1:148" x14ac:dyDescent="0.3">
      <c r="B1" t="s">
        <v>462</v>
      </c>
      <c r="Q1" s="18"/>
      <c r="R1" s="18"/>
    </row>
    <row r="2" spans="1:148" x14ac:dyDescent="0.3">
      <c r="A2" t="s">
        <v>572</v>
      </c>
      <c r="B2" s="7">
        <v>9.9999999999999995E-21</v>
      </c>
    </row>
    <row r="5" spans="1:148" x14ac:dyDescent="0.3">
      <c r="Q5" s="18"/>
      <c r="R5" s="18"/>
      <c r="EI5" s="18"/>
      <c r="EJ5" s="18"/>
      <c r="EK5" s="18"/>
      <c r="EL5" s="18"/>
      <c r="EM5" s="18"/>
      <c r="EN5" s="18"/>
      <c r="EO5" s="18"/>
      <c r="EP5" s="18"/>
      <c r="EQ5" s="18"/>
      <c r="ER5" s="18"/>
    </row>
    <row r="6" spans="1:148" x14ac:dyDescent="0.3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</row>
    <row r="7" spans="1:148" x14ac:dyDescent="0.3">
      <c r="Q7" s="18"/>
      <c r="R7" s="18"/>
    </row>
    <row r="8" spans="1:148" x14ac:dyDescent="0.3">
      <c r="B8" s="19"/>
      <c r="Q8" s="18"/>
      <c r="R8" s="18"/>
    </row>
    <row r="10" spans="1:148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</row>
    <row r="11" spans="1:148" x14ac:dyDescent="0.3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spans="1:148" x14ac:dyDescent="0.3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</row>
    <row r="13" spans="1:148" x14ac:dyDescent="0.3">
      <c r="B13" s="22"/>
      <c r="C13" s="22"/>
      <c r="D13" s="22"/>
      <c r="E13" s="22"/>
      <c r="F13" s="22"/>
      <c r="G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</row>
    <row r="15" spans="1:148" x14ac:dyDescent="0.3">
      <c r="B15" s="2"/>
      <c r="C15" s="2"/>
      <c r="D15" s="2"/>
      <c r="E15" s="2"/>
      <c r="F15" s="2"/>
      <c r="G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148" x14ac:dyDescent="0.3">
      <c r="B16" s="2"/>
      <c r="C16" s="2"/>
      <c r="D16" s="2"/>
      <c r="E16" s="2"/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2:75" x14ac:dyDescent="0.3">
      <c r="B17" s="2"/>
      <c r="C17" s="2"/>
      <c r="D17" s="2"/>
      <c r="E17" s="2"/>
      <c r="F17" s="2"/>
      <c r="G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2:75" x14ac:dyDescent="0.3">
      <c r="B18" s="2"/>
      <c r="C18" s="2"/>
      <c r="D18" s="2"/>
      <c r="E18" s="2"/>
      <c r="F18" s="2"/>
      <c r="G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2:75" x14ac:dyDescent="0.3">
      <c r="B19" s="2"/>
      <c r="C19" s="2"/>
      <c r="D19" s="2"/>
      <c r="E19" s="2"/>
      <c r="F19" s="2"/>
      <c r="G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20</vt:i4>
      </vt:variant>
      <vt:variant>
        <vt:lpstr>Benannte Bereiche</vt:lpstr>
      </vt:variant>
      <vt:variant>
        <vt:i4>1</vt:i4>
      </vt:variant>
    </vt:vector>
  </HeadingPairs>
  <TitlesOfParts>
    <vt:vector size="21" baseType="lpstr">
      <vt:lpstr>Dictionary</vt:lpstr>
      <vt:lpstr>Layout</vt:lpstr>
      <vt:lpstr>MACC</vt:lpstr>
      <vt:lpstr>sets</vt:lpstr>
      <vt:lpstr>maps</vt:lpstr>
      <vt:lpstr>EmiInv</vt:lpstr>
      <vt:lpstr>mapK</vt:lpstr>
      <vt:lpstr>pnest</vt:lpstr>
      <vt:lpstr>defPar</vt:lpstr>
      <vt:lpstr>fmNest</vt:lpstr>
      <vt:lpstr>actPar</vt:lpstr>
      <vt:lpstr>comPar</vt:lpstr>
      <vt:lpstr>hohPar</vt:lpstr>
      <vt:lpstr>GDPComposition</vt:lpstr>
      <vt:lpstr>EnTech</vt:lpstr>
      <vt:lpstr>othPar</vt:lpstr>
      <vt:lpstr>GHGMitigation</vt:lpstr>
      <vt:lpstr>Energy</vt:lpstr>
      <vt:lpstr>SAM</vt:lpstr>
      <vt:lpstr>Labor</vt:lpstr>
      <vt:lpstr>hhElas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van der Mensbrugghe</dc:creator>
  <cp:lastModifiedBy>Britz Wolfgang</cp:lastModifiedBy>
  <cp:lastPrinted>2012-09-24T12:18:17Z</cp:lastPrinted>
  <dcterms:created xsi:type="dcterms:W3CDTF">2012-09-21T14:15:22Z</dcterms:created>
  <dcterms:modified xsi:type="dcterms:W3CDTF">2025-01-05T17:38:00Z</dcterms:modified>
</cp:coreProperties>
</file>