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NG_WB_OS\dat\"/>
    </mc:Choice>
  </mc:AlternateContent>
  <xr:revisionPtr revIDLastSave="0" documentId="13_ncr:1_{B082A254-9602-4CB4-B9E6-39FECF2E372E}" xr6:coauthVersionLast="47" xr6:coauthVersionMax="47" xr10:uidLastSave="{00000000-0000-0000-0000-000000000000}"/>
  <bookViews>
    <workbookView xWindow="-108" yWindow="-108" windowWidth="23256" windowHeight="12456" activeTab="9" xr2:uid="{AD096BA6-3F1C-4FB8-94FE-58D1EC86E1E8}"/>
  </bookViews>
  <sheets>
    <sheet name="Dictionary" sheetId="27" r:id="rId1"/>
    <sheet name="Layout" sheetId="37" r:id="rId2"/>
    <sheet name="MACC" sheetId="77" r:id="rId3"/>
    <sheet name="sets" sheetId="38" r:id="rId4"/>
    <sheet name="maps" sheetId="39" r:id="rId5"/>
    <sheet name="EmiInv" sheetId="73" r:id="rId6"/>
    <sheet name="mapK" sheetId="71" r:id="rId7"/>
    <sheet name="pnest" sheetId="59" r:id="rId8"/>
    <sheet name="defPar" sheetId="9" r:id="rId9"/>
    <sheet name="fmNest" sheetId="74" r:id="rId10"/>
    <sheet name="Tabelle1" sheetId="80" r:id="rId11"/>
    <sheet name="Tabelle2" sheetId="81" r:id="rId12"/>
    <sheet name="Tabelle3" sheetId="82" r:id="rId13"/>
    <sheet name="actPar" sheetId="66" r:id="rId14"/>
    <sheet name="comPar" sheetId="67" r:id="rId15"/>
    <sheet name="hohPar" sheetId="68" r:id="rId16"/>
    <sheet name="GDPComposition" sheetId="78" r:id="rId17"/>
    <sheet name="EnTech" sheetId="79" r:id="rId18"/>
    <sheet name="othPar" sheetId="69" r:id="rId19"/>
    <sheet name="GHGMitigation" sheetId="75" r:id="rId20"/>
    <sheet name="Energy" sheetId="76" r:id="rId21"/>
    <sheet name="SAM" sheetId="72" r:id="rId22"/>
    <sheet name="Labor" sheetId="46" r:id="rId23"/>
  </sheets>
  <definedNames>
    <definedName name="ActLab">#REF!</definedName>
    <definedName name="ActLab0">#REF!</definedName>
    <definedName name="ActMap">#REF!</definedName>
    <definedName name="actProd">#REF!</definedName>
    <definedName name="AEEI">#REF!</definedName>
    <definedName name="BridgeFileName">#REF!</definedName>
    <definedName name="CommAgg">#REF!</definedName>
    <definedName name="CommElas">#REF!</definedName>
    <definedName name="CommLab">#REF!</definedName>
    <definedName name="CommLab0">#REF!</definedName>
    <definedName name="CommMap">#REF!</definedName>
    <definedName name="depr">#REF!</definedName>
    <definedName name="Description">#REF!</definedName>
    <definedName name="Dyntab">#REF!</definedName>
    <definedName name="EMICO2">#REF!</definedName>
    <definedName name="escale">#REF!</definedName>
    <definedName name="EXR">#REF!</definedName>
    <definedName name="fdComm">#REF!</definedName>
    <definedName name="fdCommMap">#REF!</definedName>
    <definedName name="GDDebt0">#REF!</definedName>
    <definedName name="GDPMod">#REF!</definedName>
    <definedName name="GDPScen">#REF!</definedName>
    <definedName name="GFDebt0">#REF!</definedName>
    <definedName name="hhElas">defPar!$B$12:$C$35</definedName>
    <definedName name="ifEnglish">#REF!</definedName>
    <definedName name="inscale">#REF!</definedName>
    <definedName name="KSAMA0">#REF!</definedName>
    <definedName name="Labvol">#REF!</definedName>
    <definedName name="Lang">#REF!</definedName>
    <definedName name="miscElas">defPar!#REF!</definedName>
    <definedName name="NRGPrice">#REF!</definedName>
    <definedName name="PFDebt0">#REF!</definedName>
    <definedName name="Pop">#REF!</definedName>
    <definedName name="popScen">#REF!</definedName>
    <definedName name="prodElas">#REF!</definedName>
    <definedName name="pscale">#REF!</definedName>
    <definedName name="RGDDebt0">#REF!</definedName>
    <definedName name="RGFDebt0">#REF!</definedName>
    <definedName name="RoR0">#REF!</definedName>
    <definedName name="RPFDebt0">#REF!</definedName>
    <definedName name="SAM0">#REF!</definedName>
    <definedName name="SAMFileName">#REF!</definedName>
    <definedName name="SAMLab">#REF!</definedName>
    <definedName name="SamLab0">#REF!</definedName>
    <definedName name="samMap">#REF!</definedName>
    <definedName name="SAMVAL">#REF!</definedName>
    <definedName name="scenFileName">#REF!</definedName>
    <definedName name="timeScen">#REF!</definedName>
    <definedName name="wDir">#REF!</definedName>
  </definedNames>
  <calcPr calcId="191029"/>
</workbook>
</file>

<file path=xl/calcChain.xml><?xml version="1.0" encoding="utf-8"?>
<calcChain xmlns="http://schemas.openxmlformats.org/spreadsheetml/2006/main">
  <c r="V3" i="38" l="1"/>
  <c r="V2" i="38"/>
  <c r="U2" i="38"/>
  <c r="U3" i="38"/>
  <c r="D4" i="75"/>
  <c r="E4" i="75" s="1"/>
  <c r="F4" i="75" s="1"/>
  <c r="G4" i="75" s="1"/>
  <c r="H4" i="75" s="1"/>
  <c r="I4" i="75" s="1"/>
  <c r="J4" i="75" s="1"/>
  <c r="K4" i="75" s="1"/>
  <c r="L4" i="75" s="1"/>
  <c r="M4" i="75" s="1"/>
  <c r="N4" i="75" s="1"/>
  <c r="O4" i="75" s="1"/>
  <c r="P4" i="75" s="1"/>
  <c r="Q4" i="75" s="1"/>
  <c r="R4" i="75" s="1"/>
  <c r="S4" i="75" s="1"/>
  <c r="T4" i="75" s="1"/>
  <c r="U4" i="75" s="1"/>
  <c r="V4" i="75" s="1"/>
  <c r="W4" i="75" s="1"/>
  <c r="X4" i="75" s="1"/>
  <c r="Y4" i="75" s="1"/>
  <c r="Z4" i="75" s="1"/>
  <c r="AA4" i="75" s="1"/>
  <c r="AB4" i="75" s="1"/>
  <c r="AC4" i="75" s="1"/>
  <c r="AD4" i="75" s="1"/>
  <c r="AE4" i="75" s="1"/>
  <c r="AF4" i="75" s="1"/>
  <c r="AG4" i="75" s="1"/>
  <c r="AH4" i="75" s="1"/>
  <c r="AI4" i="75" s="1"/>
  <c r="AJ4" i="75" s="1"/>
  <c r="AK4" i="75" s="1"/>
  <c r="AL4" i="75" s="1"/>
  <c r="AM4" i="75" s="1"/>
  <c r="AN4" i="75" s="1"/>
  <c r="AO4" i="75" s="1"/>
  <c r="AP4" i="75" s="1"/>
  <c r="AQ4" i="75" s="1"/>
  <c r="AR4" i="75" s="1"/>
  <c r="AS4" i="75" s="1"/>
  <c r="AT4" i="75" s="1"/>
  <c r="AU4" i="75" s="1"/>
  <c r="AV4" i="75" s="1"/>
  <c r="AW4" i="75" s="1"/>
  <c r="AX4" i="75" s="1"/>
  <c r="AY4" i="75" s="1"/>
  <c r="AZ4" i="75" s="1"/>
  <c r="BA4" i="75" s="1"/>
  <c r="BB4" i="75" s="1"/>
  <c r="BC4" i="75" s="1"/>
  <c r="BD4" i="75" s="1"/>
  <c r="BE4" i="75" s="1"/>
  <c r="BF4" i="75" s="1"/>
  <c r="BG4" i="75" s="1"/>
  <c r="BH4" i="75" s="1"/>
  <c r="BI4" i="75" s="1"/>
  <c r="BJ4" i="75" s="1"/>
  <c r="BK4" i="75" s="1"/>
  <c r="BL4" i="75" s="1"/>
  <c r="BM4" i="75" s="1"/>
  <c r="BN4" i="75" s="1"/>
  <c r="BO4" i="75" s="1"/>
  <c r="BP4" i="75" s="1"/>
  <c r="BQ4" i="75" s="1"/>
  <c r="BR4" i="75" s="1"/>
  <c r="BS4" i="75" s="1"/>
  <c r="BT4" i="75" s="1"/>
  <c r="BU4" i="75" s="1"/>
  <c r="BV4" i="75" s="1"/>
  <c r="BW4" i="75" s="1"/>
  <c r="BX4" i="75" s="1"/>
  <c r="BY4" i="75" s="1"/>
  <c r="BZ4" i="75" s="1"/>
  <c r="CA4" i="75" s="1"/>
  <c r="CB4" i="75" s="1"/>
  <c r="CC4" i="75" s="1"/>
  <c r="CD4" i="75" s="1"/>
  <c r="CE4" i="75" s="1"/>
  <c r="CF4" i="75" s="1"/>
  <c r="CG4" i="75" s="1"/>
  <c r="CH4" i="75" s="1"/>
  <c r="D3" i="75"/>
  <c r="E3" i="75" s="1"/>
  <c r="F3" i="75" s="1"/>
  <c r="G3" i="75" s="1"/>
  <c r="H3" i="75" s="1"/>
  <c r="I3" i="75" s="1"/>
  <c r="J3" i="75" s="1"/>
  <c r="K3" i="75" s="1"/>
  <c r="L3" i="75" s="1"/>
  <c r="M3" i="75" s="1"/>
  <c r="N3" i="75" s="1"/>
  <c r="O3" i="75" s="1"/>
  <c r="P3" i="75" s="1"/>
  <c r="Q3" i="75" s="1"/>
  <c r="R3" i="75" s="1"/>
  <c r="S3" i="75" s="1"/>
  <c r="T3" i="75" s="1"/>
  <c r="U3" i="75" s="1"/>
  <c r="V3" i="75" s="1"/>
  <c r="W3" i="75" s="1"/>
  <c r="X3" i="75" s="1"/>
  <c r="Y3" i="75" s="1"/>
  <c r="Z3" i="75" s="1"/>
  <c r="AA3" i="75" s="1"/>
  <c r="AB3" i="75" s="1"/>
  <c r="AC3" i="75" s="1"/>
  <c r="AD3" i="75" s="1"/>
  <c r="AE3" i="75" s="1"/>
  <c r="AF3" i="75" s="1"/>
  <c r="AG3" i="75" s="1"/>
  <c r="AH3" i="75" s="1"/>
  <c r="AI3" i="75" s="1"/>
  <c r="AJ3" i="75" s="1"/>
  <c r="AK3" i="75" s="1"/>
  <c r="AL3" i="75" s="1"/>
  <c r="AM3" i="75" s="1"/>
  <c r="AN3" i="75" s="1"/>
  <c r="AO3" i="75" s="1"/>
  <c r="AP3" i="75" s="1"/>
  <c r="AQ3" i="75" s="1"/>
  <c r="AR3" i="75" s="1"/>
  <c r="AS3" i="75" s="1"/>
  <c r="AT3" i="75" s="1"/>
  <c r="AU3" i="75" s="1"/>
  <c r="AV3" i="75" s="1"/>
  <c r="AW3" i="75" s="1"/>
  <c r="AX3" i="75" s="1"/>
  <c r="AY3" i="75" s="1"/>
  <c r="AZ3" i="75" s="1"/>
  <c r="BA3" i="75" s="1"/>
  <c r="BB3" i="75" s="1"/>
  <c r="BC3" i="75" s="1"/>
  <c r="BD3" i="75" s="1"/>
  <c r="BE3" i="75" s="1"/>
  <c r="BF3" i="75" s="1"/>
  <c r="BG3" i="75" s="1"/>
  <c r="BH3" i="75" s="1"/>
  <c r="BI3" i="75" s="1"/>
  <c r="BJ3" i="75" s="1"/>
  <c r="BK3" i="75" s="1"/>
  <c r="BL3" i="75" s="1"/>
  <c r="BM3" i="75" s="1"/>
  <c r="BN3" i="75" s="1"/>
  <c r="BO3" i="75" s="1"/>
  <c r="BP3" i="75" s="1"/>
  <c r="BQ3" i="75" s="1"/>
  <c r="BR3" i="75" s="1"/>
  <c r="BS3" i="75" s="1"/>
  <c r="BT3" i="75" s="1"/>
  <c r="BU3" i="75" s="1"/>
  <c r="BV3" i="75" s="1"/>
  <c r="BW3" i="75" s="1"/>
  <c r="BX3" i="75" s="1"/>
  <c r="BY3" i="75" s="1"/>
  <c r="BZ3" i="75" s="1"/>
  <c r="CA3" i="75" s="1"/>
  <c r="CB3" i="75" s="1"/>
  <c r="CC3" i="75" s="1"/>
  <c r="CD3" i="75" s="1"/>
  <c r="CE3" i="75" s="1"/>
  <c r="CF3" i="75" s="1"/>
  <c r="CG3" i="75" s="1"/>
  <c r="CH3" i="75" s="1"/>
  <c r="D2" i="75"/>
  <c r="E2" i="75" s="1"/>
  <c r="F2" i="75" s="1"/>
  <c r="G2" i="75" s="1"/>
  <c r="H2" i="75" s="1"/>
  <c r="I2" i="75" s="1"/>
  <c r="J2" i="75" s="1"/>
  <c r="K2" i="75" s="1"/>
  <c r="L2" i="75" s="1"/>
  <c r="M2" i="75" s="1"/>
  <c r="N2" i="75" s="1"/>
  <c r="O2" i="75" s="1"/>
  <c r="P2" i="75" s="1"/>
  <c r="Q2" i="75" s="1"/>
  <c r="R2" i="75" s="1"/>
  <c r="S2" i="75" s="1"/>
  <c r="T2" i="75" s="1"/>
  <c r="U2" i="75" s="1"/>
  <c r="V2" i="75" s="1"/>
  <c r="W2" i="75" s="1"/>
  <c r="X2" i="75" s="1"/>
  <c r="Y2" i="75" s="1"/>
  <c r="Z2" i="75" s="1"/>
  <c r="AA2" i="75" s="1"/>
  <c r="AB2" i="75" s="1"/>
  <c r="AC2" i="75" s="1"/>
  <c r="AD2" i="75" s="1"/>
  <c r="AE2" i="75" s="1"/>
  <c r="AF2" i="75" s="1"/>
  <c r="AG2" i="75" s="1"/>
  <c r="AH2" i="75" s="1"/>
  <c r="AI2" i="75" s="1"/>
  <c r="AJ2" i="75" s="1"/>
  <c r="AK2" i="75" s="1"/>
  <c r="AL2" i="75" s="1"/>
  <c r="AM2" i="75" s="1"/>
  <c r="AN2" i="75" s="1"/>
  <c r="AO2" i="75" s="1"/>
  <c r="AP2" i="75" s="1"/>
  <c r="AQ2" i="75" s="1"/>
  <c r="AR2" i="75" s="1"/>
  <c r="AS2" i="75" s="1"/>
  <c r="AT2" i="75" s="1"/>
  <c r="AU2" i="75" s="1"/>
  <c r="AV2" i="75" s="1"/>
  <c r="AW2" i="75" s="1"/>
  <c r="AX2" i="75" s="1"/>
  <c r="AY2" i="75" s="1"/>
  <c r="AZ2" i="75" s="1"/>
  <c r="BA2" i="75" s="1"/>
  <c r="BB2" i="75" s="1"/>
  <c r="BC2" i="75" s="1"/>
  <c r="BD2" i="75" s="1"/>
  <c r="BE2" i="75" s="1"/>
  <c r="BF2" i="75" s="1"/>
  <c r="BG2" i="75" s="1"/>
  <c r="BH2" i="75" s="1"/>
  <c r="BI2" i="75" s="1"/>
  <c r="BJ2" i="75" s="1"/>
  <c r="BK2" i="75" s="1"/>
  <c r="BL2" i="75" s="1"/>
  <c r="BM2" i="75" s="1"/>
  <c r="BN2" i="75" s="1"/>
  <c r="BO2" i="75" s="1"/>
  <c r="BP2" i="75" s="1"/>
  <c r="BQ2" i="75" s="1"/>
  <c r="BR2" i="75" s="1"/>
  <c r="BS2" i="75" s="1"/>
  <c r="BT2" i="75" s="1"/>
  <c r="BU2" i="75" s="1"/>
  <c r="BV2" i="75" s="1"/>
  <c r="BW2" i="75" s="1"/>
  <c r="BX2" i="75" s="1"/>
  <c r="BY2" i="75" s="1"/>
  <c r="BZ2" i="75" s="1"/>
  <c r="CA2" i="75" s="1"/>
  <c r="CB2" i="75" s="1"/>
  <c r="CC2" i="75" s="1"/>
  <c r="CD2" i="75" s="1"/>
  <c r="CE2" i="75" s="1"/>
  <c r="CF2" i="75" s="1"/>
  <c r="CG2" i="75" s="1"/>
  <c r="CH2" i="75" s="1"/>
  <c r="D1" i="75"/>
  <c r="E1" i="75" s="1"/>
  <c r="F1" i="75" s="1"/>
  <c r="G1" i="75" s="1"/>
  <c r="H1" i="75" s="1"/>
  <c r="I1" i="75" s="1"/>
  <c r="J1" i="75" s="1"/>
  <c r="K1" i="75" s="1"/>
  <c r="L1" i="75" s="1"/>
  <c r="M1" i="75" s="1"/>
  <c r="N1" i="75" s="1"/>
  <c r="O1" i="75" s="1"/>
  <c r="P1" i="75" s="1"/>
  <c r="Q1" i="75" s="1"/>
  <c r="R1" i="75" s="1"/>
  <c r="S1" i="75" s="1"/>
  <c r="T1" i="75" s="1"/>
  <c r="U1" i="75" s="1"/>
  <c r="V1" i="75" s="1"/>
  <c r="W1" i="75" s="1"/>
  <c r="X1" i="75" s="1"/>
  <c r="Y1" i="75" s="1"/>
  <c r="Z1" i="75" s="1"/>
  <c r="AA1" i="75" s="1"/>
  <c r="AB1" i="75" s="1"/>
  <c r="AC1" i="75" s="1"/>
  <c r="AD1" i="75" s="1"/>
  <c r="AE1" i="75" s="1"/>
  <c r="AF1" i="75" s="1"/>
  <c r="AG1" i="75" s="1"/>
  <c r="AH1" i="75" s="1"/>
  <c r="AI1" i="75" s="1"/>
  <c r="AJ1" i="75" s="1"/>
  <c r="AK1" i="75" s="1"/>
  <c r="AL1" i="75" s="1"/>
  <c r="AM1" i="75" s="1"/>
  <c r="AN1" i="75" s="1"/>
  <c r="AO1" i="75" s="1"/>
  <c r="AP1" i="75" s="1"/>
  <c r="AQ1" i="75" s="1"/>
  <c r="AR1" i="75" s="1"/>
  <c r="AS1" i="75" s="1"/>
  <c r="AT1" i="75" s="1"/>
  <c r="AU1" i="75" s="1"/>
  <c r="AV1" i="75" s="1"/>
  <c r="AW1" i="75" s="1"/>
  <c r="AX1" i="75" s="1"/>
  <c r="AY1" i="75" s="1"/>
  <c r="AZ1" i="75" s="1"/>
  <c r="BA1" i="75" s="1"/>
  <c r="BB1" i="75" s="1"/>
  <c r="BC1" i="75" s="1"/>
  <c r="BD1" i="75" s="1"/>
  <c r="BE1" i="75" s="1"/>
  <c r="BF1" i="75" s="1"/>
  <c r="BG1" i="75" s="1"/>
  <c r="BH1" i="75" s="1"/>
  <c r="BI1" i="75" s="1"/>
  <c r="BJ1" i="75" s="1"/>
  <c r="BK1" i="75" s="1"/>
  <c r="BL1" i="75" s="1"/>
  <c r="BM1" i="75" s="1"/>
  <c r="BN1" i="75" s="1"/>
  <c r="BO1" i="75" s="1"/>
  <c r="BP1" i="75" s="1"/>
  <c r="BQ1" i="75" s="1"/>
  <c r="BR1" i="75" s="1"/>
  <c r="BS1" i="75" s="1"/>
  <c r="BT1" i="75" s="1"/>
  <c r="BU1" i="75" s="1"/>
  <c r="BV1" i="75" s="1"/>
  <c r="BW1" i="75" s="1"/>
  <c r="BX1" i="75" s="1"/>
  <c r="BY1" i="75" s="1"/>
  <c r="BZ1" i="75" s="1"/>
  <c r="CA1" i="75" s="1"/>
  <c r="CB1" i="75" s="1"/>
  <c r="CC1" i="75" s="1"/>
  <c r="CD1" i="75" s="1"/>
  <c r="CE1" i="75" s="1"/>
  <c r="CF1" i="75" s="1"/>
  <c r="CG1" i="75" s="1"/>
  <c r="CH1" i="75" s="1"/>
  <c r="N3" i="39"/>
  <c r="M3" i="39"/>
  <c r="K3" i="39"/>
  <c r="J3" i="39"/>
  <c r="I3" i="39"/>
  <c r="H3" i="39"/>
  <c r="G3" i="39"/>
  <c r="F3" i="39"/>
  <c r="E3" i="39"/>
  <c r="D3" i="39"/>
  <c r="C3" i="39"/>
  <c r="B3" i="39"/>
  <c r="A3" i="39"/>
  <c r="N2" i="39"/>
  <c r="M2" i="39"/>
  <c r="K2" i="39"/>
  <c r="J2" i="39"/>
  <c r="I2" i="39"/>
  <c r="H2" i="39"/>
  <c r="G2" i="39"/>
  <c r="F2" i="39"/>
  <c r="E2" i="39"/>
  <c r="D2" i="39"/>
  <c r="C2" i="39"/>
  <c r="B2" i="39"/>
  <c r="A2" i="39"/>
  <c r="T3" i="38"/>
  <c r="S3" i="38"/>
  <c r="Q3" i="38"/>
  <c r="P3" i="38"/>
  <c r="O3" i="38"/>
  <c r="N3" i="38"/>
  <c r="M3" i="38"/>
  <c r="L3" i="38"/>
  <c r="K3" i="38"/>
  <c r="J3" i="38"/>
  <c r="I3" i="38"/>
  <c r="H3" i="38"/>
  <c r="G3" i="38"/>
  <c r="D3" i="38"/>
  <c r="C3" i="38"/>
  <c r="B3" i="38"/>
  <c r="T2" i="38"/>
  <c r="S2" i="38"/>
  <c r="Q2" i="38"/>
  <c r="P2" i="38"/>
  <c r="O2" i="38"/>
  <c r="N2" i="38"/>
  <c r="M2" i="38"/>
  <c r="L2" i="38"/>
  <c r="K2" i="38"/>
  <c r="J2" i="38"/>
  <c r="I2" i="38"/>
  <c r="H2" i="38"/>
  <c r="G2" i="38"/>
  <c r="D2" i="38"/>
  <c r="C2" i="38"/>
  <c r="B2" i="38"/>
  <c r="D22" i="37" s="1"/>
  <c r="D21" i="37" l="1"/>
  <c r="R4" i="27"/>
  <c r="R6" i="27"/>
  <c r="R5" i="27"/>
  <c r="R3" i="27"/>
  <c r="R2" i="27"/>
  <c r="D31" i="37" l="1"/>
  <c r="D7" i="37"/>
  <c r="D5" i="37"/>
  <c r="D26" i="37"/>
  <c r="D23" i="37"/>
  <c r="D20" i="37"/>
  <c r="D6" i="37"/>
  <c r="D19" i="37"/>
  <c r="D11" i="37"/>
  <c r="D18" i="37"/>
  <c r="D10" i="37"/>
  <c r="D9" i="37"/>
  <c r="D17" i="37"/>
  <c r="D16" i="37"/>
  <c r="D8" i="37"/>
  <c r="D14" i="37"/>
  <c r="D15" i="37"/>
  <c r="D13" i="37"/>
  <c r="D12" i="37"/>
</calcChain>
</file>

<file path=xl/sharedStrings.xml><?xml version="1.0" encoding="utf-8"?>
<sst xmlns="http://schemas.openxmlformats.org/spreadsheetml/2006/main" count="4193" uniqueCount="1653">
  <si>
    <t>inv</t>
  </si>
  <si>
    <t>Capital</t>
  </si>
  <si>
    <t>Government</t>
  </si>
  <si>
    <t>PLT15</t>
  </si>
  <si>
    <t>P1564</t>
  </si>
  <si>
    <t>P65UP</t>
  </si>
  <si>
    <t>PTOTL</t>
  </si>
  <si>
    <t>USD</t>
  </si>
  <si>
    <t>e</t>
  </si>
  <si>
    <t>Old</t>
  </si>
  <si>
    <t>New</t>
  </si>
  <si>
    <t>omegap0</t>
  </si>
  <si>
    <t>invElas0</t>
  </si>
  <si>
    <t>sigmam0</t>
  </si>
  <si>
    <t>sigmas0</t>
  </si>
  <si>
    <t>inf</t>
  </si>
  <si>
    <t>incElas0</t>
  </si>
  <si>
    <t>prcElas0</t>
  </si>
  <si>
    <t>sigmamg0</t>
  </si>
  <si>
    <t>cap</t>
  </si>
  <si>
    <t>is</t>
  </si>
  <si>
    <t>stb</t>
  </si>
  <si>
    <t>row</t>
  </si>
  <si>
    <t>ssb</t>
  </si>
  <si>
    <t>ptx</t>
  </si>
  <si>
    <t>psb</t>
  </si>
  <si>
    <t>dtx</t>
  </si>
  <si>
    <t>mtx</t>
  </si>
  <si>
    <t>etx</t>
  </si>
  <si>
    <t>omegam0</t>
  </si>
  <si>
    <t>etae0</t>
  </si>
  <si>
    <t>ctx</t>
  </si>
  <si>
    <t>GDP</t>
  </si>
  <si>
    <t>ginv</t>
  </si>
  <si>
    <t>stx</t>
  </si>
  <si>
    <t>Land</t>
  </si>
  <si>
    <t>Transport</t>
  </si>
  <si>
    <t>Enterprises</t>
  </si>
  <si>
    <t>Tariffs</t>
  </si>
  <si>
    <t>co2</t>
  </si>
  <si>
    <t>ch4</t>
  </si>
  <si>
    <t>fgas</t>
  </si>
  <si>
    <t>coa</t>
  </si>
  <si>
    <t>pdr</t>
  </si>
  <si>
    <t>gas</t>
  </si>
  <si>
    <t>p_c</t>
  </si>
  <si>
    <t>gdt</t>
  </si>
  <si>
    <t>wht</t>
  </si>
  <si>
    <t>gro</t>
  </si>
  <si>
    <t>v_f</t>
  </si>
  <si>
    <t>osd</t>
  </si>
  <si>
    <t>pfb</t>
  </si>
  <si>
    <t>ocr</t>
  </si>
  <si>
    <t>ctl</t>
  </si>
  <si>
    <t>oap</t>
  </si>
  <si>
    <t>rmk</t>
  </si>
  <si>
    <t>wol</t>
  </si>
  <si>
    <t>frs</t>
  </si>
  <si>
    <t>fsh</t>
  </si>
  <si>
    <t>oil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</si>
  <si>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</si>
  <si>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</si>
  <si>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</si>
  <si>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</si>
  <si>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</si>
  <si>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</si>
  <si>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</si>
  <si>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</si>
  <si>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</si>
  <si>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</si>
  <si>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</si>
  <si>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</si>
  <si>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</si>
  <si>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nmm</t>
  </si>
  <si>
    <t>nfm</t>
  </si>
  <si>
    <t>fmp</t>
  </si>
  <si>
    <t>mvh</t>
  </si>
  <si>
    <t>otn</t>
  </si>
  <si>
    <t>ele</t>
  </si>
  <si>
    <t>ome</t>
  </si>
  <si>
    <t>omf</t>
  </si>
  <si>
    <t>wtr</t>
  </si>
  <si>
    <t>cns</t>
  </si>
  <si>
    <t>trd</t>
  </si>
  <si>
    <t>otp</t>
  </si>
  <si>
    <t>wtp</t>
  </si>
  <si>
    <t>atp</t>
  </si>
  <si>
    <t>cmn</t>
  </si>
  <si>
    <t>ofi</t>
  </si>
  <si>
    <t>obs</t>
  </si>
  <si>
    <t>ros</t>
  </si>
  <si>
    <t>osg</t>
  </si>
  <si>
    <t>dwe</t>
  </si>
  <si>
    <t>n2o</t>
  </si>
  <si>
    <t>lnd</t>
  </si>
  <si>
    <t>LAYOUT</t>
  </si>
  <si>
    <t>Data Type</t>
  </si>
  <si>
    <t>Name</t>
  </si>
  <si>
    <t>Location</t>
  </si>
  <si>
    <t>Row dimension</t>
  </si>
  <si>
    <t>Column dimension</t>
  </si>
  <si>
    <t>Total dimension</t>
  </si>
  <si>
    <t>rdim</t>
  </si>
  <si>
    <t>cdim</t>
  </si>
  <si>
    <t>dim</t>
  </si>
  <si>
    <t>par</t>
  </si>
  <si>
    <t>mapaGTAP</t>
  </si>
  <si>
    <t>Model Specific Sets</t>
  </si>
  <si>
    <t>Maps</t>
  </si>
  <si>
    <t>mapcGTAP</t>
  </si>
  <si>
    <t>set</t>
  </si>
  <si>
    <t>eps</t>
  </si>
  <si>
    <t>Rest of the World</t>
  </si>
  <si>
    <t>SAM0</t>
  </si>
  <si>
    <t>dset</t>
  </si>
  <si>
    <t>cohorts</t>
  </si>
  <si>
    <t>mapis</t>
  </si>
  <si>
    <t>h+f</t>
  </si>
  <si>
    <t>l</t>
  </si>
  <si>
    <t>sigmaf0</t>
  </si>
  <si>
    <t>TnD</t>
  </si>
  <si>
    <t>GasBL</t>
  </si>
  <si>
    <t>WindBL</t>
  </si>
  <si>
    <t>HydroBL</t>
  </si>
  <si>
    <t>GasP</t>
  </si>
  <si>
    <t>inscale</t>
  </si>
  <si>
    <t>pscale</t>
  </si>
  <si>
    <t>escale</t>
  </si>
  <si>
    <t>Manu</t>
  </si>
  <si>
    <t>Ener</t>
  </si>
  <si>
    <t>Serv</t>
  </si>
  <si>
    <t>Tran</t>
  </si>
  <si>
    <t>g-govt</t>
  </si>
  <si>
    <t>NuclearBL</t>
  </si>
  <si>
    <t>c_b</t>
  </si>
  <si>
    <t>i_s</t>
  </si>
  <si>
    <t>manu</t>
  </si>
  <si>
    <t>serv</t>
  </si>
  <si>
    <t>DebtStkD0</t>
  </si>
  <si>
    <t>DebtStkF0</t>
  </si>
  <si>
    <t>i-ginv</t>
  </si>
  <si>
    <t>adpinv</t>
  </si>
  <si>
    <t>c-frs</t>
  </si>
  <si>
    <t>c-gas</t>
  </si>
  <si>
    <t>c-oxt</t>
  </si>
  <si>
    <t>c-b_t</t>
  </si>
  <si>
    <t>c-tex</t>
  </si>
  <si>
    <t>c-p_c</t>
  </si>
  <si>
    <t>c-chm</t>
  </si>
  <si>
    <t>c-bph</t>
  </si>
  <si>
    <t>c-omf</t>
  </si>
  <si>
    <t>c-gdt</t>
  </si>
  <si>
    <t>c-wtr</t>
  </si>
  <si>
    <t>c-cns</t>
  </si>
  <si>
    <t>c-trd</t>
  </si>
  <si>
    <t>c-afs</t>
  </si>
  <si>
    <t>c-otp</t>
  </si>
  <si>
    <t>c-wtp</t>
  </si>
  <si>
    <t>c-atp</t>
  </si>
  <si>
    <t>c-cmn</t>
  </si>
  <si>
    <t>c-ofi</t>
  </si>
  <si>
    <t>c-ins</t>
  </si>
  <si>
    <t>c-osg</t>
  </si>
  <si>
    <t>c-edu</t>
  </si>
  <si>
    <t>c-hht</t>
  </si>
  <si>
    <t>f-Land</t>
  </si>
  <si>
    <t>e-ent</t>
  </si>
  <si>
    <t>f-Capital</t>
  </si>
  <si>
    <t>t-tmm_world</t>
  </si>
  <si>
    <t>t-PRODTAX</t>
  </si>
  <si>
    <t>t-DIRTAX</t>
  </si>
  <si>
    <t>w-ww_world</t>
  </si>
  <si>
    <t>c-ely</t>
  </si>
  <si>
    <t>c-fod</t>
  </si>
  <si>
    <t>c-wod</t>
  </si>
  <si>
    <t>c-osr</t>
  </si>
  <si>
    <t>t-tss</t>
  </si>
  <si>
    <t>t-vat</t>
  </si>
  <si>
    <t>DebtIntD0</t>
  </si>
  <si>
    <t>DebtIntF0</t>
  </si>
  <si>
    <t>h-Dec1</t>
  </si>
  <si>
    <t>h-Dec2</t>
  </si>
  <si>
    <t>h-Dec3</t>
  </si>
  <si>
    <t>h-Dec4</t>
  </si>
  <si>
    <t>h-Dec5</t>
  </si>
  <si>
    <t>h-Dec6</t>
  </si>
  <si>
    <t>h-Dec7</t>
  </si>
  <si>
    <t>h-Dec8</t>
  </si>
  <si>
    <t>h-Dec9</t>
  </si>
  <si>
    <t>h-DecX</t>
  </si>
  <si>
    <t>t-Land</t>
  </si>
  <si>
    <t>t-Capital</t>
  </si>
  <si>
    <t>t-NatlRes</t>
  </si>
  <si>
    <t>Electricity</t>
  </si>
  <si>
    <t>Construction</t>
  </si>
  <si>
    <t>Trade</t>
  </si>
  <si>
    <t>Education</t>
  </si>
  <si>
    <t>Activities</t>
  </si>
  <si>
    <t>Commodities</t>
  </si>
  <si>
    <t>Unskilled Formal Labor</t>
  </si>
  <si>
    <t>Quintile 1 (poorest)</t>
  </si>
  <si>
    <t>Quintile 2</t>
  </si>
  <si>
    <t>Quintile 3</t>
  </si>
  <si>
    <t>Quintile 4</t>
  </si>
  <si>
    <t>Quintile 5</t>
  </si>
  <si>
    <t>Quintile 6</t>
  </si>
  <si>
    <t>Quintile 7</t>
  </si>
  <si>
    <t>Quintile 8</t>
  </si>
  <si>
    <t>Quintile 9</t>
  </si>
  <si>
    <t>Quintile 10 (richest)</t>
  </si>
  <si>
    <t>Factors</t>
  </si>
  <si>
    <t>Households</t>
  </si>
  <si>
    <t>Institutions</t>
  </si>
  <si>
    <t>Taxes</t>
  </si>
  <si>
    <t>Production tax</t>
  </si>
  <si>
    <t>Diret tax</t>
  </si>
  <si>
    <t>Excise tax</t>
  </si>
  <si>
    <t>Value added tax</t>
  </si>
  <si>
    <t>CoalBL</t>
  </si>
  <si>
    <t>OilBL</t>
  </si>
  <si>
    <t>OtherBL</t>
  </si>
  <si>
    <t>HydroP</t>
  </si>
  <si>
    <t>OilP</t>
  </si>
  <si>
    <t>SolarP</t>
  </si>
  <si>
    <t>Textiles</t>
  </si>
  <si>
    <t>debt</t>
  </si>
  <si>
    <t>oxt</t>
  </si>
  <si>
    <t>chm</t>
  </si>
  <si>
    <t>bph</t>
  </si>
  <si>
    <t>ins</t>
  </si>
  <si>
    <t>Forestry</t>
  </si>
  <si>
    <t>Indu</t>
  </si>
  <si>
    <t>Elec</t>
  </si>
  <si>
    <t>Wast</t>
  </si>
  <si>
    <t>a-crp</t>
  </si>
  <si>
    <t>a-coa</t>
  </si>
  <si>
    <t>a-trd</t>
  </si>
  <si>
    <t>a-NuclearP</t>
  </si>
  <si>
    <t>c-crp</t>
  </si>
  <si>
    <t>c-coa</t>
  </si>
  <si>
    <t>i-CGDS</t>
  </si>
  <si>
    <t>a-lvs</t>
  </si>
  <si>
    <t>a-oil</t>
  </si>
  <si>
    <t>a-afs</t>
  </si>
  <si>
    <t>a-CoalP</t>
  </si>
  <si>
    <t>c-lvs</t>
  </si>
  <si>
    <t>c-oil</t>
  </si>
  <si>
    <t>a-frs</t>
  </si>
  <si>
    <t>a-gas</t>
  </si>
  <si>
    <t>a-otp</t>
  </si>
  <si>
    <t>a-GasP</t>
  </si>
  <si>
    <t>a-oxt</t>
  </si>
  <si>
    <t>a-wtp</t>
  </si>
  <si>
    <t>a-p_c</t>
  </si>
  <si>
    <t>a-WindP</t>
  </si>
  <si>
    <t>a-fod</t>
  </si>
  <si>
    <t>a-atp</t>
  </si>
  <si>
    <t>a-HydroP</t>
  </si>
  <si>
    <t>a-b_t</t>
  </si>
  <si>
    <t>a-cmn</t>
  </si>
  <si>
    <t>a-OtherP</t>
  </si>
  <si>
    <t>a-tex</t>
  </si>
  <si>
    <t>a-ofi</t>
  </si>
  <si>
    <t>a-SolarP</t>
  </si>
  <si>
    <t>a-wod</t>
  </si>
  <si>
    <t>a-ins</t>
  </si>
  <si>
    <t>a-osr</t>
  </si>
  <si>
    <t>a-chm</t>
  </si>
  <si>
    <t>a-osg</t>
  </si>
  <si>
    <t>a-bph</t>
  </si>
  <si>
    <t>a-edu</t>
  </si>
  <si>
    <t>a-hht</t>
  </si>
  <si>
    <t>a-i_s</t>
  </si>
  <si>
    <t>c-i_s</t>
  </si>
  <si>
    <t>a-nfm</t>
  </si>
  <si>
    <t>c-nfm</t>
  </si>
  <si>
    <t>a-fmp</t>
  </si>
  <si>
    <t>c-fmp</t>
  </si>
  <si>
    <t>a-ele</t>
  </si>
  <si>
    <t>c-ele</t>
  </si>
  <si>
    <t>a-mvh</t>
  </si>
  <si>
    <t>c-mvh</t>
  </si>
  <si>
    <t>a-omf</t>
  </si>
  <si>
    <t>a-TnD</t>
  </si>
  <si>
    <t>c-TnD</t>
  </si>
  <si>
    <t>a-wtr</t>
  </si>
  <si>
    <t>a-cns</t>
  </si>
  <si>
    <t>rpp</t>
  </si>
  <si>
    <t>eeq</t>
  </si>
  <si>
    <t>afs</t>
  </si>
  <si>
    <t>whs</t>
  </si>
  <si>
    <t>rsa</t>
  </si>
  <si>
    <t>edu</t>
  </si>
  <si>
    <t>hht</t>
  </si>
  <si>
    <t>ener</t>
  </si>
  <si>
    <t>Fugi</t>
  </si>
  <si>
    <t>LUCF</t>
  </si>
  <si>
    <t>Crop Production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</si>
  <si>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</si>
  <si>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</si>
  <si>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</si>
  <si>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</si>
  <si>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</si>
  <si>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</si>
  <si>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</si>
  <si>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</si>
  <si>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 horses</t>
  </si>
  <si>
    <t>Animal products nec</t>
  </si>
  <si>
    <t>Raw milk</t>
  </si>
  <si>
    <t>Wool, silk-worm cocoons</t>
  </si>
  <si>
    <t>Fishing</t>
  </si>
  <si>
    <t>Coal</t>
  </si>
  <si>
    <t>Oil</t>
  </si>
  <si>
    <t>Gas</t>
  </si>
  <si>
    <t>Beverages and tobacco products</t>
  </si>
  <si>
    <t>Petroleum, coal products</t>
  </si>
  <si>
    <t>Chemical products</t>
  </si>
  <si>
    <t>Basic pharmaceutical products</t>
  </si>
  <si>
    <t>Mineral products nec</t>
  </si>
  <si>
    <t>Ferrous metals</t>
  </si>
  <si>
    <t>Metals nec</t>
  </si>
  <si>
    <t>Metal products</t>
  </si>
  <si>
    <t>Motor vehicles and parts</t>
  </si>
  <si>
    <t>Manufactures nec</t>
  </si>
  <si>
    <t>ely</t>
  </si>
  <si>
    <t>Accommodation, Food and service activities</t>
  </si>
  <si>
    <t>Water transport</t>
  </si>
  <si>
    <t>Air transport</t>
  </si>
  <si>
    <t>Communication</t>
  </si>
  <si>
    <t>Financial services nec</t>
  </si>
  <si>
    <t>Insurance (formerly isr)</t>
  </si>
  <si>
    <t>Business services nec</t>
  </si>
  <si>
    <t>Public Administration and defense</t>
  </si>
  <si>
    <t>Human health and social work activities</t>
  </si>
  <si>
    <t>Livestock production</t>
  </si>
  <si>
    <t>Other Extraction</t>
  </si>
  <si>
    <t>Food products</t>
  </si>
  <si>
    <t>Wood products and paper</t>
  </si>
  <si>
    <t>Electrical equipment, electronics, machinery and equipment</t>
  </si>
  <si>
    <t>Electricity transmission and distribution</t>
  </si>
  <si>
    <t>Nuvlear Power</t>
  </si>
  <si>
    <t>Coal Power</t>
  </si>
  <si>
    <t>Gas Power</t>
  </si>
  <si>
    <t>Wind Power</t>
  </si>
  <si>
    <t>Hydro Power</t>
  </si>
  <si>
    <t>Other Power</t>
  </si>
  <si>
    <t>Solar Power</t>
  </si>
  <si>
    <t>Water, waste and utilities</t>
  </si>
  <si>
    <t>Gas distribution</t>
  </si>
  <si>
    <t>labus</t>
  </si>
  <si>
    <t>labsk</t>
  </si>
  <si>
    <t>va</t>
  </si>
  <si>
    <t>nd</t>
  </si>
  <si>
    <t>f-top</t>
  </si>
  <si>
    <t>pnest</t>
  </si>
  <si>
    <t>na</t>
  </si>
  <si>
    <t>tran</t>
  </si>
  <si>
    <t>agri</t>
  </si>
  <si>
    <t>cons</t>
  </si>
  <si>
    <t>mine</t>
  </si>
  <si>
    <t>t-labSk</t>
  </si>
  <si>
    <t>t-labUs</t>
  </si>
  <si>
    <t>f-FrSkl</t>
  </si>
  <si>
    <t>f-FrNsk</t>
  </si>
  <si>
    <t>f-InNsk</t>
  </si>
  <si>
    <t>f-NatlRes</t>
  </si>
  <si>
    <t>Natural Resources</t>
  </si>
  <si>
    <t>Skilled formal Labor</t>
  </si>
  <si>
    <t>Unskilled formal Labor</t>
  </si>
  <si>
    <t>a-nmm</t>
  </si>
  <si>
    <t>c-nmm</t>
  </si>
  <si>
    <t>hema</t>
  </si>
  <si>
    <t>wast</t>
  </si>
  <si>
    <t>trad</t>
  </si>
  <si>
    <t>GrDomProd</t>
  </si>
  <si>
    <t>GrDomProdGro</t>
  </si>
  <si>
    <t>allIndustry</t>
  </si>
  <si>
    <t>allServices</t>
  </si>
  <si>
    <t>mapaagr</t>
  </si>
  <si>
    <t>aagr</t>
  </si>
  <si>
    <t>agriculture</t>
  </si>
  <si>
    <t>All industry</t>
  </si>
  <si>
    <t>mining</t>
  </si>
  <si>
    <t>manufacturing</t>
  </si>
  <si>
    <t>energy</t>
  </si>
  <si>
    <t>construction</t>
  </si>
  <si>
    <t>All services</t>
  </si>
  <si>
    <t>Waste and water</t>
  </si>
  <si>
    <t>services</t>
  </si>
  <si>
    <t>GDP Growth</t>
  </si>
  <si>
    <t>epsRor0</t>
  </si>
  <si>
    <t>PhiPcInv0</t>
  </si>
  <si>
    <t>depr0</t>
  </si>
  <si>
    <t>capoutRate0</t>
  </si>
  <si>
    <t>AirpolEff0</t>
  </si>
  <si>
    <t>heavy manufacturin</t>
  </si>
  <si>
    <t>Comment</t>
  </si>
  <si>
    <t>maptax</t>
  </si>
  <si>
    <t>labor0</t>
  </si>
  <si>
    <t>labor quantities for initial SAM, aggregated to model SAM dimensions in base.inc</t>
  </si>
  <si>
    <t>natres</t>
  </si>
  <si>
    <t>vat</t>
  </si>
  <si>
    <t>omegaSav0</t>
  </si>
  <si>
    <t>omegaSavEntr0</t>
  </si>
  <si>
    <t>omegaFund0</t>
  </si>
  <si>
    <t>omegax0</t>
  </si>
  <si>
    <t>epsRorE0</t>
  </si>
  <si>
    <t>Elasticity between savings and total consumption</t>
  </si>
  <si>
    <t>Elasticity between savings and transfers to HHs</t>
  </si>
  <si>
    <t>Elasticity between government and private bonds</t>
  </si>
  <si>
    <t>Depreciation rate</t>
  </si>
  <si>
    <t>Capital stock GDP ratio</t>
  </si>
  <si>
    <t>Elasticity of labor productivity to air pollution</t>
  </si>
  <si>
    <t>Elasticity between exports and domestic supply</t>
  </si>
  <si>
    <t>Elasticity among commodities when an activity produces multiple commodities</t>
  </si>
  <si>
    <t>Disinvestment Elasticity for declining sectors</t>
  </si>
  <si>
    <t>Elasticity among activities when a commodity is produced by multiple activities</t>
  </si>
  <si>
    <t>Elasticity between imports and domestic demand</t>
  </si>
  <si>
    <t>Elasticity between margin commodities</t>
  </si>
  <si>
    <t>Import supply Elasticity</t>
  </si>
  <si>
    <t>Export demand Elasticity</t>
  </si>
  <si>
    <t>Elasticity of capital supply to capital stock</t>
  </si>
  <si>
    <t>Elasticity of expected return on capital to capital stock</t>
  </si>
  <si>
    <t xml:space="preserve">Share of investment that is not added to capital stock </t>
  </si>
  <si>
    <t>Explanation</t>
  </si>
  <si>
    <t>parameter</t>
  </si>
  <si>
    <t>value</t>
  </si>
  <si>
    <t>eta10</t>
  </si>
  <si>
    <t>eta20</t>
  </si>
  <si>
    <t>eta1a0</t>
  </si>
  <si>
    <t>eta2a0</t>
  </si>
  <si>
    <t>omegasavf0</t>
  </si>
  <si>
    <t>rhosavf0</t>
  </si>
  <si>
    <t>riskPrem0</t>
  </si>
  <si>
    <t>retrow0</t>
  </si>
  <si>
    <t>ggdppcrow0</t>
  </si>
  <si>
    <t>efficiency param. returns</t>
  </si>
  <si>
    <t>efficiency param. GDP p.c. growth</t>
  </si>
  <si>
    <t xml:space="preserve">Country risk premium </t>
  </si>
  <si>
    <t>expected return rate in the row</t>
  </si>
  <si>
    <t>expected per capita GDP growth rate in the row</t>
  </si>
  <si>
    <t>Elasticity of foreign new public debt to interest rate</t>
  </si>
  <si>
    <t>Threshold after which gov consumption is dampended</t>
  </si>
  <si>
    <t>debtGdpTgt0</t>
  </si>
  <si>
    <t>sigmaFInt0</t>
  </si>
  <si>
    <t>Foreign Debt Stock</t>
  </si>
  <si>
    <t>Domestic Debt Stock</t>
  </si>
  <si>
    <t>Interest on foreign debt</t>
  </si>
  <si>
    <t>Interest on domestic debt</t>
  </si>
  <si>
    <t>SAM scale factor</t>
  </si>
  <si>
    <t>Population Scale factor</t>
  </si>
  <si>
    <t>Emissions scale factor</t>
  </si>
  <si>
    <t>Exchange rate Dom Currency per USD</t>
  </si>
  <si>
    <t>actPar</t>
  </si>
  <si>
    <t>actPar!A1</t>
  </si>
  <si>
    <t>exceptions in activity parameters</t>
  </si>
  <si>
    <t>exceptions in commodity parameters</t>
  </si>
  <si>
    <t>exceptions in HH parameters</t>
  </si>
  <si>
    <t>default parameter values</t>
  </si>
  <si>
    <t>Initial SAM</t>
  </si>
  <si>
    <t>exceptions inother parameters</t>
  </si>
  <si>
    <t>othpar</t>
  </si>
  <si>
    <t>othPar!A1</t>
  </si>
  <si>
    <t>comPar</t>
  </si>
  <si>
    <t>hohPar</t>
  </si>
  <si>
    <t>comPar!A1</t>
  </si>
  <si>
    <t>defPar</t>
  </si>
  <si>
    <t>defPar!B2</t>
  </si>
  <si>
    <t>mapkNestShr</t>
  </si>
  <si>
    <t>sigmacNest0</t>
  </si>
  <si>
    <t>Substitutional elasticities in demand nests</t>
  </si>
  <si>
    <t>tranEner</t>
  </si>
  <si>
    <t>TranRest</t>
  </si>
  <si>
    <t xml:space="preserve"> </t>
  </si>
  <si>
    <t>a-pdr_0</t>
  </si>
  <si>
    <t>a-wht_0</t>
  </si>
  <si>
    <t>a-gro_0</t>
  </si>
  <si>
    <t>a-v_f_0</t>
  </si>
  <si>
    <t>a-osd_0</t>
  </si>
  <si>
    <t>a-c_b_0</t>
  </si>
  <si>
    <t>a-pfb_0</t>
  </si>
  <si>
    <t>a-ocr_0</t>
  </si>
  <si>
    <t>a-ctl_0</t>
  </si>
  <si>
    <t>a-oap_0</t>
  </si>
  <si>
    <t>a-rmk_0</t>
  </si>
  <si>
    <t>a-wol_0</t>
  </si>
  <si>
    <t>a-frs_0</t>
  </si>
  <si>
    <t>a-fsh_0</t>
  </si>
  <si>
    <t>a-coa_0</t>
  </si>
  <si>
    <t>a-oil_0</t>
  </si>
  <si>
    <t>a-gas_0</t>
  </si>
  <si>
    <t>a-cmt_0</t>
  </si>
  <si>
    <t>a-omt_0</t>
  </si>
  <si>
    <t>a-vol_0</t>
  </si>
  <si>
    <t>a-mil_0</t>
  </si>
  <si>
    <t>a-pcr_0</t>
  </si>
  <si>
    <t>a-sgr_0</t>
  </si>
  <si>
    <t>a-ofd_0</t>
  </si>
  <si>
    <t>a-b_t_0</t>
  </si>
  <si>
    <t>a-tex_0</t>
  </si>
  <si>
    <t>a-wap_0</t>
  </si>
  <si>
    <t>a-lea_0</t>
  </si>
  <si>
    <t>a-lum_0</t>
  </si>
  <si>
    <t>a-ppp_0</t>
  </si>
  <si>
    <t>a-p_c_0</t>
  </si>
  <si>
    <t>a-bph_0</t>
  </si>
  <si>
    <t>a-fmp_0</t>
  </si>
  <si>
    <t>a-ele_0</t>
  </si>
  <si>
    <t>a-eeq_0</t>
  </si>
  <si>
    <t>a-ome_0</t>
  </si>
  <si>
    <t>a-mvh_0</t>
  </si>
  <si>
    <t>a-otn_0</t>
  </si>
  <si>
    <t>a-omf_0</t>
  </si>
  <si>
    <t>a-TnD_0</t>
  </si>
  <si>
    <t>a-NuclearBL_0</t>
  </si>
  <si>
    <t>a-CoalBL_0</t>
  </si>
  <si>
    <t>a-GasBL_0</t>
  </si>
  <si>
    <t>a-WindBL_0</t>
  </si>
  <si>
    <t>a-HydroBL_0</t>
  </si>
  <si>
    <t>a-OilBL_0</t>
  </si>
  <si>
    <t>a-OtherBL_0</t>
  </si>
  <si>
    <t>a-GasP_0</t>
  </si>
  <si>
    <t>a-HydroP_0</t>
  </si>
  <si>
    <t>a-OilP_0</t>
  </si>
  <si>
    <t>a-SolarP_0</t>
  </si>
  <si>
    <t>a-gdt_0</t>
  </si>
  <si>
    <t>a-wtr_0</t>
  </si>
  <si>
    <t>a-cns_0</t>
  </si>
  <si>
    <t>a-trd_0</t>
  </si>
  <si>
    <t>a-afs_0</t>
  </si>
  <si>
    <t>a-otp_0</t>
  </si>
  <si>
    <t>a-wtp_0</t>
  </si>
  <si>
    <t>a-atp_0</t>
  </si>
  <si>
    <t>a-whs_0</t>
  </si>
  <si>
    <t>a-cmn_0</t>
  </si>
  <si>
    <t>a-ofi_0</t>
  </si>
  <si>
    <t>a-ins_0</t>
  </si>
  <si>
    <t>a-rsa_0</t>
  </si>
  <si>
    <t>a-obs_0</t>
  </si>
  <si>
    <t>a-ros_0</t>
  </si>
  <si>
    <t>a-osg_0</t>
  </si>
  <si>
    <t>a-edu_0</t>
  </si>
  <si>
    <t>a-hht_0</t>
  </si>
  <si>
    <t>a-dwe_0</t>
  </si>
  <si>
    <t>c-pdr_0</t>
  </si>
  <si>
    <t>c-wht_0</t>
  </si>
  <si>
    <t>c-gro_0</t>
  </si>
  <si>
    <t>c-v_f_0</t>
  </si>
  <si>
    <t>c-osd_0</t>
  </si>
  <si>
    <t>c-c_b_0</t>
  </si>
  <si>
    <t>c-pfb_0</t>
  </si>
  <si>
    <t>c-ocr_0</t>
  </si>
  <si>
    <t>c-ctl_0</t>
  </si>
  <si>
    <t>c-oap_0</t>
  </si>
  <si>
    <t>c-rmk_0</t>
  </si>
  <si>
    <t>c-wol_0</t>
  </si>
  <si>
    <t>c-frs_0</t>
  </si>
  <si>
    <t>c-fsh_0</t>
  </si>
  <si>
    <t>c-coa_0</t>
  </si>
  <si>
    <t>c-oil_0</t>
  </si>
  <si>
    <t>c-gas_0</t>
  </si>
  <si>
    <t>c-cmt_0</t>
  </si>
  <si>
    <t>c-omt_0</t>
  </si>
  <si>
    <t>c-vol_0</t>
  </si>
  <si>
    <t>c-mil_0</t>
  </si>
  <si>
    <t>c-pcr_0</t>
  </si>
  <si>
    <t>c-sgr_0</t>
  </si>
  <si>
    <t>c-ofd_0</t>
  </si>
  <si>
    <t>c-b_t_0</t>
  </si>
  <si>
    <t>c-tex_0</t>
  </si>
  <si>
    <t>c-wap_0</t>
  </si>
  <si>
    <t>c-lea_0</t>
  </si>
  <si>
    <t>c-lum_0</t>
  </si>
  <si>
    <t>c-ppp_0</t>
  </si>
  <si>
    <t>c-p_c_0</t>
  </si>
  <si>
    <t>c-bph_0</t>
  </si>
  <si>
    <t>c-fmp_0</t>
  </si>
  <si>
    <t>c-ele_0</t>
  </si>
  <si>
    <t>c-eeq_0</t>
  </si>
  <si>
    <t>c-ome_0</t>
  </si>
  <si>
    <t>c-mvh_0</t>
  </si>
  <si>
    <t>c-otn_0</t>
  </si>
  <si>
    <t>c-omf_0</t>
  </si>
  <si>
    <t>c-TnD_0</t>
  </si>
  <si>
    <t>c-NuclearBL_0</t>
  </si>
  <si>
    <t>c-CoalBL_0</t>
  </si>
  <si>
    <t>c-GasBL_0</t>
  </si>
  <si>
    <t>c-WindBL_0</t>
  </si>
  <si>
    <t>c-HydroBL_0</t>
  </si>
  <si>
    <t>c-OilBL_0</t>
  </si>
  <si>
    <t>c-OtherBL_0</t>
  </si>
  <si>
    <t>c-GasP_0</t>
  </si>
  <si>
    <t>c-HydroP_0</t>
  </si>
  <si>
    <t>c-OilP_0</t>
  </si>
  <si>
    <t>c-SolarP_0</t>
  </si>
  <si>
    <t>c-gdt_0</t>
  </si>
  <si>
    <t>c-wtr_0</t>
  </si>
  <si>
    <t>c-cns_0</t>
  </si>
  <si>
    <t>c-trd_0</t>
  </si>
  <si>
    <t>c-afs_0</t>
  </si>
  <si>
    <t>c-otp_0</t>
  </si>
  <si>
    <t>c-wtp_0</t>
  </si>
  <si>
    <t>c-atp_0</t>
  </si>
  <si>
    <t>c-whs_0</t>
  </si>
  <si>
    <t>c-cmn_0</t>
  </si>
  <si>
    <t>c-ofi_0</t>
  </si>
  <si>
    <t>c-ins_0</t>
  </si>
  <si>
    <t>c-rsa_0</t>
  </si>
  <si>
    <t>c-obs_0</t>
  </si>
  <si>
    <t>c-ros_0</t>
  </si>
  <si>
    <t>c-osg_0</t>
  </si>
  <si>
    <t>c-edu_0</t>
  </si>
  <si>
    <t>c-hht_0</t>
  </si>
  <si>
    <t>c-dwe_0</t>
  </si>
  <si>
    <t>m-otp_0</t>
  </si>
  <si>
    <t>m-wtp_0</t>
  </si>
  <si>
    <t>m-atp_0</t>
  </si>
  <si>
    <t>f-Land_0</t>
  </si>
  <si>
    <t>f-tech_aspros_0</t>
  </si>
  <si>
    <t>f-clerks_0</t>
  </si>
  <si>
    <t>f-service_shop_0</t>
  </si>
  <si>
    <t>f-off_mgr_pros_0</t>
  </si>
  <si>
    <t>f-ag_othlowsk_0</t>
  </si>
  <si>
    <t>f-Capital_0</t>
  </si>
  <si>
    <t>f-NatlRes_0</t>
  </si>
  <si>
    <t>h-hhold_0</t>
  </si>
  <si>
    <t>g-govt_0</t>
  </si>
  <si>
    <t>e-ent_0</t>
  </si>
  <si>
    <t>debt_0</t>
  </si>
  <si>
    <t>i-ginv_0</t>
  </si>
  <si>
    <t>i-CGDS_0</t>
  </si>
  <si>
    <t>w-ww_world_0</t>
  </si>
  <si>
    <t>a-pdr</t>
  </si>
  <si>
    <t>a-wht</t>
  </si>
  <si>
    <t>a-gro</t>
  </si>
  <si>
    <t>a-v_f</t>
  </si>
  <si>
    <t>a-osd</t>
  </si>
  <si>
    <t>a-c_b</t>
  </si>
  <si>
    <t>a-pfb</t>
  </si>
  <si>
    <t>a-ocr</t>
  </si>
  <si>
    <t>a-ctl</t>
  </si>
  <si>
    <t>a-oap</t>
  </si>
  <si>
    <t>a-rmk</t>
  </si>
  <si>
    <t>a-wol</t>
  </si>
  <si>
    <t>a-fsh</t>
  </si>
  <si>
    <t>a-cmt</t>
  </si>
  <si>
    <t>a-omt</t>
  </si>
  <si>
    <t>a-vol</t>
  </si>
  <si>
    <t>a-mil</t>
  </si>
  <si>
    <t>a-pcr</t>
  </si>
  <si>
    <t>a-sgr</t>
  </si>
  <si>
    <t>a-ofd</t>
  </si>
  <si>
    <t>a-wap</t>
  </si>
  <si>
    <t>a-lea</t>
  </si>
  <si>
    <t>a-lum</t>
  </si>
  <si>
    <t>a-ppp</t>
  </si>
  <si>
    <t>a-eeq</t>
  </si>
  <si>
    <t>a-ome</t>
  </si>
  <si>
    <t>a-otn</t>
  </si>
  <si>
    <t>a-NuclearBL</t>
  </si>
  <si>
    <t>a-CoalBL</t>
  </si>
  <si>
    <t>a-GasBL</t>
  </si>
  <si>
    <t>a-WindBL</t>
  </si>
  <si>
    <t>a-HydroBL</t>
  </si>
  <si>
    <t>a-OilBL</t>
  </si>
  <si>
    <t>a-OtherBL</t>
  </si>
  <si>
    <t>a-OilP</t>
  </si>
  <si>
    <t>a-gdt</t>
  </si>
  <si>
    <t>a-whs</t>
  </si>
  <si>
    <t>a-rsa</t>
  </si>
  <si>
    <t>a-obs</t>
  </si>
  <si>
    <t>a-ros</t>
  </si>
  <si>
    <t>a-dwe</t>
  </si>
  <si>
    <t>c-pdr</t>
  </si>
  <si>
    <t>c-wht</t>
  </si>
  <si>
    <t>c-gro</t>
  </si>
  <si>
    <t>c-v_f</t>
  </si>
  <si>
    <t>c-osd</t>
  </si>
  <si>
    <t>c-c_b</t>
  </si>
  <si>
    <t>c-pfb</t>
  </si>
  <si>
    <t>c-ocr</t>
  </si>
  <si>
    <t>c-ctl</t>
  </si>
  <si>
    <t>c-oap</t>
  </si>
  <si>
    <t>c-rmk</t>
  </si>
  <si>
    <t>c-wol</t>
  </si>
  <si>
    <t>c-fsh</t>
  </si>
  <si>
    <t>c-cmt</t>
  </si>
  <si>
    <t>c-omt</t>
  </si>
  <si>
    <t>c-vol</t>
  </si>
  <si>
    <t>c-mil</t>
  </si>
  <si>
    <t>c-pcr</t>
  </si>
  <si>
    <t>c-sgr</t>
  </si>
  <si>
    <t>c-ofd</t>
  </si>
  <si>
    <t>c-wap</t>
  </si>
  <si>
    <t>c-lea</t>
  </si>
  <si>
    <t>c-lum</t>
  </si>
  <si>
    <t>c-ppp</t>
  </si>
  <si>
    <t>c-eeq</t>
  </si>
  <si>
    <t>c-ome</t>
  </si>
  <si>
    <t>c-otn</t>
  </si>
  <si>
    <t>c-whs</t>
  </si>
  <si>
    <t>c-rsa</t>
  </si>
  <si>
    <t>c-obs</t>
  </si>
  <si>
    <t>c-ros</t>
  </si>
  <si>
    <t>c-dwe</t>
  </si>
  <si>
    <t>m-otp</t>
  </si>
  <si>
    <t>m-wtp</t>
  </si>
  <si>
    <t>m-atp</t>
  </si>
  <si>
    <t>f-tech_aspros</t>
  </si>
  <si>
    <t>f-clerks</t>
  </si>
  <si>
    <t>f-service_shop</t>
  </si>
  <si>
    <t>f-off_mgr_pros</t>
  </si>
  <si>
    <t>f-ag_othlowsk</t>
  </si>
  <si>
    <t>h-hhold</t>
  </si>
  <si>
    <t>GHGs</t>
  </si>
  <si>
    <t>Acid</t>
  </si>
  <si>
    <t xml:space="preserve"> TOFP</t>
  </si>
  <si>
    <t xml:space="preserve"> PMTn</t>
  </si>
  <si>
    <t xml:space="preserve"> PMTF</t>
  </si>
  <si>
    <t xml:space="preserve"> AirT </t>
  </si>
  <si>
    <t>SAM!A1</t>
  </si>
  <si>
    <t>Official Emission inventory - combustion</t>
  </si>
  <si>
    <t>emiInventory_OFF</t>
  </si>
  <si>
    <t>emiinv!A2</t>
  </si>
  <si>
    <t>Official Emission inventory - Process</t>
  </si>
  <si>
    <t>emiInventoryXP_OFF</t>
  </si>
  <si>
    <t>emiinv!A12</t>
  </si>
  <si>
    <t>cap_labSk</t>
  </si>
  <si>
    <t>cap_labsk</t>
  </si>
  <si>
    <t>wtr_land</t>
  </si>
  <si>
    <t>cap_natlres</t>
  </si>
  <si>
    <t>cap_ener</t>
  </si>
  <si>
    <t>ely_tnd</t>
  </si>
  <si>
    <t>gas_gdt</t>
  </si>
  <si>
    <t>ener_gasoil</t>
  </si>
  <si>
    <t>ener_fossil</t>
  </si>
  <si>
    <t>crops</t>
  </si>
  <si>
    <t>anim_meat</t>
  </si>
  <si>
    <t>Paddy rice production</t>
  </si>
  <si>
    <t>Wheat production</t>
  </si>
  <si>
    <t>Coarse grains production</t>
  </si>
  <si>
    <t>Fruits and vegetable production</t>
  </si>
  <si>
    <t>Oilseeds production</t>
  </si>
  <si>
    <t>Sugar cane and beet production</t>
  </si>
  <si>
    <t>Production of plant based fibres</t>
  </si>
  <si>
    <t>Production of other crops</t>
  </si>
  <si>
    <t>Ruminants for meat</t>
  </si>
  <si>
    <t>Other animal production</t>
  </si>
  <si>
    <t>Raw milk production</t>
  </si>
  <si>
    <t>Wool production</t>
  </si>
  <si>
    <t>Forestry production</t>
  </si>
  <si>
    <t>Fisheries</t>
  </si>
  <si>
    <t>Coal extraction</t>
  </si>
  <si>
    <t>Oil extraction</t>
  </si>
  <si>
    <t>Gas extraction</t>
  </si>
  <si>
    <t>Cattle meat production</t>
  </si>
  <si>
    <t>Other meat production</t>
  </si>
  <si>
    <t>Vegetable oil and cake production</t>
  </si>
  <si>
    <t>Dairies</t>
  </si>
  <si>
    <t>Rice processing</t>
  </si>
  <si>
    <t>Sugar processing</t>
  </si>
  <si>
    <t>Other food industries</t>
  </si>
  <si>
    <t>Beverages and tobacco production</t>
  </si>
  <si>
    <t>Textile production</t>
  </si>
  <si>
    <t>Production of wearing apparel</t>
  </si>
  <si>
    <t>Production of leather</t>
  </si>
  <si>
    <t>Production of wood products</t>
  </si>
  <si>
    <t>Paper and publishing industries</t>
  </si>
  <si>
    <t>Raffineries</t>
  </si>
  <si>
    <t>Production of basic pharmaceuticals</t>
  </si>
  <si>
    <t>Production of electrical equipment</t>
  </si>
  <si>
    <t>Nuclear base load powr</t>
  </si>
  <si>
    <t>Hydro base load power</t>
  </si>
  <si>
    <t>Base load power from oil</t>
  </si>
  <si>
    <t>Other base load power</t>
  </si>
  <si>
    <t>Hydro peak load power</t>
  </si>
  <si>
    <t>Base load power from coal</t>
  </si>
  <si>
    <t>Base load power from gas</t>
  </si>
  <si>
    <t>Base load powr from wind</t>
  </si>
  <si>
    <t>Peak load power from gas</t>
  </si>
  <si>
    <t>Peak load power from oil</t>
  </si>
  <si>
    <t>Solar peak load power</t>
  </si>
  <si>
    <t>Gas distribution industry</t>
  </si>
  <si>
    <t>Water and waste treatment industry</t>
  </si>
  <si>
    <t>Construction services</t>
  </si>
  <si>
    <t>Hotel and restaurants</t>
  </si>
  <si>
    <t>Water transport industry</t>
  </si>
  <si>
    <t>Other financial services</t>
  </si>
  <si>
    <t>Insurance services</t>
  </si>
  <si>
    <t>Educational services</t>
  </si>
  <si>
    <t>Imputed rents</t>
  </si>
  <si>
    <t>Coarse grains</t>
  </si>
  <si>
    <t>Fruits and vegetables</t>
  </si>
  <si>
    <t>Oilseeds</t>
  </si>
  <si>
    <t>Sugar cane and beet</t>
  </si>
  <si>
    <t>Plant base fibres</t>
  </si>
  <si>
    <t>Other crops</t>
  </si>
  <si>
    <t xml:space="preserve">Other animal products </t>
  </si>
  <si>
    <t>Wool</t>
  </si>
  <si>
    <t>Forestry products</t>
  </si>
  <si>
    <t>Fishery products</t>
  </si>
  <si>
    <t>Cattle meat</t>
  </si>
  <si>
    <t>Other meat</t>
  </si>
  <si>
    <t>Vegetable oils and cakes</t>
  </si>
  <si>
    <t>Dairy products</t>
  </si>
  <si>
    <t>Processed rice</t>
  </si>
  <si>
    <t>Sugar</t>
  </si>
  <si>
    <t>Other food products</t>
  </si>
  <si>
    <t>Beverages and tobacco</t>
  </si>
  <si>
    <t>Wearing apparel</t>
  </si>
  <si>
    <t>Leather</t>
  </si>
  <si>
    <t>Wood products</t>
  </si>
  <si>
    <t>Paper and publishing</t>
  </si>
  <si>
    <t>Petroleum and coke</t>
  </si>
  <si>
    <t>Basic pharmaceuticals</t>
  </si>
  <si>
    <t>Iron and steel</t>
  </si>
  <si>
    <t>Other metals</t>
  </si>
  <si>
    <t>Electrical equipment</t>
  </si>
  <si>
    <t>Electricity and heat</t>
  </si>
  <si>
    <t>Water and waste treatment</t>
  </si>
  <si>
    <t>Hotel and restaurant services</t>
  </si>
  <si>
    <t>Other transport services</t>
  </si>
  <si>
    <t>Water transport services</t>
  </si>
  <si>
    <t>Air transport services</t>
  </si>
  <si>
    <t>Air transport industry</t>
  </si>
  <si>
    <t>Clerks</t>
  </si>
  <si>
    <t>Natural ressources</t>
  </si>
  <si>
    <t>Other transport margin</t>
  </si>
  <si>
    <t>Water transport margin</t>
  </si>
  <si>
    <t>Air transport margin</t>
  </si>
  <si>
    <t>Debt</t>
  </si>
  <si>
    <t>Government investment</t>
  </si>
  <si>
    <t>Land taxes</t>
  </si>
  <si>
    <t>Capital taxes</t>
  </si>
  <si>
    <t>Natural ressource taxes</t>
  </si>
  <si>
    <t>Export taxes</t>
  </si>
  <si>
    <t>Import taxes</t>
  </si>
  <si>
    <t>Production taxes</t>
  </si>
  <si>
    <t>Direct taxes</t>
  </si>
  <si>
    <t>Rest-of-the-World</t>
  </si>
  <si>
    <t>Computer, electronic and optical production</t>
  </si>
  <si>
    <t>Production of other equipment</t>
  </si>
  <si>
    <t>Production of motor vehicles</t>
  </si>
  <si>
    <t>Produciton of other transport equipment</t>
  </si>
  <si>
    <t>Other manufacturing</t>
  </si>
  <si>
    <t>Power distribution</t>
  </si>
  <si>
    <t>Wholesale and retail trade</t>
  </si>
  <si>
    <t>Warehousing</t>
  </si>
  <si>
    <t>Communication and information services</t>
  </si>
  <si>
    <t>Real estate services</t>
  </si>
  <si>
    <t>Other busines services</t>
  </si>
  <si>
    <t>Recreation services</t>
  </si>
  <si>
    <t>Public adminstration</t>
  </si>
  <si>
    <t>Computers, electronic and optical products</t>
  </si>
  <si>
    <t>Other machinery</t>
  </si>
  <si>
    <t>Motor vehicles</t>
  </si>
  <si>
    <t>Other transport equipment</t>
  </si>
  <si>
    <t>Other manufactues</t>
  </si>
  <si>
    <t>Powr distribution</t>
  </si>
  <si>
    <t>Communication and information</t>
  </si>
  <si>
    <t>Insurance</t>
  </si>
  <si>
    <t>Health and social services</t>
  </si>
  <si>
    <t>Labor taxes, clerks</t>
  </si>
  <si>
    <t>Agricultural and other low skiled labor</t>
  </si>
  <si>
    <t>Labor taxes, agriculture and other low skilled</t>
  </si>
  <si>
    <t xml:space="preserve">Technicians and associate professionals </t>
  </si>
  <si>
    <t>Service and shop workers</t>
  </si>
  <si>
    <t xml:space="preserve">Labor taxes, Technicians and associate professionals </t>
  </si>
  <si>
    <t>Labor taxes, Service and shop workers</t>
  </si>
  <si>
    <t>Senior officials and managers, professionals</t>
  </si>
  <si>
    <t>Labor taxes,  Senior officials and managers, professionals</t>
  </si>
  <si>
    <t>Savings/Investments</t>
  </si>
  <si>
    <t>Sales taxes</t>
  </si>
  <si>
    <t>Unskilled labor bundle</t>
  </si>
  <si>
    <t>Skilled labor bundle</t>
  </si>
  <si>
    <t>Capital-natural resources bundle</t>
  </si>
  <si>
    <t>Capital-skilled labor bundle</t>
  </si>
  <si>
    <t>Energy</t>
  </si>
  <si>
    <t>Gas-oil bundle</t>
  </si>
  <si>
    <t>Gas-oil-coal bundle</t>
  </si>
  <si>
    <t>Capital-energy bundle</t>
  </si>
  <si>
    <t>Water-land bundle</t>
  </si>
  <si>
    <t>Electricity and its distribution</t>
  </si>
  <si>
    <t>Gas and its distribution</t>
  </si>
  <si>
    <t>Value added</t>
  </si>
  <si>
    <t>Crops bundle</t>
  </si>
  <si>
    <t>Animal products and meat bundle</t>
  </si>
  <si>
    <t>Intermediate bundle</t>
  </si>
  <si>
    <t>Total production bundle</t>
  </si>
  <si>
    <t>Elasticity of stock changes with regard to relative delta in expected price</t>
  </si>
  <si>
    <t>rhoPDelSt0</t>
  </si>
  <si>
    <t>Elasticity of stock changes to targeted stock over production</t>
  </si>
  <si>
    <t>rhoXDelSt0</t>
  </si>
  <si>
    <t>Target stock over production level</t>
  </si>
  <si>
    <t>alphaSt0</t>
  </si>
  <si>
    <t>alphaST0</t>
  </si>
  <si>
    <t>Default income elasticity for aggregate commodity group (overwritten by hohpar)</t>
  </si>
  <si>
    <t>Default price elasticity for aggregate commodity group (overwritten by hohpar)</t>
  </si>
  <si>
    <t>cropLand</t>
  </si>
  <si>
    <t>agrLand</t>
  </si>
  <si>
    <t>agrLab</t>
  </si>
  <si>
    <t>manuLab</t>
  </si>
  <si>
    <t>restLab</t>
  </si>
  <si>
    <t>additive</t>
  </si>
  <si>
    <t>omegaCET</t>
  </si>
  <si>
    <t>factSupElas</t>
  </si>
  <si>
    <t>RestLab</t>
  </si>
  <si>
    <t>Factor market nestings</t>
  </si>
  <si>
    <t>fmNest</t>
  </si>
  <si>
    <t>fmNest!B2</t>
  </si>
  <si>
    <t>f-capital</t>
  </si>
  <si>
    <t>f-land</t>
  </si>
  <si>
    <t>f-natlRes</t>
  </si>
  <si>
    <t>grasLand</t>
  </si>
  <si>
    <t>Maping from activities to GTAP</t>
  </si>
  <si>
    <t>Maping from products to GTAP</t>
  </si>
  <si>
    <t>All accounts (plus nests)</t>
  </si>
  <si>
    <t>Energy products</t>
  </si>
  <si>
    <t>Debt account</t>
  </si>
  <si>
    <t>Labor accounts</t>
  </si>
  <si>
    <t>Capital account</t>
  </si>
  <si>
    <t>Land accounts</t>
  </si>
  <si>
    <t>All investment account</t>
  </si>
  <si>
    <t>Government investment account</t>
  </si>
  <si>
    <t>Adaptive investment account</t>
  </si>
  <si>
    <t>Stoch changes account</t>
  </si>
  <si>
    <t>Maps from tax types to tax accounts</t>
  </si>
  <si>
    <t>Aggregation from proto to final SAM</t>
  </si>
  <si>
    <t>Demand bundle composition</t>
  </si>
  <si>
    <t>Map from aggregated to single sectors</t>
  </si>
  <si>
    <t>Production nesting</t>
  </si>
  <si>
    <t>subselas</t>
  </si>
  <si>
    <t>Age cohotrs</t>
  </si>
  <si>
    <t>Elasticity between demand bundles other final  Demand</t>
  </si>
  <si>
    <t>debt to gdp default threshhold, used in specific savf closure</t>
  </si>
  <si>
    <t>positive scaling parameter, used in specific savf closure</t>
  </si>
  <si>
    <t>Parameters for factor market nests</t>
  </si>
  <si>
    <t>fmNestPar</t>
  </si>
  <si>
    <t>Substitution elasticities for production nests</t>
  </si>
  <si>
    <t>mapk!B5</t>
  </si>
  <si>
    <t>t-exp</t>
  </si>
  <si>
    <t>t-imp</t>
  </si>
  <si>
    <t>t-stx</t>
  </si>
  <si>
    <t>t-tech_aspros</t>
  </si>
  <si>
    <t>t-clerks</t>
  </si>
  <si>
    <t>t-service_shop</t>
  </si>
  <si>
    <t>t-off_mgr_pros</t>
  </si>
  <si>
    <t>t-ag_othlowsk</t>
  </si>
  <si>
    <t>t-prodtax</t>
  </si>
  <si>
    <t>t-dirtax</t>
  </si>
  <si>
    <t>t-tech_aspros_0</t>
  </si>
  <si>
    <t>t-clerks_0</t>
  </si>
  <si>
    <t>t-service_shop_0</t>
  </si>
  <si>
    <t>t-off_mgr_pros_0</t>
  </si>
  <si>
    <t>t-ag_othlowsk_0</t>
  </si>
  <si>
    <t>t-Capital_0</t>
  </si>
  <si>
    <t>t-Land_0</t>
  </si>
  <si>
    <t>t-NatlRes_0</t>
  </si>
  <si>
    <t>t-exp_0</t>
  </si>
  <si>
    <t>t-imp_0</t>
  </si>
  <si>
    <t>t-prodtax_0</t>
  </si>
  <si>
    <t>t-dirtax_0</t>
  </si>
  <si>
    <t>t-stx_0</t>
  </si>
  <si>
    <t>Power mix</t>
  </si>
  <si>
    <t>powerMix</t>
  </si>
  <si>
    <t>powerMix!A1</t>
  </si>
  <si>
    <t>carbonTax</t>
  </si>
  <si>
    <t>GHG mitigation</t>
  </si>
  <si>
    <t>GHGMitigation</t>
  </si>
  <si>
    <t>GHGMitigation!A1</t>
  </si>
  <si>
    <t>BAU</t>
  </si>
  <si>
    <t>ceilingBench</t>
  </si>
  <si>
    <t>ceilingBaseline</t>
  </si>
  <si>
    <t>ceilingAbsolute</t>
  </si>
  <si>
    <t xml:space="preserve">par </t>
  </si>
  <si>
    <t>nrgfac</t>
  </si>
  <si>
    <t>nrgFac</t>
  </si>
  <si>
    <t>Energy shifter nest</t>
  </si>
  <si>
    <t>Energy projections</t>
  </si>
  <si>
    <t>energyProj</t>
  </si>
  <si>
    <t>Energy!A1</t>
  </si>
  <si>
    <t>MeatDairy</t>
  </si>
  <si>
    <t>FoodOther</t>
  </si>
  <si>
    <t>f-AEZ1_0</t>
  </si>
  <si>
    <t>f-AEZ2_0</t>
  </si>
  <si>
    <t>f-AEZ3_0</t>
  </si>
  <si>
    <t>f-AEZ4_0</t>
  </si>
  <si>
    <t>f-AEZ5_0</t>
  </si>
  <si>
    <t>f-AEZ6_0</t>
  </si>
  <si>
    <t>f-AEZ7_0</t>
  </si>
  <si>
    <t>f-AEZ8_0</t>
  </si>
  <si>
    <t>f-AEZ9_0</t>
  </si>
  <si>
    <t>f-AEZ10_0</t>
  </si>
  <si>
    <t>f-AEZ11_0</t>
  </si>
  <si>
    <t>f-AEZ12_0</t>
  </si>
  <si>
    <t>f-AEZ13_0</t>
  </si>
  <si>
    <t>f-AEZ14_0</t>
  </si>
  <si>
    <t>f-AEZ15_0</t>
  </si>
  <si>
    <t>f-AEZ16_0</t>
  </si>
  <si>
    <t>f-AEZ17_0</t>
  </si>
  <si>
    <t>f-AEZ18_0</t>
  </si>
  <si>
    <t>f-AEZ1</t>
  </si>
  <si>
    <t>f-AEZ2</t>
  </si>
  <si>
    <t>f-AEZ3</t>
  </si>
  <si>
    <t>f-AEZ4</t>
  </si>
  <si>
    <t>f-AEZ5</t>
  </si>
  <si>
    <t>f-AEZ6</t>
  </si>
  <si>
    <t>f-AEZ7</t>
  </si>
  <si>
    <t>f-AEZ8</t>
  </si>
  <si>
    <t>f-AEZ9</t>
  </si>
  <si>
    <t>f-AEZ10</t>
  </si>
  <si>
    <t>f-AEZ11</t>
  </si>
  <si>
    <t>f-AEZ12</t>
  </si>
  <si>
    <t>f-AEZ13</t>
  </si>
  <si>
    <t>f-AEZ14</t>
  </si>
  <si>
    <t>f-AEZ15</t>
  </si>
  <si>
    <t>f-AEZ16</t>
  </si>
  <si>
    <t>f-AEZ17</t>
  </si>
  <si>
    <t>f-AEZ18</t>
  </si>
  <si>
    <t>t-AEZ2_0</t>
  </si>
  <si>
    <t>t-AEZ3_0</t>
  </si>
  <si>
    <t>t-AEZ4_0</t>
  </si>
  <si>
    <t>t-AEZ5_0</t>
  </si>
  <si>
    <t>t-AEZ6_0</t>
  </si>
  <si>
    <t>t-AEZ7_0</t>
  </si>
  <si>
    <t>t-AEZ8_0</t>
  </si>
  <si>
    <t>t-AEZ9_0</t>
  </si>
  <si>
    <t>t-AEZ10_0</t>
  </si>
  <si>
    <t>t-AEZ11_0</t>
  </si>
  <si>
    <t>t-AEZ12_0</t>
  </si>
  <si>
    <t>t-AEZ13_0</t>
  </si>
  <si>
    <t>t-AEZ14_0</t>
  </si>
  <si>
    <t>t-AEZ15_0</t>
  </si>
  <si>
    <t>t-AEZ16_0</t>
  </si>
  <si>
    <t>t-AEZ17_0</t>
  </si>
  <si>
    <t>t-AEZ18_0</t>
  </si>
  <si>
    <t>t-AEZ2</t>
  </si>
  <si>
    <t>t-AEZ3</t>
  </si>
  <si>
    <t>t-AEZ4</t>
  </si>
  <si>
    <t>t-AEZ5</t>
  </si>
  <si>
    <t>t-AEZ6</t>
  </si>
  <si>
    <t>t-AEZ7</t>
  </si>
  <si>
    <t>t-AEZ8</t>
  </si>
  <si>
    <t>t-AEZ9</t>
  </si>
  <si>
    <t>t-AEZ10</t>
  </si>
  <si>
    <t>t-AEZ11</t>
  </si>
  <si>
    <t>t-AEZ12</t>
  </si>
  <si>
    <t>t-AEZ13</t>
  </si>
  <si>
    <t>t-AEZ14</t>
  </si>
  <si>
    <t>t-AEZ15</t>
  </si>
  <si>
    <t>t-AEZ16</t>
  </si>
  <si>
    <t>t-AEZ17</t>
  </si>
  <si>
    <t>t-AEZ18</t>
  </si>
  <si>
    <t>t-AEZ1</t>
  </si>
  <si>
    <t>aez_land</t>
  </si>
  <si>
    <t xml:space="preserve">AEZ1_cropLand </t>
  </si>
  <si>
    <t xml:space="preserve">AEZ2_cropLand </t>
  </si>
  <si>
    <t xml:space="preserve">AEZ3_cropLand </t>
  </si>
  <si>
    <t xml:space="preserve">AEZ4_cropLand </t>
  </si>
  <si>
    <t xml:space="preserve">AEZ5_cropLand </t>
  </si>
  <si>
    <t xml:space="preserve">AEZ6_cropLand </t>
  </si>
  <si>
    <t xml:space="preserve">AEZ7_cropLand </t>
  </si>
  <si>
    <t xml:space="preserve">AEZ8_cropLand </t>
  </si>
  <si>
    <t xml:space="preserve">AEZ9_cropLand </t>
  </si>
  <si>
    <t>AEZ10_cropLand</t>
  </si>
  <si>
    <t>AEZ11_cropLand</t>
  </si>
  <si>
    <t>AEZ12_cropLand</t>
  </si>
  <si>
    <t>AEZ13_cropLand</t>
  </si>
  <si>
    <t>AEZ14_cropLand</t>
  </si>
  <si>
    <t>AEZ15_cropLand</t>
  </si>
  <si>
    <t>AEZ16_cropLand</t>
  </si>
  <si>
    <t>AEZ17_cropLand</t>
  </si>
  <si>
    <t>AEZ18_cropLand</t>
  </si>
  <si>
    <t xml:space="preserve">AEZ1_agrLand </t>
  </si>
  <si>
    <t xml:space="preserve">AEZ2_agrLand </t>
  </si>
  <si>
    <t xml:space="preserve">AEZ3_agrLand </t>
  </si>
  <si>
    <t xml:space="preserve">AEZ4_agrLand </t>
  </si>
  <si>
    <t xml:space="preserve">AEZ5_agrLand </t>
  </si>
  <si>
    <t xml:space="preserve">AEZ6_agrLand </t>
  </si>
  <si>
    <t xml:space="preserve">AEZ7_agrLand </t>
  </si>
  <si>
    <t xml:space="preserve">AEZ8_agrLand </t>
  </si>
  <si>
    <t xml:space="preserve">AEZ9_agrLand </t>
  </si>
  <si>
    <t>AEZ10_agrLand</t>
  </si>
  <si>
    <t>AEZ11_agrLand</t>
  </si>
  <si>
    <t>AEZ12_agrLand</t>
  </si>
  <si>
    <t>AEZ13_agrLand</t>
  </si>
  <si>
    <t>AEZ14_agrLand</t>
  </si>
  <si>
    <t>AEZ15_agrLand</t>
  </si>
  <si>
    <t>AEZ16_agrLand</t>
  </si>
  <si>
    <t>AEZ17_agrLand</t>
  </si>
  <si>
    <t>AEZ18_agrLand</t>
  </si>
  <si>
    <t xml:space="preserve">AEZ1_grasLand </t>
  </si>
  <si>
    <t xml:space="preserve">AEZ2_grasLand </t>
  </si>
  <si>
    <t xml:space="preserve">AEZ3_grasLand </t>
  </si>
  <si>
    <t xml:space="preserve">AEZ4_grasLand </t>
  </si>
  <si>
    <t xml:space="preserve">AEZ5_grasLand </t>
  </si>
  <si>
    <t xml:space="preserve">AEZ6_grasLand </t>
  </si>
  <si>
    <t xml:space="preserve">AEZ7_grasLand </t>
  </si>
  <si>
    <t xml:space="preserve">AEZ8_grasLand </t>
  </si>
  <si>
    <t xml:space="preserve">AEZ9_grasLand </t>
  </si>
  <si>
    <t>AEZ10_grasLand</t>
  </si>
  <si>
    <t>AEZ11_grasLand</t>
  </si>
  <si>
    <t>AEZ12_grasLand</t>
  </si>
  <si>
    <t>AEZ13_grasLand</t>
  </si>
  <si>
    <t>AEZ14_grasLand</t>
  </si>
  <si>
    <t>AEZ15_grasLand</t>
  </si>
  <si>
    <t>AEZ16_grasLand</t>
  </si>
  <si>
    <t>AEZ17_grasLand</t>
  </si>
  <si>
    <t>AEZ18_grasLand</t>
  </si>
  <si>
    <t>t-AEZ1_0</t>
  </si>
  <si>
    <t>Nutrient contents</t>
  </si>
  <si>
    <t>nutCont</t>
  </si>
  <si>
    <t>Nutrients!A1</t>
  </si>
  <si>
    <t>rest</t>
  </si>
  <si>
    <t>a-pbf</t>
  </si>
  <si>
    <t>Points on Marginal Abatement Cost Curves</t>
  </si>
  <si>
    <t>macc</t>
  </si>
  <si>
    <t>macc!A1</t>
  </si>
  <si>
    <t>a-macc</t>
  </si>
  <si>
    <t>Marginal abatement</t>
  </si>
  <si>
    <t>c-macc</t>
  </si>
  <si>
    <t>a-macc_0</t>
  </si>
  <si>
    <t>c-macc_0</t>
  </si>
  <si>
    <t>Crops</t>
  </si>
  <si>
    <t>Clothing</t>
  </si>
  <si>
    <t>Hot_Rest</t>
  </si>
  <si>
    <t>enerEle</t>
  </si>
  <si>
    <t>EnerEle</t>
  </si>
  <si>
    <t>enerFossil</t>
  </si>
  <si>
    <t>Hot_Trad</t>
  </si>
  <si>
    <t>incp</t>
  </si>
  <si>
    <t>constant</t>
  </si>
  <si>
    <t>logGdp</t>
  </si>
  <si>
    <t>subP</t>
  </si>
  <si>
    <t>Estimated regresion function for GTAP incp and subp parameters of CDE demand system as a function of log(GDP)</t>
  </si>
  <si>
    <t>Regression parameter to render CDE income dependent</t>
  </si>
  <si>
    <t>regparIncomeCDE</t>
  </si>
  <si>
    <t>hohPar!A3</t>
  </si>
  <si>
    <t>hohPar!B9</t>
  </si>
  <si>
    <t>GDP composition (for targeting)</t>
  </si>
  <si>
    <t>GDPComposition!A1</t>
  </si>
  <si>
    <t>GDPComp</t>
  </si>
  <si>
    <t>t-F_skl</t>
  </si>
  <si>
    <t>t-M_skl</t>
  </si>
  <si>
    <t>t-F_nsk</t>
  </si>
  <si>
    <t>t-M_nsk</t>
  </si>
  <si>
    <t>t-F_skl_0</t>
  </si>
  <si>
    <t>t-M_skl_0</t>
  </si>
  <si>
    <t>t-F_nsk_0</t>
  </si>
  <si>
    <t>t-M_nsk_0</t>
  </si>
  <si>
    <t>f-m_skl</t>
  </si>
  <si>
    <t>f-f_skl</t>
  </si>
  <si>
    <t>f-m_nsk</t>
  </si>
  <si>
    <t>f-f_nsk</t>
  </si>
  <si>
    <t>Male skilled labor</t>
  </si>
  <si>
    <t>Female skilled labor</t>
  </si>
  <si>
    <t>Male low skilled labor</t>
  </si>
  <si>
    <t>Female low skilled labor</t>
  </si>
  <si>
    <t>f-F_skl</t>
  </si>
  <si>
    <t>f-M_skl</t>
  </si>
  <si>
    <t>f-F_nsk</t>
  </si>
  <si>
    <t>f-M_nsk</t>
  </si>
  <si>
    <t>f-F_skl_0</t>
  </si>
  <si>
    <t>f-M_skl_0</t>
  </si>
  <si>
    <t>f-F_nsk_0</t>
  </si>
  <si>
    <t>f-M_nsk_0</t>
  </si>
  <si>
    <t>a-ctlRais</t>
  </si>
  <si>
    <t>Cattle raising</t>
  </si>
  <si>
    <t>Cattle for meat</t>
  </si>
  <si>
    <t>c-ctlRais</t>
  </si>
  <si>
    <t>a-ctlRais_0</t>
  </si>
  <si>
    <t>c-ctlRais_0</t>
  </si>
  <si>
    <t>pnest!C2</t>
  </si>
  <si>
    <t>subsElas</t>
  </si>
  <si>
    <t>a-otpEle</t>
  </si>
  <si>
    <t>Road transport standard</t>
  </si>
  <si>
    <t xml:space="preserve">Electrified road transport </t>
  </si>
  <si>
    <t>c-otpEle</t>
  </si>
  <si>
    <t>Road transport standard electrified</t>
  </si>
  <si>
    <t>Other transport industry standard</t>
  </si>
  <si>
    <t>Other transport industry standard, electrified</t>
  </si>
  <si>
    <t>a-otpEle_0</t>
  </si>
  <si>
    <t>c-otpEle_0</t>
  </si>
  <si>
    <t>depr</t>
  </si>
  <si>
    <t>enerGas</t>
  </si>
  <si>
    <t>HousEner</t>
  </si>
  <si>
    <t>Only used if AEZ not found</t>
  </si>
  <si>
    <t>Immobile; Numbers for activities are activity specific factor supply elasticities</t>
  </si>
  <si>
    <t>All activities not in agrLab and manulab, automatically assigned to not listed activities</t>
  </si>
  <si>
    <t>All activities, automatically assigned to all actibitiy as no entry</t>
  </si>
  <si>
    <t>All labor categories have the segments defined agrLab, manuLab, restLab</t>
  </si>
  <si>
    <t>Gender differentiated labor and the 5 skill levels are never active simultaneously</t>
  </si>
  <si>
    <t>cropLand by AEZ</t>
  </si>
  <si>
    <t>grassland by AEZ</t>
  </si>
  <si>
    <t>agrland by AEZ</t>
  </si>
  <si>
    <t>Total land by AEZ, aggregated to aez_land (total land) in production function</t>
  </si>
  <si>
    <t>f-water_0</t>
  </si>
  <si>
    <t>f-water</t>
  </si>
  <si>
    <t>t-water</t>
  </si>
  <si>
    <t>Water as primary factor</t>
  </si>
  <si>
    <t>Land in AEZ1</t>
  </si>
  <si>
    <t>Land in AEZ2</t>
  </si>
  <si>
    <t>Land in AEZ3</t>
  </si>
  <si>
    <t>Land in AEZ4</t>
  </si>
  <si>
    <t>Land in AEZ5</t>
  </si>
  <si>
    <t>Land in AEZ6</t>
  </si>
  <si>
    <t>Land in AEZ7</t>
  </si>
  <si>
    <t>Land in AEZ8</t>
  </si>
  <si>
    <t>Land in AEZ9</t>
  </si>
  <si>
    <t>Land in AEZ10</t>
  </si>
  <si>
    <t>Land in AEZ11</t>
  </si>
  <si>
    <t>Land in AEZ12</t>
  </si>
  <si>
    <t>Land in AEZ13</t>
  </si>
  <si>
    <t>Land in AEZ14</t>
  </si>
  <si>
    <t>Land in AEZ15</t>
  </si>
  <si>
    <t>Land in AEZ16</t>
  </si>
  <si>
    <t>Land in AEZ17</t>
  </si>
  <si>
    <t>Land in AEZ18</t>
  </si>
  <si>
    <t>Land taxes in AEZ1</t>
  </si>
  <si>
    <t>Land taxes in AEZ2</t>
  </si>
  <si>
    <t>Land taxes in AEZ3</t>
  </si>
  <si>
    <t>Land taxes in AEZ4</t>
  </si>
  <si>
    <t>Land taxes in AEZ5</t>
  </si>
  <si>
    <t>Land taxes in AEZ6</t>
  </si>
  <si>
    <t>Land taxes in AEZ7</t>
  </si>
  <si>
    <t>Land taxes in AEZ8</t>
  </si>
  <si>
    <t>Land taxes in AEZ9</t>
  </si>
  <si>
    <t>Land taxes in AEZ10</t>
  </si>
  <si>
    <t>Land taxes in AEZ11</t>
  </si>
  <si>
    <t>Land taxes in AEZ12</t>
  </si>
  <si>
    <t>Land taxes in AEZ13</t>
  </si>
  <si>
    <t>Land taxes in AEZ14</t>
  </si>
  <si>
    <t>Land taxes in AEZ15</t>
  </si>
  <si>
    <t>Land taxes in AEZ16</t>
  </si>
  <si>
    <t>Land taxes in AEZ17</t>
  </si>
  <si>
    <t>Land taxes in AEZ18</t>
  </si>
  <si>
    <t>Water factor taxes</t>
  </si>
  <si>
    <t>Labor taxes, female skilled</t>
  </si>
  <si>
    <t>Labor taxes, male skilled</t>
  </si>
  <si>
    <t>Labor taxes, female low skilled</t>
  </si>
  <si>
    <t>Labor taxes, male low skilled</t>
  </si>
  <si>
    <t>t-water_0</t>
  </si>
  <si>
    <t>mapk!C2</t>
  </si>
  <si>
    <t>labor!B1</t>
  </si>
  <si>
    <t>original: 17.5</t>
  </si>
  <si>
    <t>pnest!B6</t>
  </si>
  <si>
    <t>all</t>
  </si>
  <si>
    <t>cap_labsk_ener</t>
  </si>
  <si>
    <t>labsk_labus</t>
  </si>
  <si>
    <t>physProd</t>
  </si>
  <si>
    <t/>
  </si>
  <si>
    <t>a-PDR</t>
  </si>
  <si>
    <t>a-WHT</t>
  </si>
  <si>
    <t>a-GRO</t>
  </si>
  <si>
    <t>a-V_F</t>
  </si>
  <si>
    <t>a-OSD</t>
  </si>
  <si>
    <t>a-C_B</t>
  </si>
  <si>
    <t>a-PFB</t>
  </si>
  <si>
    <t>a-OCR</t>
  </si>
  <si>
    <t>a-CTL</t>
  </si>
  <si>
    <t>a-OAP</t>
  </si>
  <si>
    <t>a-RMK</t>
  </si>
  <si>
    <t>a-WOL</t>
  </si>
  <si>
    <t>a-FRS</t>
  </si>
  <si>
    <t>a-FSH</t>
  </si>
  <si>
    <t>a-COA</t>
  </si>
  <si>
    <t>a-OIL</t>
  </si>
  <si>
    <t>a-GAS</t>
  </si>
  <si>
    <t>a-OXT</t>
  </si>
  <si>
    <t>a-CMT</t>
  </si>
  <si>
    <t>a-OMT</t>
  </si>
  <si>
    <t>a-VOL</t>
  </si>
  <si>
    <t>a-MIL</t>
  </si>
  <si>
    <t>a-PCR</t>
  </si>
  <si>
    <t>a-SGR</t>
  </si>
  <si>
    <t>a-OFD</t>
  </si>
  <si>
    <t>a-B_T</t>
  </si>
  <si>
    <t>a-TEX</t>
  </si>
  <si>
    <t>a-WAP</t>
  </si>
  <si>
    <t>a-LEA</t>
  </si>
  <si>
    <t>a-LUM</t>
  </si>
  <si>
    <t>a-PPP</t>
  </si>
  <si>
    <t>a-P_C</t>
  </si>
  <si>
    <t>a-CHM</t>
  </si>
  <si>
    <t>a-BPH</t>
  </si>
  <si>
    <t>a-RPP</t>
  </si>
  <si>
    <t>a-NMM</t>
  </si>
  <si>
    <t>a-I_S</t>
  </si>
  <si>
    <t>a-NFM</t>
  </si>
  <si>
    <t>a-FMP</t>
  </si>
  <si>
    <t>a-ELE</t>
  </si>
  <si>
    <t>a-EEQ</t>
  </si>
  <si>
    <t>a-OME</t>
  </si>
  <si>
    <t>a-MVH</t>
  </si>
  <si>
    <t>a-OTN</t>
  </si>
  <si>
    <t>a-OMF</t>
  </si>
  <si>
    <t>a-GDT</t>
  </si>
  <si>
    <t>a-WTR</t>
  </si>
  <si>
    <t>a-CNS</t>
  </si>
  <si>
    <t>a-TRD</t>
  </si>
  <si>
    <t>a-AFS</t>
  </si>
  <si>
    <t>a-OTP</t>
  </si>
  <si>
    <t>Eps</t>
  </si>
  <si>
    <t>a-WTP</t>
  </si>
  <si>
    <t>a-ATP</t>
  </si>
  <si>
    <t>a-WHS</t>
  </si>
  <si>
    <t>a-CMN</t>
  </si>
  <si>
    <t>a-OFI</t>
  </si>
  <si>
    <t>a-INS</t>
  </si>
  <si>
    <t>a-RSA</t>
  </si>
  <si>
    <t>a-OBS</t>
  </si>
  <si>
    <t>a-ROS</t>
  </si>
  <si>
    <t>a-OSG</t>
  </si>
  <si>
    <t>a-EDU</t>
  </si>
  <si>
    <t>a-HHT</t>
  </si>
  <si>
    <t>a-DWE</t>
  </si>
  <si>
    <t>nd_wtr_land</t>
  </si>
  <si>
    <t>crops_land</t>
  </si>
  <si>
    <t>Factor supply distribution across institutions</t>
  </si>
  <si>
    <t>xfmSupDistrInst</t>
  </si>
  <si>
    <t>hohPar!B15</t>
  </si>
  <si>
    <t>Trans</t>
  </si>
  <si>
    <t>privTrs</t>
  </si>
  <si>
    <t>privTrsEner</t>
  </si>
  <si>
    <t>privTrsRest</t>
  </si>
  <si>
    <t>f-m_tech_aspros</t>
  </si>
  <si>
    <t>f-m_service_shop</t>
  </si>
  <si>
    <t>f-m_off_mgr_pros</t>
  </si>
  <si>
    <t>f-m_ag_othlowsk</t>
  </si>
  <si>
    <t>Technicians and associate professionals, male</t>
  </si>
  <si>
    <t>Clerks, male</t>
  </si>
  <si>
    <t>Service and shop workers, male</t>
  </si>
  <si>
    <t>Senior officials and managers, professionals, male</t>
  </si>
  <si>
    <t>Agricultural and other low skiled labor, male</t>
  </si>
  <si>
    <t>f-f_tech_aspros</t>
  </si>
  <si>
    <t>f-f_service_shop</t>
  </si>
  <si>
    <t>f-f_off_mgr_pros</t>
  </si>
  <si>
    <t>f-f_ag_othlowsk</t>
  </si>
  <si>
    <t>Technicians and associate professionals, female</t>
  </si>
  <si>
    <t>Clerks, female</t>
  </si>
  <si>
    <t>Service and shop workers, female</t>
  </si>
  <si>
    <t>Senior officials and managers, professionals, female</t>
  </si>
  <si>
    <t>Agricultural and other low skiled labor, female</t>
  </si>
  <si>
    <t>f-m_clerks</t>
  </si>
  <si>
    <t>Labor taxes, Clerks, male</t>
  </si>
  <si>
    <t>Labor taxes, Service and shop workers, male</t>
  </si>
  <si>
    <t>Labor taxes, Senior officials and managers, professionals, male</t>
  </si>
  <si>
    <t>Labor taxes, Agricultural and other low skiled labor, male</t>
  </si>
  <si>
    <t>Labor taxes, Technicians and associate professionals, female</t>
  </si>
  <si>
    <t>Labor taxes, Clerks, female</t>
  </si>
  <si>
    <t>Labor taxes, Service and shop workers, female</t>
  </si>
  <si>
    <t>Labor taxes, Senior officials and managers, professionals, female</t>
  </si>
  <si>
    <t>Labor taxes, Agricultural and other low skiled labor, female</t>
  </si>
  <si>
    <t>t-m_tech_aspros</t>
  </si>
  <si>
    <t>t-m_clerks</t>
  </si>
  <si>
    <t>t-m_service_shop</t>
  </si>
  <si>
    <t>t-m_off_mgr_pros</t>
  </si>
  <si>
    <t>t-m_ag_othlowsk</t>
  </si>
  <si>
    <t>t-f_tech_aspros</t>
  </si>
  <si>
    <t>t-f_service_shop</t>
  </si>
  <si>
    <t>t-f_off_mgr_pros</t>
  </si>
  <si>
    <t>t-f_ag_othlowsk</t>
  </si>
  <si>
    <t>f-m_tech_aspros_0</t>
  </si>
  <si>
    <t>f-m_clerks_0</t>
  </si>
  <si>
    <t>f-m_service_shop_0</t>
  </si>
  <si>
    <t>f-m_off_mgr_pros_0</t>
  </si>
  <si>
    <t>f-m_ag_othlowsk_0</t>
  </si>
  <si>
    <t>f-f_tech_aspros_0</t>
  </si>
  <si>
    <t>f-f_service_shop_0</t>
  </si>
  <si>
    <t>f-f_off_mgr_pros_0</t>
  </si>
  <si>
    <t>t-m_tech_aspros_0</t>
  </si>
  <si>
    <t>t-m_clerks_0</t>
  </si>
  <si>
    <t>t-m_service_shop_0</t>
  </si>
  <si>
    <t>t-m_off_mgr_pros_0</t>
  </si>
  <si>
    <t>t-m_ag_othlowsk_0</t>
  </si>
  <si>
    <t>t-f_tech_aspros_0</t>
  </si>
  <si>
    <t>t-f_service_shop_0</t>
  </si>
  <si>
    <t>t-f_off_mgr_pros_0</t>
  </si>
  <si>
    <t>f-f_clerks</t>
  </si>
  <si>
    <t>f-f_clerks_0</t>
  </si>
  <si>
    <t>t-f_clerks</t>
  </si>
  <si>
    <t>Labor taxes, Technicians and associate professionals, male</t>
  </si>
  <si>
    <t>t-f_clerks_0</t>
  </si>
  <si>
    <t>f-f_ag_othlowsk_0</t>
  </si>
  <si>
    <t>t-f_ag_othlowsk_0</t>
  </si>
  <si>
    <t>Age lt 15</t>
  </si>
  <si>
    <t>Age 15-64</t>
  </si>
  <si>
    <t>Age gt 64</t>
  </si>
  <si>
    <t>All ages</t>
  </si>
  <si>
    <t>PhiRDtoes</t>
  </si>
  <si>
    <t>Supfgrowth</t>
  </si>
  <si>
    <t>Varia</t>
  </si>
  <si>
    <t>a-solarP</t>
  </si>
  <si>
    <t>a-windBL</t>
  </si>
  <si>
    <t>rhoEn</t>
  </si>
  <si>
    <t>sigmaxpvt</t>
  </si>
  <si>
    <t>obsol</t>
  </si>
  <si>
    <t>fgrowthDef</t>
  </si>
  <si>
    <t>interestRD</t>
  </si>
  <si>
    <t>a-coalP</t>
  </si>
  <si>
    <t>a-gasP</t>
  </si>
  <si>
    <t>a-otherP</t>
  </si>
  <si>
    <t xml:space="preserve">size of stepping on toes effect </t>
  </si>
  <si>
    <t>larger value = smaller R&amp;D response to change in revenue; 1 = no response; no value = R&amp;D mechanism is switched off</t>
  </si>
  <si>
    <t>supernormal growth</t>
  </si>
  <si>
    <t>difference between the productivity growth of the sector and the balanced growth path of the economy; 0 = the sector does not grow faster</t>
  </si>
  <si>
    <t>PrvRD</t>
  </si>
  <si>
    <t>Private R&amp;D share of GDP</t>
  </si>
  <si>
    <t>fraction of innovations that go to inventions (inventions are not bounded by the frontier)</t>
  </si>
  <si>
    <t>elasticity of substitution between processes</t>
  </si>
  <si>
    <t>baseyear obsolescence rate</t>
  </si>
  <si>
    <t>interest rate considered by the R&amp;D firms</t>
  </si>
  <si>
    <t>growth of the frontier</t>
  </si>
  <si>
    <t>endogenous tech change parameters</t>
  </si>
  <si>
    <t>EnTPar</t>
  </si>
  <si>
    <t>stepping on toes effect</t>
  </si>
  <si>
    <t>supernormal growth of sectors</t>
  </si>
  <si>
    <t>EnTech!D5</t>
  </si>
  <si>
    <t>EnTech!A5</t>
  </si>
  <si>
    <t>EnTech!G5</t>
  </si>
  <si>
    <t>capital</t>
  </si>
  <si>
    <t>labor</t>
  </si>
  <si>
    <t>intensMargElas</t>
  </si>
  <si>
    <t>omegaCETShort</t>
  </si>
  <si>
    <t>factSupElasShort</t>
  </si>
  <si>
    <t>fmNest!B9</t>
  </si>
  <si>
    <t>a-NMN</t>
  </si>
  <si>
    <t>a-MIO</t>
  </si>
  <si>
    <t>a-MAO</t>
  </si>
  <si>
    <t>a-MCU</t>
  </si>
  <si>
    <t>a-MOO</t>
  </si>
  <si>
    <t>a-ISP</t>
  </si>
  <si>
    <t>a-ISS</t>
  </si>
  <si>
    <t>a-RIS</t>
  </si>
  <si>
    <t>a-ISC</t>
  </si>
  <si>
    <t>a-APP</t>
  </si>
  <si>
    <t>a-APS</t>
  </si>
  <si>
    <t>a-RAL</t>
  </si>
  <si>
    <t>a-CPP</t>
  </si>
  <si>
    <t>a-CPS</t>
  </si>
  <si>
    <t>a-RCP</t>
  </si>
  <si>
    <t>a-MPP</t>
  </si>
  <si>
    <t>a-MPS</t>
  </si>
  <si>
    <t>a-ROM</t>
  </si>
  <si>
    <t>a-NFC</t>
  </si>
  <si>
    <t>a-KFR</t>
  </si>
  <si>
    <t>a-NFR</t>
  </si>
  <si>
    <t>a-PFR</t>
  </si>
  <si>
    <t>a-XCH</t>
  </si>
  <si>
    <t>a-RBR</t>
  </si>
  <si>
    <t>a-PLP</t>
  </si>
  <si>
    <t>a-PLS</t>
  </si>
  <si>
    <t>a-PLR</t>
  </si>
  <si>
    <t>a-CEM</t>
  </si>
  <si>
    <t>a-NMX</t>
  </si>
  <si>
    <t>c-mio</t>
  </si>
  <si>
    <t>c-mao</t>
  </si>
  <si>
    <t>c-moo</t>
  </si>
  <si>
    <t>c-mcu</t>
  </si>
  <si>
    <t>c-cem</t>
  </si>
  <si>
    <t>c-nmx</t>
  </si>
  <si>
    <t>c-nfc</t>
  </si>
  <si>
    <t>c-kfr</t>
  </si>
  <si>
    <t>c-nfr</t>
  </si>
  <si>
    <t>c-pfr</t>
  </si>
  <si>
    <t>c-xch</t>
  </si>
  <si>
    <t>c-rbr</t>
  </si>
  <si>
    <t>a-cem</t>
  </si>
  <si>
    <t>a-chx</t>
  </si>
  <si>
    <t>a-kfr</t>
  </si>
  <si>
    <t>a-pfr</t>
  </si>
  <si>
    <t>a-mfr</t>
  </si>
  <si>
    <t xml:space="preserve">Non-metallic minerals mining  </t>
  </si>
  <si>
    <t xml:space="preserve">Mining of iron ores           </t>
  </si>
  <si>
    <t xml:space="preserve">Mining of bauxite ores        </t>
  </si>
  <si>
    <t xml:space="preserve">Mining of copper ores         </t>
  </si>
  <si>
    <t xml:space="preserve">Mining of other ores          </t>
  </si>
  <si>
    <t>a-nmn</t>
  </si>
  <si>
    <t>a-mio</t>
  </si>
  <si>
    <t>a-mao</t>
  </si>
  <si>
    <t>a-mcu</t>
  </si>
  <si>
    <t>a-moo</t>
  </si>
  <si>
    <t xml:space="preserve">Potassium fertilizer           </t>
  </si>
  <si>
    <t xml:space="preserve">Nitrogen fertilizer            </t>
  </si>
  <si>
    <t xml:space="preserve">Phosphorus fertilizer          </t>
  </si>
  <si>
    <t xml:space="preserve">Other chemicals                </t>
  </si>
  <si>
    <t>a-nfr</t>
  </si>
  <si>
    <t xml:space="preserve">Rubber products                </t>
  </si>
  <si>
    <t xml:space="preserve">Plastic products-primary       </t>
  </si>
  <si>
    <t xml:space="preserve">Plastic products-secondary     </t>
  </si>
  <si>
    <t xml:space="preserve">Recycling-plastics             </t>
  </si>
  <si>
    <t xml:space="preserve">Cement                         </t>
  </si>
  <si>
    <t xml:space="preserve">Other mineral products         </t>
  </si>
  <si>
    <t>a-plp</t>
  </si>
  <si>
    <t>a-pls</t>
  </si>
  <si>
    <t>a-plr</t>
  </si>
  <si>
    <t>a-nmx</t>
  </si>
  <si>
    <t xml:space="preserve">Iron and steel-primary                     </t>
  </si>
  <si>
    <t xml:space="preserve">Iron and steel-secondary                   </t>
  </si>
  <si>
    <t xml:space="preserve">Recycling-iron and steel                   </t>
  </si>
  <si>
    <t xml:space="preserve">Iron and steel casting                     </t>
  </si>
  <si>
    <t xml:space="preserve">Aluminum-primary                           </t>
  </si>
  <si>
    <t xml:space="preserve">Aluminum-secondary                         </t>
  </si>
  <si>
    <t xml:space="preserve">Recycling-aluminum                         </t>
  </si>
  <si>
    <t xml:space="preserve">Copper-primary                             </t>
  </si>
  <si>
    <t xml:space="preserve">Copper-secondary                           </t>
  </si>
  <si>
    <t xml:space="preserve">Recycling-copper                           </t>
  </si>
  <si>
    <t xml:space="preserve">Other metals-primary                       </t>
  </si>
  <si>
    <t xml:space="preserve">Other metals-secondary                     </t>
  </si>
  <si>
    <t xml:space="preserve">Recycling-other metals                     </t>
  </si>
  <si>
    <t xml:space="preserve">Non-ferrous metals casting                 </t>
  </si>
  <si>
    <t>a-isp</t>
  </si>
  <si>
    <t>a-iss</t>
  </si>
  <si>
    <t>a-ris</t>
  </si>
  <si>
    <t>a-isc</t>
  </si>
  <si>
    <t>a-app</t>
  </si>
  <si>
    <t>a-cpp</t>
  </si>
  <si>
    <t>a-rom</t>
  </si>
  <si>
    <t>a-nfc</t>
  </si>
  <si>
    <t>a-aps</t>
  </si>
  <si>
    <t>a-ral</t>
  </si>
  <si>
    <t>a-cps</t>
  </si>
  <si>
    <t>a-rcp</t>
  </si>
  <si>
    <t>a-mpp</t>
  </si>
  <si>
    <t>a-mps</t>
  </si>
  <si>
    <t>c-nmn</t>
  </si>
  <si>
    <t>a-nmn_0</t>
  </si>
  <si>
    <t>a-mio_0</t>
  </si>
  <si>
    <t>a-mao_0</t>
  </si>
  <si>
    <t>a-moo_0</t>
  </si>
  <si>
    <t>a-kfr_0</t>
  </si>
  <si>
    <t>a-nfr_0</t>
  </si>
  <si>
    <t>a-pfr_0</t>
  </si>
  <si>
    <t>a-xch_0</t>
  </si>
  <si>
    <t>a-isp_0</t>
  </si>
  <si>
    <t>a-iss_0</t>
  </si>
  <si>
    <t>a-ris_0</t>
  </si>
  <si>
    <t>a-isc_0</t>
  </si>
  <si>
    <t>a-app_0</t>
  </si>
  <si>
    <t>a-aps_0</t>
  </si>
  <si>
    <t>a-cpp_0</t>
  </si>
  <si>
    <t>c-cps_0</t>
  </si>
  <si>
    <t>c-rcp_0</t>
  </si>
  <si>
    <t>a-cps_0</t>
  </si>
  <si>
    <t>a-rcp_0</t>
  </si>
  <si>
    <t>a-mpp_0</t>
  </si>
  <si>
    <t>a-mps_0</t>
  </si>
  <si>
    <t>a-rom_0</t>
  </si>
  <si>
    <t>a-nfc_0</t>
  </si>
  <si>
    <t>a-rbr_0</t>
  </si>
  <si>
    <t>a-plp_0</t>
  </si>
  <si>
    <t>a-pls_0</t>
  </si>
  <si>
    <t>a-plr_0</t>
  </si>
  <si>
    <t>a-cem_0</t>
  </si>
  <si>
    <t>a-nmx_0</t>
  </si>
  <si>
    <t>a-xch</t>
  </si>
  <si>
    <t>a-rbr</t>
  </si>
  <si>
    <t>moo</t>
  </si>
  <si>
    <t>mio</t>
  </si>
  <si>
    <t>mao</t>
  </si>
  <si>
    <t>c-nmn_0</t>
  </si>
  <si>
    <t>c-mio_0</t>
  </si>
  <si>
    <t>c-mao_0</t>
  </si>
  <si>
    <t>c-moo_0</t>
  </si>
  <si>
    <t>a-mcu_0</t>
  </si>
  <si>
    <t>mcu</t>
  </si>
  <si>
    <t>c-mcu_0</t>
  </si>
  <si>
    <t>c-rbr_0</t>
  </si>
  <si>
    <t>c-plp_0</t>
  </si>
  <si>
    <t>c-pls_0</t>
  </si>
  <si>
    <t>c-plr_0</t>
  </si>
  <si>
    <t>c-cem_0</t>
  </si>
  <si>
    <t>c-nmx_0</t>
  </si>
  <si>
    <t>c-isp_0</t>
  </si>
  <si>
    <t>c-iss_0</t>
  </si>
  <si>
    <t>c-ris_0</t>
  </si>
  <si>
    <t>c-isc_0</t>
  </si>
  <si>
    <t>c-app_0</t>
  </si>
  <si>
    <t>c-aps_0</t>
  </si>
  <si>
    <t>c-cpp_0</t>
  </si>
  <si>
    <t>c-mpp_0</t>
  </si>
  <si>
    <t>c-mps_0</t>
  </si>
  <si>
    <t>c-rom_0</t>
  </si>
  <si>
    <t>c-nfc_0</t>
  </si>
  <si>
    <t>rbr</t>
  </si>
  <si>
    <t>plp</t>
  </si>
  <si>
    <t>pls</t>
  </si>
  <si>
    <t>plr</t>
  </si>
  <si>
    <t>cem</t>
  </si>
  <si>
    <t>nmx</t>
  </si>
  <si>
    <t>isp</t>
  </si>
  <si>
    <t>iss</t>
  </si>
  <si>
    <t>ris</t>
  </si>
  <si>
    <t>isc</t>
  </si>
  <si>
    <t>app</t>
  </si>
  <si>
    <t>aps</t>
  </si>
  <si>
    <t>cpp</t>
  </si>
  <si>
    <t>cps</t>
  </si>
  <si>
    <t>rcp</t>
  </si>
  <si>
    <t>mpp</t>
  </si>
  <si>
    <t>mps</t>
  </si>
  <si>
    <t>rom</t>
  </si>
  <si>
    <t>nfc</t>
  </si>
  <si>
    <t>ral</t>
  </si>
  <si>
    <t>a-ral_0</t>
  </si>
  <si>
    <t>c-ral_0</t>
  </si>
  <si>
    <t>c-kfr_0</t>
  </si>
  <si>
    <t>c-nfr_0</t>
  </si>
  <si>
    <t>c-pfr_0</t>
  </si>
  <si>
    <t>c-xch_0</t>
  </si>
  <si>
    <t>c-alu</t>
  </si>
  <si>
    <t>c-cop</t>
  </si>
  <si>
    <t>c-mto</t>
  </si>
  <si>
    <t>Aluminium</t>
  </si>
  <si>
    <t>Copper</t>
  </si>
  <si>
    <t>Non-ferrous metals casting</t>
  </si>
  <si>
    <t>Plastics</t>
  </si>
  <si>
    <t>Other mon-metal minerals</t>
  </si>
  <si>
    <t>c-plt</t>
  </si>
  <si>
    <t>Non-metallic minerals</t>
  </si>
  <si>
    <t xml:space="preserve"> Iron ores           </t>
  </si>
  <si>
    <t xml:space="preserve"> Bauxite ores        </t>
  </si>
  <si>
    <t xml:space="preserve"> Copper ores         </t>
  </si>
  <si>
    <t xml:space="preserve"> Other ores          </t>
  </si>
  <si>
    <t>kfr</t>
  </si>
  <si>
    <t>nfr</t>
  </si>
  <si>
    <t>pfr</t>
  </si>
  <si>
    <t>xch</t>
  </si>
  <si>
    <t>nmn</t>
  </si>
  <si>
    <t>GTAPVersion</t>
  </si>
  <si>
    <t>GAPVersion</t>
  </si>
  <si>
    <t>GTAPData11ce</t>
  </si>
  <si>
    <t>BaseYear</t>
  </si>
  <si>
    <t>care_hht</t>
  </si>
  <si>
    <t>c-care</t>
  </si>
  <si>
    <t>Care economy</t>
  </si>
  <si>
    <t>a-care</t>
  </si>
  <si>
    <t>f-f_tech_aspros_rest</t>
  </si>
  <si>
    <t>f-f_service_shop_rest</t>
  </si>
  <si>
    <t>f-f_off_mgr_pros_rest</t>
  </si>
  <si>
    <t>f-f_ag_othlowsk_rest</t>
  </si>
  <si>
    <t>f-f_clerks_rest</t>
  </si>
  <si>
    <t>f-f_skl_rest</t>
  </si>
  <si>
    <t>f-f_nsk_rest</t>
  </si>
  <si>
    <t>f-f_tech_aspros_care</t>
  </si>
  <si>
    <t>f-f_service_shop_care</t>
  </si>
  <si>
    <t>f-f_off_mgr_pros_care</t>
  </si>
  <si>
    <t>f-f_ag_othlowsk_care</t>
  </si>
  <si>
    <t>f-f_clerks_care</t>
  </si>
  <si>
    <t>f-f_skl_care</t>
  </si>
  <si>
    <t>f-f_nsk_care</t>
  </si>
  <si>
    <t>a-care_0</t>
  </si>
  <si>
    <t>c-care_0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</si>
</sst>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rgb="FF007400"/>
      <name val="Consolas"/>
      <family val="3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6"/>
      <name val="Calibri"/>
      <family val="2"/>
      <scheme val="minor"/>
    </font>
    <font>
      <b/>
      <sz val="22"/>
      <name val="Cambria"/>
      <family val="2"/>
      <scheme val="major"/>
    </font>
    <font>
      <sz val="11"/>
      <color theme="3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onsolas"/>
      <family val="3"/>
    </font>
    <font>
      <sz val="11"/>
      <color theme="9" tint="-0.49998474074526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8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7" borderId="0" applyNumberFormat="0" applyAlignment="0" applyProtection="0">
      <alignment vertical="center"/>
    </xf>
    <xf numFmtId="0" fontId="14" fillId="0" borderId="0" applyNumberFormat="0" applyAlignment="0" applyProtection="0"/>
    <xf numFmtId="0" fontId="13" fillId="0" borderId="1" applyNumberFormat="0" applyAlignment="0" applyProtection="0"/>
    <xf numFmtId="0" fontId="11" fillId="14" borderId="0" applyNumberFormat="0" applyAlignment="0" applyProtection="0">
      <alignment vertical="center"/>
    </xf>
    <xf numFmtId="0" fontId="20" fillId="0" borderId="0" applyNumberFormat="0" applyAlignment="0" applyProtection="0">
      <alignment vertical="center"/>
    </xf>
    <xf numFmtId="0" fontId="1" fillId="16" borderId="0" applyNumberFormat="0" applyAlignment="0" applyProtection="0">
      <alignment vertical="center"/>
    </xf>
    <xf numFmtId="0" fontId="15" fillId="3" borderId="0" applyNumberFormat="0" applyBorder="0" applyAlignment="0" applyProtection="0"/>
    <xf numFmtId="0" fontId="18" fillId="0" borderId="0" applyNumberFormat="0" applyAlignment="0" applyProtection="0"/>
    <xf numFmtId="0" fontId="13" fillId="15" borderId="0" applyNumberFormat="0" applyAlignment="0" applyProtection="0">
      <alignment vertical="center"/>
    </xf>
    <xf numFmtId="0" fontId="13" fillId="0" borderId="2" applyNumberFormat="0" applyAlignment="0" applyProtection="0"/>
    <xf numFmtId="0" fontId="16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0" borderId="0" applyNumberFormat="0" applyAlignment="0" applyProtection="0">
      <alignment vertical="center"/>
    </xf>
    <xf numFmtId="0" fontId="21" fillId="0" borderId="0" applyNumberFormat="0" applyAlignment="0" applyProtection="0">
      <alignment vertical="center"/>
    </xf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right"/>
    </xf>
    <xf numFmtId="11" fontId="0" fillId="0" borderId="0" xfId="0" applyNumberForma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43" fontId="0" fillId="0" borderId="0" xfId="0" applyNumberFormat="1"/>
    <xf numFmtId="0" fontId="10" fillId="0" borderId="0" xfId="0" applyFont="1" applyAlignment="1">
      <alignment vertical="center"/>
    </xf>
    <xf numFmtId="0" fontId="0" fillId="4" borderId="0" xfId="0" applyFill="1"/>
    <xf numFmtId="0" fontId="1" fillId="5" borderId="0" xfId="4"/>
    <xf numFmtId="0" fontId="1" fillId="5" borderId="0" xfId="4" applyAlignment="1">
      <alignment horizontal="right"/>
    </xf>
    <xf numFmtId="0" fontId="1" fillId="5" borderId="0" xfId="4" applyAlignment="1">
      <alignment vertical="center"/>
    </xf>
    <xf numFmtId="0" fontId="1" fillId="6" borderId="0" xfId="5"/>
    <xf numFmtId="0" fontId="1" fillId="7" borderId="0" xfId="6" applyAlignment="1">
      <alignment horizontal="left"/>
    </xf>
    <xf numFmtId="2" fontId="1" fillId="7" borderId="0" xfId="6" applyNumberFormat="1"/>
    <xf numFmtId="0" fontId="1" fillId="7" borderId="0" xfId="6"/>
    <xf numFmtId="0" fontId="1" fillId="7" borderId="0" xfId="6" applyAlignment="1">
      <alignment horizontal="right"/>
    </xf>
    <xf numFmtId="0" fontId="1" fillId="8" borderId="0" xfId="7" applyAlignment="1">
      <alignment horizontal="left"/>
    </xf>
    <xf numFmtId="0" fontId="1" fillId="8" borderId="0" xfId="7"/>
    <xf numFmtId="0" fontId="1" fillId="8" borderId="0" xfId="7" applyAlignment="1">
      <alignment horizontal="right"/>
    </xf>
    <xf numFmtId="0" fontId="1" fillId="9" borderId="0" xfId="8"/>
    <xf numFmtId="0" fontId="1" fillId="9" borderId="0" xfId="8" applyAlignment="1">
      <alignment vertical="center"/>
    </xf>
    <xf numFmtId="0" fontId="1" fillId="10" borderId="0" xfId="9"/>
    <xf numFmtId="0" fontId="1" fillId="11" borderId="0" xfId="10"/>
    <xf numFmtId="165" fontId="1" fillId="11" borderId="0" xfId="10" applyNumberFormat="1"/>
    <xf numFmtId="164" fontId="1" fillId="11" borderId="0" xfId="10" applyNumberFormat="1"/>
    <xf numFmtId="11" fontId="1" fillId="11" borderId="0" xfId="10" applyNumberFormat="1"/>
    <xf numFmtId="0" fontId="16" fillId="0" borderId="0" xfId="0" applyFont="1"/>
    <xf numFmtId="0" fontId="16" fillId="18" borderId="0" xfId="3" applyFont="1" applyFill="1"/>
    <xf numFmtId="0" fontId="0" fillId="18" borderId="0" xfId="0" applyFill="1"/>
    <xf numFmtId="0" fontId="1" fillId="5" borderId="0" xfId="4" quotePrefix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23" fillId="2" borderId="0" xfId="0" applyFont="1" applyFill="1"/>
    <xf numFmtId="0" fontId="16" fillId="2" borderId="0" xfId="0" applyFont="1" applyFill="1"/>
    <xf numFmtId="0" fontId="24" fillId="22" borderId="0" xfId="0" applyFont="1" applyFill="1"/>
    <xf numFmtId="0" fontId="16" fillId="22" borderId="0" xfId="0" applyFont="1" applyFill="1"/>
    <xf numFmtId="0" fontId="16" fillId="20" borderId="0" xfId="0" applyFont="1" applyFill="1"/>
    <xf numFmtId="0" fontId="25" fillId="20" borderId="0" xfId="0" applyFont="1" applyFill="1"/>
    <xf numFmtId="0" fontId="24" fillId="20" borderId="0" xfId="0" applyFont="1" applyFill="1"/>
    <xf numFmtId="0" fontId="12" fillId="20" borderId="0" xfId="0" applyFont="1" applyFill="1"/>
    <xf numFmtId="0" fontId="16" fillId="23" borderId="0" xfId="0" applyFont="1" applyFill="1"/>
    <xf numFmtId="0" fontId="0" fillId="24" borderId="0" xfId="0" applyFill="1"/>
    <xf numFmtId="0" fontId="0" fillId="25" borderId="0" xfId="0" applyFill="1"/>
    <xf numFmtId="0" fontId="16" fillId="25" borderId="0" xfId="0" applyFont="1" applyFill="1"/>
    <xf numFmtId="0" fontId="0" fillId="26" borderId="0" xfId="0" applyFill="1"/>
    <xf numFmtId="0" fontId="0" fillId="27" borderId="0" xfId="0" applyFill="1"/>
    <xf numFmtId="0" fontId="12" fillId="19" borderId="0" xfId="0" applyFont="1" applyFill="1"/>
    <xf numFmtId="0" fontId="25" fillId="19" borderId="0" xfId="0" applyFont="1" applyFill="1"/>
    <xf numFmtId="0" fontId="24" fillId="21" borderId="0" xfId="0" applyFont="1" applyFill="1"/>
    <xf numFmtId="0" fontId="12" fillId="21" borderId="0" xfId="0" applyFont="1" applyFill="1"/>
    <xf numFmtId="0" fontId="25" fillId="21" borderId="0" xfId="0" applyFont="1" applyFill="1"/>
    <xf numFmtId="0" fontId="24" fillId="24" borderId="0" xfId="0" applyFont="1" applyFill="1"/>
    <xf numFmtId="0" fontId="12" fillId="24" borderId="0" xfId="0" applyFont="1" applyFill="1"/>
    <xf numFmtId="0" fontId="25" fillId="24" borderId="0" xfId="0" applyFont="1" applyFill="1"/>
    <xf numFmtId="0" fontId="0" fillId="28" borderId="0" xfId="0" applyFill="1"/>
    <xf numFmtId="0" fontId="12" fillId="28" borderId="0" xfId="0" applyFont="1" applyFill="1"/>
    <xf numFmtId="0" fontId="25" fillId="28" borderId="0" xfId="0" applyFont="1" applyFill="1"/>
    <xf numFmtId="0" fontId="0" fillId="29" borderId="0" xfId="0" applyFill="1"/>
    <xf numFmtId="0" fontId="0" fillId="30" borderId="0" xfId="0" applyFill="1"/>
    <xf numFmtId="0" fontId="12" fillId="31" borderId="0" xfId="0" applyFont="1" applyFill="1"/>
    <xf numFmtId="0" fontId="16" fillId="31" borderId="0" xfId="0" applyFont="1" applyFill="1"/>
    <xf numFmtId="0" fontId="26" fillId="28" borderId="0" xfId="0" applyFont="1" applyFill="1"/>
    <xf numFmtId="0" fontId="16" fillId="28" borderId="0" xfId="0" applyFont="1" applyFill="1"/>
    <xf numFmtId="0" fontId="0" fillId="32" borderId="0" xfId="0" applyFill="1"/>
    <xf numFmtId="0" fontId="26" fillId="32" borderId="0" xfId="0" applyFont="1" applyFill="1"/>
    <xf numFmtId="0" fontId="10" fillId="0" borderId="0" xfId="0" quotePrefix="1" applyFont="1" applyAlignment="1">
      <alignment vertical="center"/>
    </xf>
    <xf numFmtId="0" fontId="0" fillId="33" borderId="0" xfId="0" applyFill="1"/>
    <xf numFmtId="0" fontId="0" fillId="34" borderId="0" xfId="0" applyFill="1"/>
    <xf numFmtId="166" fontId="0" fillId="34" borderId="0" xfId="0" applyNumberFormat="1" applyFill="1"/>
    <xf numFmtId="166" fontId="0" fillId="24" borderId="0" xfId="0" applyNumberFormat="1" applyFill="1"/>
    <xf numFmtId="0" fontId="0" fillId="35" borderId="0" xfId="0" applyFill="1"/>
    <xf numFmtId="166" fontId="0" fillId="36" borderId="0" xfId="0" applyNumberForma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23" borderId="0" xfId="0" applyFill="1"/>
    <xf numFmtId="0" fontId="0" fillId="31" borderId="0" xfId="0" applyFill="1"/>
    <xf numFmtId="0" fontId="0" fillId="21" borderId="0" xfId="0" quotePrefix="1" applyFill="1"/>
    <xf numFmtId="0" fontId="0" fillId="41" borderId="0" xfId="0" quotePrefix="1" applyFill="1"/>
    <xf numFmtId="0" fontId="0" fillId="41" borderId="0" xfId="0" applyFill="1"/>
    <xf numFmtId="166" fontId="0" fillId="2" borderId="0" xfId="0" applyNumberFormat="1" applyFill="1"/>
    <xf numFmtId="0" fontId="12" fillId="41" borderId="0" xfId="0" applyFont="1" applyFill="1"/>
    <xf numFmtId="0" fontId="25" fillId="41" borderId="0" xfId="0" applyFont="1" applyFill="1"/>
    <xf numFmtId="0" fontId="0" fillId="22" borderId="0" xfId="0" applyFill="1"/>
    <xf numFmtId="0" fontId="0" fillId="0" borderId="0" xfId="0" applyAlignment="1">
      <alignment vertical="top" wrapText="1"/>
    </xf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2" borderId="0" xfId="0" quotePrefix="1" applyFill="1"/>
    <xf numFmtId="0" fontId="0" fillId="44" borderId="0" xfId="0" quotePrefix="1" applyFill="1"/>
    <xf numFmtId="4" fontId="0" fillId="45" borderId="0" xfId="1" applyNumberFormat="1" applyFont="1" applyFill="1"/>
    <xf numFmtId="4" fontId="0" fillId="24" borderId="0" xfId="1" applyNumberFormat="1" applyFont="1" applyFill="1"/>
    <xf numFmtId="0" fontId="0" fillId="39" borderId="0" xfId="0" quotePrefix="1" applyFill="1"/>
    <xf numFmtId="0" fontId="22" fillId="0" borderId="0" xfId="0" quotePrefix="1" applyFont="1" applyAlignment="1">
      <alignment vertical="center"/>
    </xf>
    <xf numFmtId="0" fontId="16" fillId="0" borderId="0" xfId="0" quotePrefix="1" applyFont="1"/>
    <xf numFmtId="4" fontId="0" fillId="0" borderId="0" xfId="1" quotePrefix="1" applyNumberFormat="1" applyFont="1"/>
    <xf numFmtId="0" fontId="16" fillId="37" borderId="0" xfId="0" applyFont="1" applyFill="1"/>
    <xf numFmtId="0" fontId="0" fillId="17" borderId="0" xfId="0" applyFill="1"/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 vertical="top" wrapText="1"/>
    </xf>
  </cellXfs>
  <cellStyles count="29">
    <cellStyle name="20 % - Akzent1" xfId="4" builtinId="30"/>
    <cellStyle name="20 % - Akzent2" xfId="5" builtinId="34"/>
    <cellStyle name="20 % - Akzent3" xfId="7" builtinId="38"/>
    <cellStyle name="20 % - Akzent4" xfId="8" builtinId="42"/>
    <cellStyle name="20 % - Akzent5" xfId="9" builtinId="46"/>
    <cellStyle name="20 % - Akzent6" xfId="10" builtinId="50"/>
    <cellStyle name="40 % - Akzent2" xfId="6" builtinId="35"/>
    <cellStyle name="Accent4 2" xfId="25" xr:uid="{00000000-0005-0000-0000-000007000000}"/>
    <cellStyle name="Accent6 2" xfId="26" xr:uid="{00000000-0005-0000-0000-000008000000}"/>
    <cellStyle name="Bad 2" xfId="17" xr:uid="{00000000-0005-0000-0000-000009000000}"/>
    <cellStyle name="Calculation 2" xfId="21" xr:uid="{00000000-0005-0000-0000-00000A000000}"/>
    <cellStyle name="Comma 2" xfId="28" xr:uid="{00000000-0005-0000-0000-00000B000000}"/>
    <cellStyle name="Comma 3" xfId="27" xr:uid="{00000000-0005-0000-0000-00000C000000}"/>
    <cellStyle name="Heading 1 2" xfId="12" xr:uid="{00000000-0005-0000-0000-00000D000000}"/>
    <cellStyle name="Heading 2 2" xfId="13" xr:uid="{00000000-0005-0000-0000-00000E000000}"/>
    <cellStyle name="Heading 3 2" xfId="14" xr:uid="{00000000-0005-0000-0000-00000F000000}"/>
    <cellStyle name="Heading 4 2" xfId="19" xr:uid="{00000000-0005-0000-0000-000010000000}"/>
    <cellStyle name="Komma" xfId="1" builtinId="3"/>
    <cellStyle name="Link" xfId="22" xr:uid="{00000000-0005-0000-0000-000012000000}"/>
    <cellStyle name="Normal 2" xfId="2" xr:uid="{00000000-0005-0000-0000-000013000000}"/>
    <cellStyle name="Notes" xfId="24" xr:uid="{00000000-0005-0000-0000-000014000000}"/>
    <cellStyle name="Output 2" xfId="11" xr:uid="{00000000-0005-0000-0000-000015000000}"/>
    <cellStyle name="Raw Data" xfId="15" xr:uid="{00000000-0005-0000-0000-000017000000}"/>
    <cellStyle name="Schlecht" xfId="3" builtinId="27"/>
    <cellStyle name="Standard" xfId="0" builtinId="0"/>
    <cellStyle name="Title 2" xfId="18" xr:uid="{00000000-0005-0000-0000-00001A000000}"/>
    <cellStyle name="Total 2" xfId="20" xr:uid="{00000000-0005-0000-0000-00001B000000}"/>
    <cellStyle name="Variables" xfId="16" xr:uid="{00000000-0005-0000-0000-00001C000000}"/>
    <cellStyle name="Warning" xfId="23" xr:uid="{00000000-0005-0000-0000-00001D000000}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TableStyleMedium9" defaultPivotStyle="PivotStyleLight16">
    <tableStyle name="Firm Table 1" pivot="0" count="3" xr9:uid="{00000000-0011-0000-FFFF-FFFF00000000}">
      <tableStyleElement type="wholeTable" dxfId="17"/>
      <tableStyleElement type="headerRow" dxfId="16"/>
      <tableStyleElement type="firstColumn" dxfId="15"/>
    </tableStyle>
    <tableStyle name="Firm Table 2" pivot="0" count="2" xr9:uid="{00000000-0011-0000-FFFF-FFFF01000000}">
      <tableStyleElement type="headerRow" dxfId="14"/>
      <tableStyleElement type="firstColumn" dxfId="13"/>
    </tableStyle>
    <tableStyle name="Firm Table 3" pivot="0" count="2" xr9:uid="{00000000-0011-0000-FFFF-FFFF02000000}">
      <tableStyleElement type="headerRow" dxfId="12"/>
      <tableStyleElement type="firstColumn" dxfId="11"/>
    </tableStyle>
    <tableStyle name="Firm Table 4" pivot="0" count="3" xr9:uid="{00000000-0011-0000-FFFF-FFFF03000000}">
      <tableStyleElement type="wholeTable" dxfId="10"/>
      <tableStyleElement type="headerRow" dxfId="9"/>
      <tableStyleElement type="firstColumn" dxfId="8"/>
    </tableStyle>
    <tableStyle name="Firm Table 5" pivot="0" count="2" xr9:uid="{00000000-0011-0000-FFFF-FFFF04000000}">
      <tableStyleElement type="headerRow" dxfId="7"/>
      <tableStyleElement type="firstColumn" dxfId="6"/>
    </tableStyle>
    <tableStyle name="Firm Table 6" pivot="0" count="3" xr9:uid="{00000000-0011-0000-FFFF-FFFF05000000}">
      <tableStyleElement type="wholeTable" dxfId="5"/>
      <tableStyleElement type="headerRow" dxfId="4"/>
      <tableStyleElement type="firstColumn" dxfId="3"/>
    </tableStyle>
    <tableStyle name="Firm Table 7" pivot="0" count="3" xr9:uid="{00000000-0011-0000-FFFF-FFFF06000000}">
      <tableStyleElement type="headerRow" dxfId="2"/>
      <tableStyleElement type="firstColumn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7"/>
  <dimension ref="A1:V148"/>
  <sheetViews>
    <sheetView workbookViewId="0">
      <selection activeCell="C28" sqref="C28"/>
    </sheetView>
  </sheetViews>
  <sheetFormatPr baseColWidth="10" defaultColWidth="8.88671875" defaultRowHeight="14.4" x14ac:dyDescent="0.3"/>
  <cols>
    <col min="1" max="1" width="13.6640625" bestFit="1" customWidth="1"/>
    <col min="2" max="2" width="13.6640625" customWidth="1"/>
    <col min="3" max="3" width="56.88671875" customWidth="1"/>
    <col min="9" max="9" width="23" bestFit="1" customWidth="1"/>
    <col min="12" max="12" width="18.88671875" bestFit="1" customWidth="1"/>
    <col min="15" max="15" width="16.5546875" bestFit="1" customWidth="1"/>
    <col min="18" max="18" width="32" bestFit="1" customWidth="1"/>
  </cols>
  <sheetData>
    <row r="1" spans="1:22" x14ac:dyDescent="0.3">
      <c r="A1" t="s">
        <v>197</v>
      </c>
      <c r="D1" t="s">
        <v>198</v>
      </c>
      <c r="H1" t="s">
        <v>210</v>
      </c>
      <c r="K1" t="s">
        <v>211</v>
      </c>
      <c r="N1" t="s">
        <v>212</v>
      </c>
      <c r="Q1" t="s">
        <v>213</v>
      </c>
    </row>
    <row r="2" spans="1:22" x14ac:dyDescent="0.3">
      <c r="A2" s="18" t="s">
        <v>234</v>
      </c>
      <c r="B2" s="18" t="s">
        <v>297</v>
      </c>
      <c r="D2" t="s">
        <v>238</v>
      </c>
      <c r="E2" s="18" t="s">
        <v>297</v>
      </c>
      <c r="H2" t="s">
        <v>165</v>
      </c>
      <c r="I2" t="s">
        <v>35</v>
      </c>
      <c r="K2" s="4" t="s">
        <v>180</v>
      </c>
      <c r="L2" t="s">
        <v>200</v>
      </c>
      <c r="N2" s="9" t="s">
        <v>166</v>
      </c>
      <c r="O2" t="s">
        <v>37</v>
      </c>
      <c r="Q2" t="s">
        <v>190</v>
      </c>
      <c r="R2" t="str">
        <f>+I2&amp;" factor tax"</f>
        <v>Land factor tax</v>
      </c>
      <c r="T2">
        <v>1</v>
      </c>
      <c r="U2" t="s">
        <v>43</v>
      </c>
      <c r="V2" t="s">
        <v>298</v>
      </c>
    </row>
    <row r="3" spans="1:22" x14ac:dyDescent="0.3">
      <c r="A3" s="18" t="s">
        <v>241</v>
      </c>
      <c r="B3" s="18" t="s">
        <v>334</v>
      </c>
      <c r="D3" t="s">
        <v>245</v>
      </c>
      <c r="E3" s="18" t="s">
        <v>334</v>
      </c>
      <c r="H3" t="s">
        <v>362</v>
      </c>
      <c r="I3" t="s">
        <v>367</v>
      </c>
      <c r="K3" t="s">
        <v>181</v>
      </c>
      <c r="L3" t="s">
        <v>201</v>
      </c>
      <c r="N3" s="4" t="s">
        <v>132</v>
      </c>
      <c r="O3" t="s">
        <v>2</v>
      </c>
      <c r="Q3" t="s">
        <v>360</v>
      </c>
      <c r="R3" t="str">
        <f>+I3&amp;" factor tax"</f>
        <v>Skilled formal Labor factor tax</v>
      </c>
      <c r="T3">
        <v>2</v>
      </c>
      <c r="U3" t="s">
        <v>47</v>
      </c>
      <c r="V3" t="s">
        <v>299</v>
      </c>
    </row>
    <row r="4" spans="1:22" x14ac:dyDescent="0.3">
      <c r="A4" s="18" t="s">
        <v>247</v>
      </c>
      <c r="B4" s="18" t="s">
        <v>230</v>
      </c>
      <c r="D4" t="s">
        <v>142</v>
      </c>
      <c r="E4" s="18" t="s">
        <v>230</v>
      </c>
      <c r="H4" t="s">
        <v>363</v>
      </c>
      <c r="I4" t="s">
        <v>368</v>
      </c>
      <c r="K4" t="s">
        <v>182</v>
      </c>
      <c r="L4" t="s">
        <v>202</v>
      </c>
      <c r="N4" s="4" t="s">
        <v>171</v>
      </c>
      <c r="O4" t="s">
        <v>112</v>
      </c>
      <c r="Q4" t="s">
        <v>361</v>
      </c>
      <c r="R4" t="str">
        <f>+I4&amp;" factor tax"</f>
        <v>Unskilled formal Labor factor tax</v>
      </c>
      <c r="T4">
        <v>3</v>
      </c>
      <c r="U4" t="s">
        <v>48</v>
      </c>
      <c r="V4" t="s">
        <v>300</v>
      </c>
    </row>
    <row r="5" spans="1:22" x14ac:dyDescent="0.3">
      <c r="A5" s="18" t="s">
        <v>235</v>
      </c>
      <c r="B5" t="s">
        <v>311</v>
      </c>
      <c r="D5" t="s">
        <v>239</v>
      </c>
      <c r="E5" t="s">
        <v>311</v>
      </c>
      <c r="H5" t="s">
        <v>364</v>
      </c>
      <c r="I5" t="s">
        <v>199</v>
      </c>
      <c r="K5" t="s">
        <v>183</v>
      </c>
      <c r="L5" t="s">
        <v>203</v>
      </c>
      <c r="Q5" t="s">
        <v>191</v>
      </c>
      <c r="R5" t="str">
        <f>+I6&amp;" factor tax"</f>
        <v>Capital factor tax</v>
      </c>
      <c r="T5">
        <v>4</v>
      </c>
      <c r="U5" t="s">
        <v>49</v>
      </c>
      <c r="V5" t="s">
        <v>301</v>
      </c>
    </row>
    <row r="6" spans="1:22" x14ac:dyDescent="0.3">
      <c r="A6" s="18" t="s">
        <v>242</v>
      </c>
      <c r="B6" t="s">
        <v>312</v>
      </c>
      <c r="D6" t="s">
        <v>246</v>
      </c>
      <c r="E6" t="s">
        <v>312</v>
      </c>
      <c r="H6" s="4" t="s">
        <v>167</v>
      </c>
      <c r="I6" t="s">
        <v>1</v>
      </c>
      <c r="K6" t="s">
        <v>184</v>
      </c>
      <c r="L6" t="s">
        <v>204</v>
      </c>
      <c r="Q6" t="s">
        <v>192</v>
      </c>
      <c r="R6" t="str">
        <f>+I7&amp;" factor tax"</f>
        <v>Natural Resources factor tax</v>
      </c>
      <c r="T6">
        <v>5</v>
      </c>
      <c r="U6" t="s">
        <v>50</v>
      </c>
      <c r="V6" t="s">
        <v>302</v>
      </c>
    </row>
    <row r="7" spans="1:22" x14ac:dyDescent="0.3">
      <c r="A7" s="18" t="s">
        <v>248</v>
      </c>
      <c r="B7" t="s">
        <v>313</v>
      </c>
      <c r="D7" t="s">
        <v>143</v>
      </c>
      <c r="E7" t="s">
        <v>313</v>
      </c>
      <c r="H7" s="21" t="s">
        <v>365</v>
      </c>
      <c r="I7" t="s">
        <v>366</v>
      </c>
      <c r="K7" t="s">
        <v>185</v>
      </c>
      <c r="L7" t="s">
        <v>205</v>
      </c>
      <c r="Q7" t="s">
        <v>168</v>
      </c>
      <c r="R7" t="s">
        <v>38</v>
      </c>
      <c r="T7">
        <v>6</v>
      </c>
      <c r="U7" t="s">
        <v>134</v>
      </c>
      <c r="V7" t="s">
        <v>303</v>
      </c>
    </row>
    <row r="8" spans="1:22" x14ac:dyDescent="0.3">
      <c r="A8" s="18" t="s">
        <v>251</v>
      </c>
      <c r="B8" t="s">
        <v>335</v>
      </c>
      <c r="D8" t="s">
        <v>144</v>
      </c>
      <c r="E8" t="s">
        <v>335</v>
      </c>
      <c r="K8" t="s">
        <v>186</v>
      </c>
      <c r="L8" t="s">
        <v>206</v>
      </c>
      <c r="Q8" t="s">
        <v>169</v>
      </c>
      <c r="R8" t="s">
        <v>214</v>
      </c>
      <c r="T8">
        <v>7</v>
      </c>
      <c r="U8" t="s">
        <v>51</v>
      </c>
      <c r="V8" t="s">
        <v>304</v>
      </c>
    </row>
    <row r="9" spans="1:22" x14ac:dyDescent="0.3">
      <c r="A9" s="18" t="s">
        <v>255</v>
      </c>
      <c r="B9" t="s">
        <v>336</v>
      </c>
      <c r="D9" t="s">
        <v>173</v>
      </c>
      <c r="E9" t="s">
        <v>336</v>
      </c>
      <c r="K9" s="9" t="s">
        <v>187</v>
      </c>
      <c r="L9" t="s">
        <v>207</v>
      </c>
      <c r="Q9" t="s">
        <v>170</v>
      </c>
      <c r="R9" t="s">
        <v>215</v>
      </c>
      <c r="T9">
        <v>8</v>
      </c>
      <c r="U9" t="s">
        <v>52</v>
      </c>
      <c r="V9" t="s">
        <v>305</v>
      </c>
    </row>
    <row r="10" spans="1:22" x14ac:dyDescent="0.3">
      <c r="A10" s="18" t="s">
        <v>258</v>
      </c>
      <c r="B10" t="s">
        <v>314</v>
      </c>
      <c r="D10" t="s">
        <v>145</v>
      </c>
      <c r="E10" t="s">
        <v>314</v>
      </c>
      <c r="K10" s="9" t="s">
        <v>188</v>
      </c>
      <c r="L10" t="s">
        <v>208</v>
      </c>
      <c r="Q10" t="s">
        <v>176</v>
      </c>
      <c r="R10" t="s">
        <v>216</v>
      </c>
      <c r="T10">
        <v>9</v>
      </c>
      <c r="U10" t="s">
        <v>53</v>
      </c>
      <c r="V10" t="s">
        <v>306</v>
      </c>
    </row>
    <row r="11" spans="1:22" x14ac:dyDescent="0.3">
      <c r="A11" s="18" t="s">
        <v>261</v>
      </c>
      <c r="B11" t="s">
        <v>224</v>
      </c>
      <c r="D11" t="s">
        <v>146</v>
      </c>
      <c r="E11" t="s">
        <v>224</v>
      </c>
      <c r="K11" s="9" t="s">
        <v>189</v>
      </c>
      <c r="L11" t="s">
        <v>209</v>
      </c>
      <c r="Q11" t="s">
        <v>177</v>
      </c>
      <c r="R11" t="s">
        <v>217</v>
      </c>
      <c r="T11">
        <v>10</v>
      </c>
      <c r="U11" t="s">
        <v>54</v>
      </c>
      <c r="V11" t="s">
        <v>307</v>
      </c>
    </row>
    <row r="12" spans="1:22" x14ac:dyDescent="0.3">
      <c r="A12" s="18" t="s">
        <v>264</v>
      </c>
      <c r="B12" t="s">
        <v>337</v>
      </c>
      <c r="D12" t="s">
        <v>174</v>
      </c>
      <c r="E12" t="s">
        <v>337</v>
      </c>
      <c r="T12">
        <v>11</v>
      </c>
      <c r="U12" t="s">
        <v>55</v>
      </c>
      <c r="V12" t="s">
        <v>308</v>
      </c>
    </row>
    <row r="13" spans="1:22" x14ac:dyDescent="0.3">
      <c r="A13" s="18" t="s">
        <v>253</v>
      </c>
      <c r="B13" t="s">
        <v>315</v>
      </c>
      <c r="D13" t="s">
        <v>147</v>
      </c>
      <c r="E13" t="s">
        <v>315</v>
      </c>
      <c r="T13">
        <v>12</v>
      </c>
      <c r="U13" t="s">
        <v>56</v>
      </c>
      <c r="V13" t="s">
        <v>309</v>
      </c>
    </row>
    <row r="14" spans="1:22" x14ac:dyDescent="0.3">
      <c r="A14" s="18" t="s">
        <v>267</v>
      </c>
      <c r="B14" t="s">
        <v>316</v>
      </c>
      <c r="D14" t="s">
        <v>148</v>
      </c>
      <c r="E14" t="s">
        <v>316</v>
      </c>
      <c r="T14">
        <v>13</v>
      </c>
      <c r="U14" t="s">
        <v>57</v>
      </c>
      <c r="V14" t="s">
        <v>230</v>
      </c>
    </row>
    <row r="15" spans="1:22" x14ac:dyDescent="0.3">
      <c r="A15" s="18" t="s">
        <v>269</v>
      </c>
      <c r="B15" t="s">
        <v>317</v>
      </c>
      <c r="D15" t="s">
        <v>149</v>
      </c>
      <c r="E15" t="s">
        <v>317</v>
      </c>
      <c r="T15">
        <v>14</v>
      </c>
      <c r="U15" t="s">
        <v>58</v>
      </c>
      <c r="V15" t="s">
        <v>310</v>
      </c>
    </row>
    <row r="16" spans="1:22" x14ac:dyDescent="0.3">
      <c r="A16" s="18" t="s">
        <v>369</v>
      </c>
      <c r="B16" t="s">
        <v>318</v>
      </c>
      <c r="D16" t="s">
        <v>370</v>
      </c>
      <c r="E16" t="s">
        <v>318</v>
      </c>
      <c r="T16">
        <v>15</v>
      </c>
      <c r="U16" t="s">
        <v>42</v>
      </c>
    </row>
    <row r="17" spans="1:21" x14ac:dyDescent="0.3">
      <c r="A17" s="18" t="s">
        <v>272</v>
      </c>
      <c r="B17" t="s">
        <v>319</v>
      </c>
      <c r="D17" t="s">
        <v>273</v>
      </c>
      <c r="E17" t="s">
        <v>319</v>
      </c>
      <c r="T17">
        <v>16</v>
      </c>
      <c r="U17" t="s">
        <v>59</v>
      </c>
    </row>
    <row r="18" spans="1:21" x14ac:dyDescent="0.3">
      <c r="A18" s="18" t="s">
        <v>274</v>
      </c>
      <c r="B18" t="s">
        <v>320</v>
      </c>
      <c r="D18" t="s">
        <v>275</v>
      </c>
      <c r="E18" t="s">
        <v>320</v>
      </c>
      <c r="T18">
        <v>17</v>
      </c>
      <c r="U18" t="s">
        <v>44</v>
      </c>
    </row>
    <row r="19" spans="1:21" x14ac:dyDescent="0.3">
      <c r="A19" s="18" t="s">
        <v>276</v>
      </c>
      <c r="B19" t="s">
        <v>321</v>
      </c>
      <c r="D19" t="s">
        <v>277</v>
      </c>
      <c r="E19" t="s">
        <v>321</v>
      </c>
      <c r="T19">
        <v>18</v>
      </c>
      <c r="U19" t="s">
        <v>226</v>
      </c>
    </row>
    <row r="20" spans="1:21" x14ac:dyDescent="0.3">
      <c r="A20" s="18" t="s">
        <v>278</v>
      </c>
      <c r="B20" t="s">
        <v>338</v>
      </c>
      <c r="D20" t="s">
        <v>279</v>
      </c>
      <c r="E20" t="s">
        <v>338</v>
      </c>
      <c r="T20">
        <v>19</v>
      </c>
      <c r="U20" t="s">
        <v>60</v>
      </c>
    </row>
    <row r="21" spans="1:21" x14ac:dyDescent="0.3">
      <c r="A21" s="18" t="s">
        <v>280</v>
      </c>
      <c r="B21" t="s">
        <v>322</v>
      </c>
      <c r="D21" t="s">
        <v>281</v>
      </c>
      <c r="E21" t="s">
        <v>322</v>
      </c>
      <c r="T21">
        <v>20</v>
      </c>
      <c r="U21" t="s">
        <v>61</v>
      </c>
    </row>
    <row r="22" spans="1:21" x14ac:dyDescent="0.3">
      <c r="A22" s="18" t="s">
        <v>282</v>
      </c>
      <c r="B22" t="s">
        <v>323</v>
      </c>
      <c r="D22" t="s">
        <v>150</v>
      </c>
      <c r="E22" t="s">
        <v>323</v>
      </c>
      <c r="T22">
        <v>21</v>
      </c>
      <c r="U22" t="s">
        <v>62</v>
      </c>
    </row>
    <row r="23" spans="1:21" x14ac:dyDescent="0.3">
      <c r="A23" s="18" t="s">
        <v>283</v>
      </c>
      <c r="B23" t="s">
        <v>339</v>
      </c>
      <c r="D23" t="s">
        <v>284</v>
      </c>
      <c r="E23" t="s">
        <v>339</v>
      </c>
      <c r="T23">
        <v>22</v>
      </c>
      <c r="U23" t="s">
        <v>63</v>
      </c>
    </row>
    <row r="24" spans="1:21" x14ac:dyDescent="0.3">
      <c r="A24" s="18" t="s">
        <v>237</v>
      </c>
      <c r="B24" t="s">
        <v>340</v>
      </c>
      <c r="D24" t="s">
        <v>172</v>
      </c>
      <c r="E24" t="s">
        <v>193</v>
      </c>
      <c r="T24">
        <v>23</v>
      </c>
      <c r="U24" t="s">
        <v>64</v>
      </c>
    </row>
    <row r="25" spans="1:21" x14ac:dyDescent="0.3">
      <c r="A25" s="18" t="s">
        <v>244</v>
      </c>
      <c r="B25" t="s">
        <v>341</v>
      </c>
      <c r="D25" t="s">
        <v>151</v>
      </c>
      <c r="E25" t="s">
        <v>348</v>
      </c>
      <c r="T25">
        <v>24</v>
      </c>
      <c r="U25" t="s">
        <v>65</v>
      </c>
    </row>
    <row r="26" spans="1:21" x14ac:dyDescent="0.3">
      <c r="A26" s="18" t="s">
        <v>250</v>
      </c>
      <c r="B26" t="s">
        <v>342</v>
      </c>
      <c r="D26" t="s">
        <v>152</v>
      </c>
      <c r="E26" t="s">
        <v>347</v>
      </c>
      <c r="T26">
        <v>25</v>
      </c>
      <c r="U26" t="s">
        <v>66</v>
      </c>
    </row>
    <row r="27" spans="1:21" x14ac:dyDescent="0.3">
      <c r="A27" s="18" t="s">
        <v>254</v>
      </c>
      <c r="B27" t="s">
        <v>343</v>
      </c>
      <c r="D27" t="s">
        <v>153</v>
      </c>
      <c r="E27" t="s">
        <v>194</v>
      </c>
      <c r="T27">
        <v>26</v>
      </c>
      <c r="U27" t="s">
        <v>67</v>
      </c>
    </row>
    <row r="28" spans="1:21" x14ac:dyDescent="0.3">
      <c r="A28" s="18" t="s">
        <v>257</v>
      </c>
      <c r="B28" t="s">
        <v>344</v>
      </c>
      <c r="D28" t="s">
        <v>154</v>
      </c>
      <c r="E28" t="s">
        <v>195</v>
      </c>
      <c r="T28">
        <v>27</v>
      </c>
      <c r="U28" t="s">
        <v>68</v>
      </c>
    </row>
    <row r="29" spans="1:21" x14ac:dyDescent="0.3">
      <c r="A29" s="18" t="s">
        <v>260</v>
      </c>
      <c r="B29" t="s">
        <v>345</v>
      </c>
      <c r="D29" t="s">
        <v>155</v>
      </c>
      <c r="E29" t="s">
        <v>325</v>
      </c>
      <c r="T29">
        <v>28</v>
      </c>
      <c r="U29" t="s">
        <v>69</v>
      </c>
    </row>
    <row r="30" spans="1:21" x14ac:dyDescent="0.3">
      <c r="A30" s="18" t="s">
        <v>263</v>
      </c>
      <c r="B30" t="s">
        <v>346</v>
      </c>
      <c r="D30" t="s">
        <v>156</v>
      </c>
      <c r="E30" t="s">
        <v>1175</v>
      </c>
      <c r="T30">
        <v>29</v>
      </c>
      <c r="U30" t="s">
        <v>70</v>
      </c>
    </row>
    <row r="31" spans="1:21" x14ac:dyDescent="0.3">
      <c r="A31" s="18" t="s">
        <v>285</v>
      </c>
      <c r="B31" t="s">
        <v>347</v>
      </c>
      <c r="D31" t="s">
        <v>1177</v>
      </c>
      <c r="E31" t="s">
        <v>1178</v>
      </c>
      <c r="T31">
        <v>30</v>
      </c>
      <c r="U31" t="s">
        <v>71</v>
      </c>
    </row>
    <row r="32" spans="1:21" x14ac:dyDescent="0.3">
      <c r="A32" s="18" t="s">
        <v>286</v>
      </c>
      <c r="B32" t="s">
        <v>194</v>
      </c>
      <c r="D32" t="s">
        <v>157</v>
      </c>
      <c r="E32" t="s">
        <v>326</v>
      </c>
      <c r="T32">
        <v>31</v>
      </c>
      <c r="U32" t="s">
        <v>72</v>
      </c>
    </row>
    <row r="33" spans="1:21" x14ac:dyDescent="0.3">
      <c r="A33" s="18" t="s">
        <v>236</v>
      </c>
      <c r="B33" t="s">
        <v>195</v>
      </c>
      <c r="D33" t="s">
        <v>158</v>
      </c>
      <c r="E33" t="s">
        <v>327</v>
      </c>
      <c r="T33">
        <v>32</v>
      </c>
      <c r="U33" t="s">
        <v>45</v>
      </c>
    </row>
    <row r="34" spans="1:21" x14ac:dyDescent="0.3">
      <c r="A34" s="18" t="s">
        <v>243</v>
      </c>
      <c r="B34" t="s">
        <v>325</v>
      </c>
      <c r="D34" t="s">
        <v>159</v>
      </c>
      <c r="E34" t="s">
        <v>328</v>
      </c>
      <c r="T34">
        <v>33</v>
      </c>
      <c r="U34" t="s">
        <v>227</v>
      </c>
    </row>
    <row r="35" spans="1:21" x14ac:dyDescent="0.3">
      <c r="A35" s="18" t="s">
        <v>249</v>
      </c>
      <c r="B35" t="s">
        <v>1175</v>
      </c>
      <c r="D35" s="5" t="s">
        <v>160</v>
      </c>
      <c r="E35" t="s">
        <v>329</v>
      </c>
      <c r="T35">
        <v>34</v>
      </c>
      <c r="U35" t="s">
        <v>228</v>
      </c>
    </row>
    <row r="36" spans="1:21" x14ac:dyDescent="0.3">
      <c r="A36" s="18" t="s">
        <v>1174</v>
      </c>
      <c r="B36" t="s">
        <v>1176</v>
      </c>
      <c r="D36" t="s">
        <v>161</v>
      </c>
      <c r="E36" t="s">
        <v>330</v>
      </c>
      <c r="T36">
        <v>35</v>
      </c>
      <c r="U36" t="s">
        <v>287</v>
      </c>
    </row>
    <row r="37" spans="1:21" x14ac:dyDescent="0.3">
      <c r="A37" s="18" t="s">
        <v>252</v>
      </c>
      <c r="B37" t="s">
        <v>326</v>
      </c>
      <c r="D37" t="s">
        <v>175</v>
      </c>
      <c r="E37" t="s">
        <v>331</v>
      </c>
      <c r="T37">
        <v>36</v>
      </c>
      <c r="U37" t="s">
        <v>73</v>
      </c>
    </row>
    <row r="38" spans="1:21" x14ac:dyDescent="0.3">
      <c r="A38" s="18" t="s">
        <v>256</v>
      </c>
      <c r="B38" t="s">
        <v>327</v>
      </c>
      <c r="D38" t="s">
        <v>162</v>
      </c>
      <c r="E38" t="s">
        <v>332</v>
      </c>
      <c r="T38">
        <v>37</v>
      </c>
      <c r="U38" t="s">
        <v>135</v>
      </c>
    </row>
    <row r="39" spans="1:21" x14ac:dyDescent="0.3">
      <c r="A39" s="18" t="s">
        <v>259</v>
      </c>
      <c r="B39" t="s">
        <v>328</v>
      </c>
      <c r="D39" t="s">
        <v>163</v>
      </c>
      <c r="E39" t="s">
        <v>196</v>
      </c>
      <c r="T39">
        <v>38</v>
      </c>
      <c r="U39" t="s">
        <v>74</v>
      </c>
    </row>
    <row r="40" spans="1:21" x14ac:dyDescent="0.3">
      <c r="A40" s="18" t="s">
        <v>262</v>
      </c>
      <c r="B40" t="s">
        <v>329</v>
      </c>
      <c r="D40" t="s">
        <v>164</v>
      </c>
      <c r="E40" t="s">
        <v>333</v>
      </c>
      <c r="T40">
        <v>39</v>
      </c>
      <c r="U40" t="s">
        <v>75</v>
      </c>
    </row>
    <row r="41" spans="1:21" x14ac:dyDescent="0.3">
      <c r="A41" s="18" t="s">
        <v>265</v>
      </c>
      <c r="B41" t="s">
        <v>330</v>
      </c>
      <c r="T41">
        <v>40</v>
      </c>
      <c r="U41" t="s">
        <v>78</v>
      </c>
    </row>
    <row r="42" spans="1:21" x14ac:dyDescent="0.3">
      <c r="A42" s="18" t="s">
        <v>266</v>
      </c>
      <c r="B42" t="s">
        <v>331</v>
      </c>
      <c r="T42">
        <v>41</v>
      </c>
      <c r="U42" t="s">
        <v>288</v>
      </c>
    </row>
    <row r="43" spans="1:21" x14ac:dyDescent="0.3">
      <c r="A43" s="18" t="s">
        <v>268</v>
      </c>
      <c r="B43" t="s">
        <v>332</v>
      </c>
      <c r="T43">
        <v>42</v>
      </c>
      <c r="U43" t="s">
        <v>79</v>
      </c>
    </row>
    <row r="44" spans="1:21" x14ac:dyDescent="0.3">
      <c r="A44" s="18" t="s">
        <v>270</v>
      </c>
      <c r="B44" t="s">
        <v>196</v>
      </c>
      <c r="T44">
        <v>43</v>
      </c>
      <c r="U44" t="s">
        <v>76</v>
      </c>
    </row>
    <row r="45" spans="1:21" x14ac:dyDescent="0.3">
      <c r="A45" s="18" t="s">
        <v>271</v>
      </c>
      <c r="B45" t="s">
        <v>333</v>
      </c>
      <c r="T45">
        <v>44</v>
      </c>
      <c r="U45" t="s">
        <v>77</v>
      </c>
    </row>
    <row r="46" spans="1:21" x14ac:dyDescent="0.3">
      <c r="A46" s="18"/>
      <c r="T46">
        <v>45</v>
      </c>
      <c r="U46" t="s">
        <v>80</v>
      </c>
    </row>
    <row r="47" spans="1:21" x14ac:dyDescent="0.3">
      <c r="A47" s="18"/>
      <c r="T47">
        <v>46</v>
      </c>
      <c r="U47" t="s">
        <v>324</v>
      </c>
    </row>
    <row r="48" spans="1:21" x14ac:dyDescent="0.3">
      <c r="A48" s="18"/>
      <c r="T48">
        <v>47</v>
      </c>
      <c r="U48" t="s">
        <v>46</v>
      </c>
    </row>
    <row r="49" spans="1:21" x14ac:dyDescent="0.3">
      <c r="A49" s="18"/>
      <c r="B49" s="18"/>
      <c r="T49">
        <v>48</v>
      </c>
      <c r="U49" t="s">
        <v>81</v>
      </c>
    </row>
    <row r="50" spans="1:21" x14ac:dyDescent="0.3">
      <c r="A50" s="18"/>
      <c r="B50" s="18"/>
      <c r="T50">
        <v>49</v>
      </c>
      <c r="U50" t="s">
        <v>82</v>
      </c>
    </row>
    <row r="51" spans="1:21" x14ac:dyDescent="0.3">
      <c r="A51" s="18"/>
      <c r="B51" s="18"/>
      <c r="T51">
        <v>50</v>
      </c>
      <c r="U51" t="s">
        <v>83</v>
      </c>
    </row>
    <row r="52" spans="1:21" x14ac:dyDescent="0.3">
      <c r="A52" s="18"/>
      <c r="B52" s="18"/>
      <c r="T52">
        <v>51</v>
      </c>
      <c r="U52" t="s">
        <v>289</v>
      </c>
    </row>
    <row r="53" spans="1:21" x14ac:dyDescent="0.3">
      <c r="A53" s="18"/>
      <c r="B53" s="18"/>
      <c r="T53">
        <v>52</v>
      </c>
      <c r="U53" t="s">
        <v>84</v>
      </c>
    </row>
    <row r="54" spans="1:21" x14ac:dyDescent="0.3">
      <c r="A54" s="18"/>
      <c r="B54" s="18"/>
      <c r="T54">
        <v>53</v>
      </c>
      <c r="U54" t="s">
        <v>85</v>
      </c>
    </row>
    <row r="55" spans="1:21" x14ac:dyDescent="0.3">
      <c r="A55" s="18"/>
      <c r="B55" s="18"/>
      <c r="T55">
        <v>54</v>
      </c>
      <c r="U55" t="s">
        <v>86</v>
      </c>
    </row>
    <row r="56" spans="1:21" x14ac:dyDescent="0.3">
      <c r="A56" s="18"/>
      <c r="B56" s="18"/>
      <c r="T56">
        <v>55</v>
      </c>
      <c r="U56" t="s">
        <v>290</v>
      </c>
    </row>
    <row r="57" spans="1:21" x14ac:dyDescent="0.3">
      <c r="A57" s="18"/>
      <c r="B57" s="18"/>
      <c r="T57">
        <v>56</v>
      </c>
      <c r="U57" t="s">
        <v>87</v>
      </c>
    </row>
    <row r="58" spans="1:21" x14ac:dyDescent="0.3">
      <c r="A58" s="18"/>
      <c r="B58" s="18"/>
      <c r="T58">
        <v>57</v>
      </c>
      <c r="U58" t="s">
        <v>88</v>
      </c>
    </row>
    <row r="59" spans="1:21" x14ac:dyDescent="0.3">
      <c r="A59" s="18"/>
      <c r="B59" s="18"/>
      <c r="T59">
        <v>58</v>
      </c>
      <c r="U59" t="s">
        <v>229</v>
      </c>
    </row>
    <row r="60" spans="1:21" x14ac:dyDescent="0.3">
      <c r="A60" s="18"/>
      <c r="B60" s="18"/>
      <c r="T60">
        <v>59</v>
      </c>
      <c r="U60" t="s">
        <v>291</v>
      </c>
    </row>
    <row r="61" spans="1:21" x14ac:dyDescent="0.3">
      <c r="A61" s="18"/>
      <c r="B61" s="18"/>
      <c r="T61">
        <v>60</v>
      </c>
      <c r="U61" t="s">
        <v>89</v>
      </c>
    </row>
    <row r="62" spans="1:21" x14ac:dyDescent="0.3">
      <c r="A62" s="18"/>
      <c r="B62" s="18"/>
      <c r="T62">
        <v>61</v>
      </c>
      <c r="U62" t="s">
        <v>90</v>
      </c>
    </row>
    <row r="63" spans="1:21" x14ac:dyDescent="0.3">
      <c r="A63" s="18"/>
      <c r="B63" s="18"/>
      <c r="T63">
        <v>62</v>
      </c>
      <c r="U63" t="s">
        <v>91</v>
      </c>
    </row>
    <row r="64" spans="1:21" x14ac:dyDescent="0.3">
      <c r="A64" s="18"/>
      <c r="B64" s="18"/>
      <c r="T64">
        <v>63</v>
      </c>
      <c r="U64" t="s">
        <v>292</v>
      </c>
    </row>
    <row r="65" spans="1:21" x14ac:dyDescent="0.3">
      <c r="A65" s="18"/>
      <c r="B65" s="18"/>
      <c r="T65">
        <v>64</v>
      </c>
      <c r="U65" t="s">
        <v>293</v>
      </c>
    </row>
    <row r="66" spans="1:21" x14ac:dyDescent="0.3">
      <c r="A66" s="18"/>
      <c r="B66" s="18"/>
      <c r="T66">
        <v>65</v>
      </c>
      <c r="U66" t="s">
        <v>92</v>
      </c>
    </row>
    <row r="67" spans="1:21" x14ac:dyDescent="0.3">
      <c r="A67" s="18"/>
      <c r="B67" s="18"/>
    </row>
    <row r="68" spans="1:21" x14ac:dyDescent="0.3">
      <c r="A68" s="18"/>
      <c r="B68" s="18"/>
    </row>
    <row r="69" spans="1:21" x14ac:dyDescent="0.3">
      <c r="A69" s="18"/>
      <c r="B69" s="18"/>
    </row>
    <row r="70" spans="1:21" x14ac:dyDescent="0.3">
      <c r="A70" s="18"/>
      <c r="B70" s="18"/>
    </row>
    <row r="71" spans="1:21" x14ac:dyDescent="0.3">
      <c r="A71" s="18"/>
      <c r="B71" s="18"/>
    </row>
    <row r="72" spans="1:21" x14ac:dyDescent="0.3">
      <c r="A72" s="18"/>
      <c r="B72" s="18"/>
    </row>
    <row r="73" spans="1:21" x14ac:dyDescent="0.3">
      <c r="A73" s="18"/>
      <c r="B73" s="18"/>
    </row>
    <row r="74" spans="1:21" x14ac:dyDescent="0.3">
      <c r="A74" s="18"/>
      <c r="B74" s="18"/>
    </row>
    <row r="75" spans="1:21" x14ac:dyDescent="0.3">
      <c r="A75" s="18"/>
      <c r="B75" s="18"/>
    </row>
    <row r="76" spans="1:21" x14ac:dyDescent="0.3">
      <c r="A76" s="18"/>
      <c r="B76" s="18"/>
    </row>
    <row r="77" spans="1:21" x14ac:dyDescent="0.3">
      <c r="A77" s="18"/>
      <c r="B77" s="18"/>
    </row>
    <row r="78" spans="1:21" x14ac:dyDescent="0.3">
      <c r="A78" s="18"/>
      <c r="B78" s="18"/>
    </row>
    <row r="79" spans="1:21" x14ac:dyDescent="0.3">
      <c r="A79" s="18"/>
      <c r="B79" s="18"/>
    </row>
    <row r="80" spans="1:21" x14ac:dyDescent="0.3">
      <c r="A80" s="18"/>
      <c r="B80" s="18"/>
    </row>
    <row r="81" spans="1:2" x14ac:dyDescent="0.3">
      <c r="A81" s="18"/>
      <c r="B81" s="18"/>
    </row>
    <row r="82" spans="1:2" x14ac:dyDescent="0.3">
      <c r="A82" s="18"/>
      <c r="B82" s="18"/>
    </row>
    <row r="83" spans="1:2" x14ac:dyDescent="0.3">
      <c r="A83" s="18"/>
      <c r="B83" s="18"/>
    </row>
    <row r="84" spans="1:2" x14ac:dyDescent="0.3">
      <c r="A84" s="18"/>
      <c r="B84" s="18"/>
    </row>
    <row r="85" spans="1:2" x14ac:dyDescent="0.3">
      <c r="A85" s="18"/>
      <c r="B85" s="18"/>
    </row>
    <row r="86" spans="1:2" x14ac:dyDescent="0.3">
      <c r="A86" s="18"/>
      <c r="B86" s="18"/>
    </row>
    <row r="87" spans="1:2" x14ac:dyDescent="0.3">
      <c r="A87" s="18"/>
      <c r="B87" s="18"/>
    </row>
    <row r="88" spans="1:2" x14ac:dyDescent="0.3">
      <c r="A88" s="18"/>
      <c r="B88" s="18"/>
    </row>
    <row r="89" spans="1:2" x14ac:dyDescent="0.3">
      <c r="A89" s="18"/>
      <c r="B89" s="18"/>
    </row>
    <row r="90" spans="1:2" x14ac:dyDescent="0.3">
      <c r="A90" s="18"/>
      <c r="B90" s="18"/>
    </row>
    <row r="91" spans="1:2" x14ac:dyDescent="0.3">
      <c r="A91" s="18"/>
      <c r="B91" s="18"/>
    </row>
    <row r="92" spans="1:2" x14ac:dyDescent="0.3">
      <c r="A92" s="18"/>
      <c r="B92" s="18"/>
    </row>
    <row r="93" spans="1:2" x14ac:dyDescent="0.3">
      <c r="A93" s="18"/>
      <c r="B93" s="18"/>
    </row>
    <row r="94" spans="1:2" x14ac:dyDescent="0.3">
      <c r="A94" s="18"/>
      <c r="B94" s="18"/>
    </row>
    <row r="95" spans="1:2" x14ac:dyDescent="0.3">
      <c r="A95" s="18"/>
      <c r="B95" s="18"/>
    </row>
    <row r="96" spans="1:2" x14ac:dyDescent="0.3">
      <c r="A96" s="18"/>
      <c r="B96" s="18"/>
    </row>
    <row r="97" spans="1:2" x14ac:dyDescent="0.3">
      <c r="A97" s="18"/>
      <c r="B97" s="18"/>
    </row>
    <row r="98" spans="1:2" x14ac:dyDescent="0.3">
      <c r="A98" s="18"/>
      <c r="B98" s="18"/>
    </row>
    <row r="99" spans="1:2" x14ac:dyDescent="0.3">
      <c r="A99" s="18"/>
      <c r="B99" s="18"/>
    </row>
    <row r="100" spans="1:2" x14ac:dyDescent="0.3">
      <c r="A100" s="18"/>
      <c r="B100" s="18"/>
    </row>
    <row r="101" spans="1:2" x14ac:dyDescent="0.3">
      <c r="A101" s="18"/>
      <c r="B101" s="18"/>
    </row>
    <row r="102" spans="1:2" x14ac:dyDescent="0.3">
      <c r="A102" s="18"/>
      <c r="B102" s="18"/>
    </row>
    <row r="103" spans="1:2" x14ac:dyDescent="0.3">
      <c r="A103" s="18"/>
      <c r="B103" s="18"/>
    </row>
    <row r="104" spans="1:2" x14ac:dyDescent="0.3">
      <c r="A104" s="18"/>
    </row>
    <row r="105" spans="1:2" x14ac:dyDescent="0.3">
      <c r="A105" s="18"/>
      <c r="B105" s="18"/>
    </row>
    <row r="106" spans="1:2" x14ac:dyDescent="0.3">
      <c r="A106" s="18"/>
      <c r="B106" s="18"/>
    </row>
    <row r="107" spans="1:2" x14ac:dyDescent="0.3">
      <c r="A107" s="18"/>
      <c r="B107" s="18"/>
    </row>
    <row r="108" spans="1:2" x14ac:dyDescent="0.3">
      <c r="A108" s="18"/>
      <c r="B108" s="18"/>
    </row>
    <row r="109" spans="1:2" x14ac:dyDescent="0.3">
      <c r="A109" s="18"/>
      <c r="B109" s="18"/>
    </row>
    <row r="110" spans="1:2" x14ac:dyDescent="0.3">
      <c r="A110" s="18"/>
      <c r="B110" s="18"/>
    </row>
    <row r="111" spans="1:2" x14ac:dyDescent="0.3">
      <c r="A111" s="18"/>
      <c r="B111" s="18"/>
    </row>
    <row r="112" spans="1:2" x14ac:dyDescent="0.3">
      <c r="A112" s="18"/>
      <c r="B112" s="18"/>
    </row>
    <row r="113" spans="1:2" x14ac:dyDescent="0.3">
      <c r="B113" s="18"/>
    </row>
    <row r="114" spans="1:2" x14ac:dyDescent="0.3">
      <c r="A114" s="18"/>
      <c r="B114" s="18"/>
    </row>
    <row r="115" spans="1:2" x14ac:dyDescent="0.3">
      <c r="A115" s="18"/>
      <c r="B115" s="18"/>
    </row>
    <row r="116" spans="1:2" x14ac:dyDescent="0.3">
      <c r="A116" s="18"/>
      <c r="B116" s="18"/>
    </row>
    <row r="117" spans="1:2" x14ac:dyDescent="0.3">
      <c r="A117" s="18"/>
      <c r="B117" s="18"/>
    </row>
    <row r="118" spans="1:2" x14ac:dyDescent="0.3">
      <c r="A118" s="18"/>
      <c r="B118" s="18"/>
    </row>
    <row r="119" spans="1:2" x14ac:dyDescent="0.3">
      <c r="A119" s="18"/>
      <c r="B119" s="18"/>
    </row>
    <row r="120" spans="1:2" x14ac:dyDescent="0.3">
      <c r="A120" s="18"/>
      <c r="B120" s="18"/>
    </row>
    <row r="121" spans="1:2" x14ac:dyDescent="0.3">
      <c r="A121" s="18"/>
      <c r="B121" s="18"/>
    </row>
    <row r="122" spans="1:2" x14ac:dyDescent="0.3">
      <c r="A122" s="18"/>
      <c r="B122" s="18"/>
    </row>
    <row r="123" spans="1:2" x14ac:dyDescent="0.3">
      <c r="A123" s="18"/>
      <c r="B123" s="18"/>
    </row>
    <row r="124" spans="1:2" x14ac:dyDescent="0.3">
      <c r="A124" s="18"/>
      <c r="B124" s="18"/>
    </row>
    <row r="125" spans="1:2" x14ac:dyDescent="0.3">
      <c r="A125" s="18"/>
      <c r="B125" s="18"/>
    </row>
    <row r="126" spans="1:2" x14ac:dyDescent="0.3">
      <c r="A126" s="18"/>
      <c r="B126" s="18"/>
    </row>
    <row r="127" spans="1:2" x14ac:dyDescent="0.3">
      <c r="A127" s="18"/>
      <c r="B127" s="18"/>
    </row>
    <row r="128" spans="1:2" x14ac:dyDescent="0.3">
      <c r="A128" s="18"/>
      <c r="B128" s="18"/>
    </row>
    <row r="129" spans="1:2" x14ac:dyDescent="0.3">
      <c r="A129" s="18"/>
      <c r="B129" s="18"/>
    </row>
    <row r="130" spans="1:2" x14ac:dyDescent="0.3">
      <c r="A130" s="18"/>
      <c r="B130" s="18"/>
    </row>
    <row r="131" spans="1:2" x14ac:dyDescent="0.3">
      <c r="A131" s="18"/>
      <c r="B131" s="18"/>
    </row>
    <row r="132" spans="1:2" x14ac:dyDescent="0.3">
      <c r="A132" s="18"/>
      <c r="B132" s="18"/>
    </row>
    <row r="133" spans="1:2" x14ac:dyDescent="0.3">
      <c r="A133" s="18"/>
      <c r="B133" s="18"/>
    </row>
    <row r="134" spans="1:2" x14ac:dyDescent="0.3">
      <c r="A134" s="18"/>
      <c r="B134" s="18"/>
    </row>
    <row r="135" spans="1:2" x14ac:dyDescent="0.3">
      <c r="A135" s="18"/>
      <c r="B135" s="18"/>
    </row>
    <row r="136" spans="1:2" x14ac:dyDescent="0.3">
      <c r="A136" s="18"/>
      <c r="B136" s="18"/>
    </row>
    <row r="137" spans="1:2" x14ac:dyDescent="0.3">
      <c r="A137" s="18"/>
      <c r="B137" s="18"/>
    </row>
    <row r="138" spans="1:2" x14ac:dyDescent="0.3">
      <c r="A138" s="18"/>
      <c r="B138" s="18"/>
    </row>
    <row r="139" spans="1:2" x14ac:dyDescent="0.3">
      <c r="A139" s="18"/>
      <c r="B139" s="18"/>
    </row>
    <row r="140" spans="1:2" x14ac:dyDescent="0.3">
      <c r="A140" s="18"/>
    </row>
    <row r="141" spans="1:2" x14ac:dyDescent="0.3">
      <c r="A141" s="18"/>
    </row>
    <row r="142" spans="1:2" x14ac:dyDescent="0.3">
      <c r="A142" s="18"/>
    </row>
    <row r="143" spans="1:2" x14ac:dyDescent="0.3">
      <c r="A143" s="18"/>
    </row>
    <row r="144" spans="1:2" x14ac:dyDescent="0.3">
      <c r="A144" s="18"/>
    </row>
    <row r="145" spans="1:1" x14ac:dyDescent="0.3">
      <c r="A145" s="18"/>
    </row>
    <row r="146" spans="1:1" x14ac:dyDescent="0.3">
      <c r="A146" s="18"/>
    </row>
    <row r="147" spans="1:1" x14ac:dyDescent="0.3">
      <c r="A147" s="18"/>
    </row>
    <row r="148" spans="1:1" x14ac:dyDescent="0.3">
      <c r="A148" s="18"/>
    </row>
  </sheetData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9"/>
  <dimension ref="A1:G51"/>
  <sheetViews>
    <sheetView topLeftCell="A4" workbookViewId="0">
      <selection activeCell="D24" sqref="D24"/>
    </sheetView>
  </sheetViews>
  <sheetFormatPr baseColWidth="10" defaultColWidth="8.88671875" defaultRowHeight="14.4" x14ac:dyDescent="0.3"/>
  <cols>
    <col min="1" max="1" width="42.5546875" customWidth="1"/>
    <col min="3" max="3" width="18.33203125" bestFit="1" customWidth="1"/>
    <col min="4" max="4" width="20.109375" customWidth="1"/>
    <col min="5" max="5" width="15.109375" bestFit="1" customWidth="1"/>
    <col min="6" max="6" width="18.33203125" bestFit="1" customWidth="1"/>
    <col min="7" max="7" width="15.6640625" bestFit="1" customWidth="1"/>
  </cols>
  <sheetData>
    <row r="1" spans="1:7" x14ac:dyDescent="0.3">
      <c r="A1" s="8" t="s">
        <v>95</v>
      </c>
      <c r="C1" s="9"/>
      <c r="D1" s="9"/>
      <c r="E1" s="9"/>
      <c r="F1" s="9"/>
      <c r="G1" s="9"/>
    </row>
    <row r="2" spans="1:7" x14ac:dyDescent="0.3">
      <c r="B2" s="9"/>
      <c r="C2" s="9"/>
      <c r="D2" s="9"/>
      <c r="E2" s="9"/>
      <c r="F2" s="9"/>
      <c r="G2" s="9"/>
    </row>
    <row r="3" spans="1:7" x14ac:dyDescent="0.3">
      <c r="A3" s="10" t="s">
        <v>396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100</v>
      </c>
      <c r="G3" s="10" t="s">
        <v>101</v>
      </c>
    </row>
    <row r="4" spans="1:7" x14ac:dyDescent="0.3">
      <c r="B4" s="11"/>
      <c r="C4" s="11"/>
      <c r="D4" s="11"/>
      <c r="E4" s="10" t="s">
        <v>102</v>
      </c>
      <c r="F4" s="10" t="s">
        <v>103</v>
      </c>
      <c r="G4" s="10" t="s">
        <v>104</v>
      </c>
    </row>
    <row r="5" spans="1:7" x14ac:dyDescent="0.3">
      <c r="A5" t="s">
        <v>914</v>
      </c>
      <c r="B5" t="s">
        <v>110</v>
      </c>
      <c r="C5" t="s">
        <v>106</v>
      </c>
      <c r="D5" s="9" t="str">
        <f>IF(B5="dset","Sets!"&amp;HLOOKUP(C5,sets!$B$2:$WY$3,2,)&amp;6,IF(B5="set","Maps!"&amp;HLOOKUP(C5,maps!$A$2:$YR$3,2,)&amp;6))</f>
        <v>Maps!A6</v>
      </c>
      <c r="E5">
        <v>2</v>
      </c>
    </row>
    <row r="6" spans="1:7" x14ac:dyDescent="0.3">
      <c r="A6" t="s">
        <v>915</v>
      </c>
      <c r="B6" t="s">
        <v>110</v>
      </c>
      <c r="C6" t="s">
        <v>109</v>
      </c>
      <c r="D6" s="9" t="str">
        <f>IF(B6="dset","Sets!"&amp;HLOOKUP(C6,sets!$B$2:$WY$3,2,)&amp;6,IF(B6="set","Maps!"&amp;HLOOKUP(C6,maps!$A$2:$YR$3,2,)&amp;6))</f>
        <v>Maps!D6</v>
      </c>
      <c r="E6">
        <v>2</v>
      </c>
    </row>
    <row r="7" spans="1:7" x14ac:dyDescent="0.3">
      <c r="A7" t="s">
        <v>916</v>
      </c>
      <c r="B7" t="s">
        <v>114</v>
      </c>
      <c r="C7" t="s">
        <v>20</v>
      </c>
      <c r="D7" s="9" t="str">
        <f>IF(B7="dset","Sets!"&amp;HLOOKUP(C7,sets!$B$2:$WY$3,2,)&amp;6,IF(B7="set","Maps!"&amp;HLOOKUP(C7,maps!$A$2:$YR$3,2,)&amp;6))</f>
        <v>Sets!B6</v>
      </c>
      <c r="E7">
        <v>1</v>
      </c>
    </row>
    <row r="8" spans="1:7" x14ac:dyDescent="0.3">
      <c r="A8" t="s">
        <v>917</v>
      </c>
      <c r="B8" t="s">
        <v>114</v>
      </c>
      <c r="C8" t="s">
        <v>8</v>
      </c>
      <c r="D8" s="9" t="str">
        <f>IF(B8="dset","Sets!"&amp;HLOOKUP(C8,sets!$B$2:$WY$3,2,)&amp;6,IF(B8="set","Maps!"&amp;HLOOKUP(C8,maps!$A$2:$YR$3,2,)&amp;6))</f>
        <v>Sets!G6</v>
      </c>
      <c r="E8">
        <v>1</v>
      </c>
    </row>
    <row r="9" spans="1:7" x14ac:dyDescent="0.3">
      <c r="A9" t="s">
        <v>918</v>
      </c>
      <c r="B9" t="s">
        <v>114</v>
      </c>
      <c r="C9" t="s">
        <v>225</v>
      </c>
      <c r="D9" s="9" t="str">
        <f>IF(B9="dset","Sets!"&amp;HLOOKUP(C9,sets!$B$2:$WY$3,2,)&amp;6,IF(B9="set","Maps!"&amp;HLOOKUP(C9,maps!$A$2:$YR$3,2,)&amp;6))</f>
        <v>Sets!S6</v>
      </c>
      <c r="E9">
        <v>1</v>
      </c>
    </row>
    <row r="10" spans="1:7" x14ac:dyDescent="0.3">
      <c r="A10" t="s">
        <v>919</v>
      </c>
      <c r="B10" t="s">
        <v>114</v>
      </c>
      <c r="C10" t="s">
        <v>118</v>
      </c>
      <c r="D10" s="9" t="str">
        <f>IF(B10="dset","Sets!"&amp;HLOOKUP(C10,sets!$B$2:$WY$3,2,)&amp;6,IF(B10="set","Maps!"&amp;HLOOKUP(C10,maps!$A$2:$YR$3,2,)&amp;6))</f>
        <v>Sets!H6</v>
      </c>
      <c r="E10">
        <v>1</v>
      </c>
    </row>
    <row r="11" spans="1:7" x14ac:dyDescent="0.3">
      <c r="A11" t="s">
        <v>920</v>
      </c>
      <c r="B11" t="s">
        <v>114</v>
      </c>
      <c r="C11" t="s">
        <v>19</v>
      </c>
      <c r="D11" s="9" t="str">
        <f>IF(B11="dset","Sets!"&amp;HLOOKUP(C11,sets!$B$2:$WY$3,2,)&amp;6,IF(B11="set","Maps!"&amp;HLOOKUP(C11,maps!$A$2:$YR$3,2,)&amp;6))</f>
        <v>Sets!I6</v>
      </c>
      <c r="E11">
        <v>1</v>
      </c>
    </row>
    <row r="12" spans="1:7" x14ac:dyDescent="0.3">
      <c r="A12" t="s">
        <v>921</v>
      </c>
      <c r="B12" t="s">
        <v>114</v>
      </c>
      <c r="C12" t="s">
        <v>94</v>
      </c>
      <c r="D12" s="9" t="str">
        <f>IF(B12="dset","Sets!"&amp;HLOOKUP(C12,sets!$B$2:$WY$3,2,)&amp;6,IF(B12="set","Maps!"&amp;HLOOKUP(C12,maps!$A$2:$YR$3,2,)&amp;6))</f>
        <v>Sets!J6</v>
      </c>
      <c r="E12">
        <v>1</v>
      </c>
    </row>
    <row r="13" spans="1:7" x14ac:dyDescent="0.3">
      <c r="A13" t="s">
        <v>826</v>
      </c>
      <c r="B13" t="s">
        <v>114</v>
      </c>
      <c r="C13" t="s">
        <v>400</v>
      </c>
      <c r="D13" s="9" t="str">
        <f>IF(B13="dset","Sets!"&amp;HLOOKUP(C13,sets!$B$2:$WY$3,2,)&amp;6,IF(B13="set","Maps!"&amp;HLOOKUP(C13,maps!$A$2:$YR$3,2,)&amp;6))</f>
        <v>Sets!K6</v>
      </c>
      <c r="E13">
        <v>1</v>
      </c>
    </row>
    <row r="14" spans="1:7" x14ac:dyDescent="0.3">
      <c r="A14" t="s">
        <v>922</v>
      </c>
      <c r="B14" t="s">
        <v>114</v>
      </c>
      <c r="C14" t="s">
        <v>0</v>
      </c>
      <c r="D14" s="9" t="str">
        <f>IF(B14="dset","Sets!"&amp;HLOOKUP(C14,sets!$B$2:$WY$3,2,)&amp;6,IF(B14="set","Maps!"&amp;HLOOKUP(C14,maps!$A$2:$YR$3,2,)&amp;6))</f>
        <v>Sets!L6</v>
      </c>
      <c r="E14">
        <v>1</v>
      </c>
    </row>
    <row r="15" spans="1:7" x14ac:dyDescent="0.3">
      <c r="A15" t="s">
        <v>923</v>
      </c>
      <c r="B15" t="s">
        <v>114</v>
      </c>
      <c r="C15" t="s">
        <v>33</v>
      </c>
      <c r="D15" s="9" t="str">
        <f>IF(B15="dset","Sets!"&amp;HLOOKUP(C15,sets!$B$2:$WY$3,2,)&amp;6,IF(B15="set","Maps!"&amp;HLOOKUP(C15,maps!$A$2:$YR$3,2,)&amp;6))</f>
        <v>Sets!M6</v>
      </c>
      <c r="E15">
        <v>1</v>
      </c>
    </row>
    <row r="16" spans="1:7" x14ac:dyDescent="0.3">
      <c r="A16" t="s">
        <v>924</v>
      </c>
      <c r="B16" t="s">
        <v>114</v>
      </c>
      <c r="C16" t="s">
        <v>141</v>
      </c>
      <c r="D16" s="9" t="str">
        <f>IF(B16="dset","Sets!"&amp;HLOOKUP(C16,sets!$B$2:$WY$3,2,)&amp;6,IF(B16="set","Maps!"&amp;HLOOKUP(C16,maps!$A$2:$YR$3,2,)&amp;6))</f>
        <v>Sets!N6</v>
      </c>
      <c r="E16">
        <v>1</v>
      </c>
    </row>
    <row r="17" spans="1:6" x14ac:dyDescent="0.3">
      <c r="A17" t="s">
        <v>925</v>
      </c>
      <c r="B17" t="s">
        <v>114</v>
      </c>
      <c r="C17" t="s">
        <v>21</v>
      </c>
      <c r="D17" s="9" t="str">
        <f>IF(B17="dset","Sets!"&amp;HLOOKUP(C17,sets!$B$2:$WY$3,2,)&amp;6,IF(B17="set","Maps!"&amp;HLOOKUP(C17,maps!$A$2:$YR$3,2,)&amp;6))</f>
        <v>Sets!O6</v>
      </c>
      <c r="E17">
        <v>1</v>
      </c>
    </row>
    <row r="18" spans="1:6" x14ac:dyDescent="0.3">
      <c r="A18" t="s">
        <v>839</v>
      </c>
      <c r="B18" t="s">
        <v>114</v>
      </c>
      <c r="C18" t="s">
        <v>22</v>
      </c>
      <c r="D18" s="9" t="str">
        <f>IF(B18="dset","Sets!"&amp;HLOOKUP(C18,sets!$B$2:$WY$3,2,)&amp;6,IF(B18="set","Maps!"&amp;HLOOKUP(C18,maps!$A$2:$YR$3,2,)&amp;6))</f>
        <v>Sets!P6</v>
      </c>
      <c r="E18">
        <v>1</v>
      </c>
    </row>
    <row r="19" spans="1:6" x14ac:dyDescent="0.3">
      <c r="A19" t="s">
        <v>977</v>
      </c>
      <c r="B19" t="s">
        <v>114</v>
      </c>
      <c r="C19" t="s">
        <v>976</v>
      </c>
      <c r="D19" s="9" t="str">
        <f>IF(B19="dset","Sets!"&amp;HLOOKUP(C19,sets!$B$2:$WY$3,2,)&amp;6,IF(B19="set","Maps!"&amp;HLOOKUP(C19,maps!$A$2:$YR$3,2,)&amp;6))</f>
        <v>Sets!T6</v>
      </c>
      <c r="E19">
        <v>1</v>
      </c>
    </row>
    <row r="20" spans="1:6" x14ac:dyDescent="0.3">
      <c r="A20" t="s">
        <v>926</v>
      </c>
      <c r="B20" t="s">
        <v>110</v>
      </c>
      <c r="C20" t="s">
        <v>397</v>
      </c>
      <c r="D20" s="9" t="str">
        <f>IF(B20="dset","Sets!"&amp;HLOOKUP(C20,sets!$B$2:$WY$3,2,)&amp;6,IF(B20="set","Maps!"&amp;HLOOKUP(C20,maps!$A$2:$YR$3,2,)&amp;6))</f>
        <v>Maps!J6</v>
      </c>
      <c r="E20">
        <v>2</v>
      </c>
    </row>
    <row r="21" spans="1:6" x14ac:dyDescent="0.3">
      <c r="A21" t="s">
        <v>1630</v>
      </c>
      <c r="B21" t="s">
        <v>114</v>
      </c>
      <c r="C21" t="s">
        <v>1629</v>
      </c>
      <c r="D21" s="9" t="str">
        <f>IF(B21="dset","Sets!"&amp;HLOOKUP(C21,sets!$B$2:$WY$3,2,)&amp;6,IF(B21="set","Maps!"&amp;HLOOKUP(C21,maps!$A$2:$YR$3,2,)&amp;6))</f>
        <v>Sets!U6</v>
      </c>
      <c r="E21">
        <v>1</v>
      </c>
    </row>
    <row r="22" spans="1:6" x14ac:dyDescent="0.3">
      <c r="A22" t="s">
        <v>1632</v>
      </c>
      <c r="B22" t="s">
        <v>114</v>
      </c>
      <c r="C22" t="s">
        <v>1632</v>
      </c>
      <c r="D22" s="9" t="str">
        <f>IF(B22="dset","Sets!"&amp;HLOOKUP(C22,sets!$B$2:$WY$3,2,)&amp;6,IF(B22="set","Maps!"&amp;HLOOKUP(C22,maps!$A$2:$YR$3,2,)&amp;6))</f>
        <v>Sets!V6</v>
      </c>
      <c r="E22">
        <v>1</v>
      </c>
    </row>
    <row r="23" spans="1:6" x14ac:dyDescent="0.3">
      <c r="A23" t="s">
        <v>927</v>
      </c>
      <c r="B23" t="s">
        <v>110</v>
      </c>
      <c r="C23" t="s">
        <v>116</v>
      </c>
      <c r="D23" s="9" t="str">
        <f>IF(B23="dset","Sets!"&amp;HLOOKUP(C23,sets!$B$2:$WY$3,2,)&amp;6,IF(B23="set","Maps!"&amp;HLOOKUP(C23,maps!$A$2:$YR$3,2,)&amp;6))</f>
        <v>Maps!G6</v>
      </c>
      <c r="E23">
        <v>2</v>
      </c>
    </row>
    <row r="24" spans="1:6" x14ac:dyDescent="0.3">
      <c r="A24" t="s">
        <v>928</v>
      </c>
      <c r="B24" t="s">
        <v>105</v>
      </c>
      <c r="C24" s="17" t="s">
        <v>468</v>
      </c>
      <c r="D24" s="9" t="s">
        <v>939</v>
      </c>
      <c r="E24">
        <v>1</v>
      </c>
      <c r="F24">
        <v>1</v>
      </c>
    </row>
    <row r="25" spans="1:6" x14ac:dyDescent="0.3">
      <c r="A25" t="s">
        <v>470</v>
      </c>
      <c r="B25" t="s">
        <v>105</v>
      </c>
      <c r="C25" t="s">
        <v>469</v>
      </c>
      <c r="D25" t="s">
        <v>1242</v>
      </c>
      <c r="F25">
        <v>1</v>
      </c>
    </row>
    <row r="26" spans="1:6" x14ac:dyDescent="0.3">
      <c r="A26" t="s">
        <v>929</v>
      </c>
      <c r="B26" t="s">
        <v>110</v>
      </c>
      <c r="C26" t="s">
        <v>378</v>
      </c>
      <c r="D26" s="9" t="str">
        <f>IF(B26="dset","Sets!"&amp;HLOOKUP(C26,sets!$B$2:$WY$3,2,)&amp;6,IF(B26="set","Maps!"&amp;HLOOKUP(C26,maps!$A$2:$YR$3,2,)&amp;6))</f>
        <v>Maps!M6</v>
      </c>
      <c r="E26">
        <v>2</v>
      </c>
    </row>
    <row r="27" spans="1:6" x14ac:dyDescent="0.3">
      <c r="A27" t="s">
        <v>930</v>
      </c>
      <c r="B27" t="s">
        <v>105</v>
      </c>
      <c r="C27" t="s">
        <v>354</v>
      </c>
      <c r="D27" s="9" t="s">
        <v>1245</v>
      </c>
      <c r="E27">
        <v>2</v>
      </c>
      <c r="F27">
        <v>1</v>
      </c>
    </row>
    <row r="28" spans="1:6" x14ac:dyDescent="0.3">
      <c r="A28" t="s">
        <v>938</v>
      </c>
      <c r="B28" t="s">
        <v>105</v>
      </c>
      <c r="C28" t="s">
        <v>931</v>
      </c>
      <c r="D28" s="9" t="s">
        <v>1172</v>
      </c>
      <c r="E28">
        <v>1</v>
      </c>
      <c r="F28">
        <v>1</v>
      </c>
    </row>
    <row r="29" spans="1:6" x14ac:dyDescent="0.3">
      <c r="A29" t="s">
        <v>907</v>
      </c>
      <c r="B29" t="s">
        <v>105</v>
      </c>
      <c r="C29" t="s">
        <v>908</v>
      </c>
      <c r="D29" t="s">
        <v>1425</v>
      </c>
    </row>
    <row r="30" spans="1:6" x14ac:dyDescent="0.3">
      <c r="A30" t="s">
        <v>936</v>
      </c>
      <c r="B30" t="s">
        <v>105</v>
      </c>
      <c r="C30" t="s">
        <v>937</v>
      </c>
      <c r="D30" t="s">
        <v>909</v>
      </c>
    </row>
    <row r="31" spans="1:6" x14ac:dyDescent="0.3">
      <c r="A31" t="s">
        <v>932</v>
      </c>
      <c r="B31" t="s">
        <v>114</v>
      </c>
      <c r="C31" t="s">
        <v>115</v>
      </c>
      <c r="D31" s="9" t="str">
        <f>IF(B31="dset","Sets!"&amp;HLOOKUP(C31,sets!$B$2:$WY$3,2,)&amp;6,IF(B31="set","Maps!"&amp;HLOOKUP(C31,maps!$A$2:$YR$3,2,)&amp;6))</f>
        <v>Sets!Q6</v>
      </c>
      <c r="E31">
        <v>1</v>
      </c>
    </row>
    <row r="32" spans="1:6" x14ac:dyDescent="0.3">
      <c r="A32" t="s">
        <v>459</v>
      </c>
      <c r="B32" t="s">
        <v>105</v>
      </c>
      <c r="C32" t="s">
        <v>113</v>
      </c>
      <c r="D32" s="9" t="s">
        <v>720</v>
      </c>
      <c r="E32">
        <v>1</v>
      </c>
      <c r="F32">
        <v>1</v>
      </c>
    </row>
    <row r="33" spans="1:6" x14ac:dyDescent="0.3">
      <c r="A33" t="s">
        <v>458</v>
      </c>
      <c r="B33" t="s">
        <v>105</v>
      </c>
      <c r="C33" t="s">
        <v>466</v>
      </c>
      <c r="D33" t="s">
        <v>467</v>
      </c>
      <c r="E33">
        <v>1</v>
      </c>
    </row>
    <row r="34" spans="1:6" x14ac:dyDescent="0.3">
      <c r="A34" t="s">
        <v>455</v>
      </c>
      <c r="B34" t="s">
        <v>105</v>
      </c>
      <c r="C34" t="s">
        <v>453</v>
      </c>
      <c r="D34" t="s">
        <v>454</v>
      </c>
      <c r="E34">
        <v>1</v>
      </c>
      <c r="F34">
        <v>2</v>
      </c>
    </row>
    <row r="35" spans="1:6" x14ac:dyDescent="0.3">
      <c r="A35" t="s">
        <v>456</v>
      </c>
      <c r="B35" t="s">
        <v>105</v>
      </c>
      <c r="C35" t="s">
        <v>463</v>
      </c>
      <c r="D35" t="s">
        <v>465</v>
      </c>
      <c r="E35">
        <v>1</v>
      </c>
      <c r="F35">
        <v>1</v>
      </c>
    </row>
    <row r="36" spans="1:6" x14ac:dyDescent="0.3">
      <c r="A36" t="s">
        <v>457</v>
      </c>
      <c r="B36" t="s">
        <v>105</v>
      </c>
      <c r="C36" t="s">
        <v>464</v>
      </c>
      <c r="D36" t="s">
        <v>1138</v>
      </c>
      <c r="E36">
        <v>1</v>
      </c>
      <c r="F36">
        <v>2</v>
      </c>
    </row>
    <row r="37" spans="1:6" x14ac:dyDescent="0.3">
      <c r="A37" t="s">
        <v>460</v>
      </c>
      <c r="B37" t="s">
        <v>105</v>
      </c>
      <c r="C37" t="s">
        <v>461</v>
      </c>
      <c r="D37" t="s">
        <v>462</v>
      </c>
      <c r="E37">
        <v>1</v>
      </c>
      <c r="F37">
        <v>1</v>
      </c>
    </row>
    <row r="38" spans="1:6" x14ac:dyDescent="0.3">
      <c r="A38" t="s">
        <v>399</v>
      </c>
      <c r="B38" t="s">
        <v>105</v>
      </c>
      <c r="C38" t="s">
        <v>398</v>
      </c>
      <c r="D38" t="s">
        <v>1243</v>
      </c>
      <c r="E38">
        <v>1</v>
      </c>
      <c r="F38">
        <v>1</v>
      </c>
    </row>
    <row r="39" spans="1:6" x14ac:dyDescent="0.3">
      <c r="A39" t="s">
        <v>721</v>
      </c>
      <c r="B39" t="s">
        <v>105</v>
      </c>
      <c r="C39" t="s">
        <v>722</v>
      </c>
      <c r="D39" t="s">
        <v>723</v>
      </c>
      <c r="E39">
        <v>1</v>
      </c>
      <c r="F39">
        <v>1</v>
      </c>
    </row>
    <row r="40" spans="1:6" x14ac:dyDescent="0.3">
      <c r="A40" t="s">
        <v>724</v>
      </c>
      <c r="B40" t="s">
        <v>105</v>
      </c>
      <c r="C40" t="s">
        <v>725</v>
      </c>
      <c r="D40" t="s">
        <v>726</v>
      </c>
      <c r="E40">
        <v>1</v>
      </c>
      <c r="F40">
        <v>1</v>
      </c>
    </row>
    <row r="41" spans="1:6" x14ac:dyDescent="0.3">
      <c r="A41" t="s">
        <v>963</v>
      </c>
      <c r="B41" t="s">
        <v>105</v>
      </c>
      <c r="C41" t="s">
        <v>964</v>
      </c>
      <c r="D41" t="s">
        <v>965</v>
      </c>
      <c r="E41">
        <v>2</v>
      </c>
      <c r="F41">
        <v>1</v>
      </c>
    </row>
    <row r="42" spans="1:6" x14ac:dyDescent="0.3">
      <c r="A42" t="s">
        <v>967</v>
      </c>
      <c r="B42" t="s">
        <v>105</v>
      </c>
      <c r="C42" t="s">
        <v>968</v>
      </c>
      <c r="D42" t="s">
        <v>969</v>
      </c>
      <c r="E42">
        <v>2</v>
      </c>
      <c r="F42">
        <v>1</v>
      </c>
    </row>
    <row r="43" spans="1:6" x14ac:dyDescent="0.3">
      <c r="A43" t="s">
        <v>978</v>
      </c>
      <c r="B43" t="s">
        <v>974</v>
      </c>
      <c r="C43" t="s">
        <v>979</v>
      </c>
      <c r="D43" t="s">
        <v>980</v>
      </c>
      <c r="E43">
        <v>3</v>
      </c>
      <c r="F43">
        <v>1</v>
      </c>
    </row>
    <row r="44" spans="1:6" x14ac:dyDescent="0.3">
      <c r="A44" t="s">
        <v>1110</v>
      </c>
      <c r="B44" t="s">
        <v>105</v>
      </c>
      <c r="C44" t="s">
        <v>1111</v>
      </c>
      <c r="D44" t="s">
        <v>1112</v>
      </c>
      <c r="E44">
        <v>1</v>
      </c>
      <c r="F44">
        <v>1</v>
      </c>
    </row>
    <row r="45" spans="1:6" x14ac:dyDescent="0.3">
      <c r="A45" t="s">
        <v>1115</v>
      </c>
      <c r="B45" t="s">
        <v>105</v>
      </c>
      <c r="C45" t="s">
        <v>1116</v>
      </c>
      <c r="D45" t="s">
        <v>1117</v>
      </c>
      <c r="E45">
        <v>1</v>
      </c>
      <c r="F45">
        <v>1</v>
      </c>
    </row>
    <row r="46" spans="1:6" x14ac:dyDescent="0.3">
      <c r="A46" t="s">
        <v>1135</v>
      </c>
      <c r="B46" t="s">
        <v>105</v>
      </c>
      <c r="C46" t="s">
        <v>1136</v>
      </c>
      <c r="D46" t="s">
        <v>1137</v>
      </c>
      <c r="E46">
        <v>2</v>
      </c>
      <c r="F46">
        <v>1</v>
      </c>
    </row>
    <row r="47" spans="1:6" x14ac:dyDescent="0.3">
      <c r="A47" t="s">
        <v>1139</v>
      </c>
      <c r="B47" t="s">
        <v>105</v>
      </c>
      <c r="C47" t="s">
        <v>1141</v>
      </c>
      <c r="D47" t="s">
        <v>1140</v>
      </c>
      <c r="E47">
        <v>2</v>
      </c>
      <c r="F47">
        <v>1</v>
      </c>
    </row>
    <row r="48" spans="1:6" x14ac:dyDescent="0.3">
      <c r="A48" t="s">
        <v>1318</v>
      </c>
      <c r="B48" t="s">
        <v>105</v>
      </c>
      <c r="C48" t="s">
        <v>1319</v>
      </c>
      <c r="D48" t="s">
        <v>1320</v>
      </c>
      <c r="E48">
        <v>2</v>
      </c>
      <c r="F48">
        <v>1</v>
      </c>
    </row>
    <row r="49" spans="1:5" x14ac:dyDescent="0.3">
      <c r="A49" t="s">
        <v>1413</v>
      </c>
      <c r="B49" t="s">
        <v>105</v>
      </c>
      <c r="C49" t="s">
        <v>1414</v>
      </c>
      <c r="D49" t="s">
        <v>1419</v>
      </c>
      <c r="E49">
        <v>1</v>
      </c>
    </row>
    <row r="50" spans="1:5" x14ac:dyDescent="0.3">
      <c r="A50" t="s">
        <v>1415</v>
      </c>
      <c r="B50" t="s">
        <v>105</v>
      </c>
      <c r="C50" t="s">
        <v>1389</v>
      </c>
      <c r="D50" t="s">
        <v>1418</v>
      </c>
      <c r="E50">
        <v>1</v>
      </c>
    </row>
    <row r="51" spans="1:5" x14ac:dyDescent="0.3">
      <c r="A51" t="s">
        <v>1416</v>
      </c>
      <c r="B51" t="s">
        <v>105</v>
      </c>
      <c r="C51" t="s">
        <v>1390</v>
      </c>
      <c r="D51" t="s">
        <v>1417</v>
      </c>
      <c r="E5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A3DA-52B1-4C7F-8192-084152BFA599}">
  <dimension ref="A1:I23"/>
  <sheetViews>
    <sheetView workbookViewId="0"/>
  </sheetViews>
  <sheetFormatPr baseColWidth="10" defaultColWidth="10.88671875" defaultRowHeight="14.4" x14ac:dyDescent="0.3"/>
  <sheetData>
    <row r="1" spans="1:9" x14ac:dyDescent="0.3">
      <c r="B1">
        <v>0</v>
      </c>
      <c r="C1">
        <v>1</v>
      </c>
      <c r="D1">
        <v>5</v>
      </c>
      <c r="E1">
        <v>10</v>
      </c>
      <c r="F1">
        <v>50</v>
      </c>
      <c r="G1">
        <v>100</v>
      </c>
      <c r="H1">
        <v>360</v>
      </c>
      <c r="I1">
        <v>380</v>
      </c>
    </row>
    <row r="2" spans="1:9" x14ac:dyDescent="0.3">
      <c r="A2" t="s">
        <v>1113</v>
      </c>
      <c r="B2" s="7">
        <v>1E-10</v>
      </c>
      <c r="C2" s="7">
        <v>9.9999999999999995E-7</v>
      </c>
      <c r="D2">
        <v>0.05</v>
      </c>
      <c r="E2">
        <v>0.1</v>
      </c>
      <c r="F2">
        <v>0.2</v>
      </c>
      <c r="G2">
        <v>0.5</v>
      </c>
      <c r="H2">
        <v>0.6</v>
      </c>
      <c r="I2">
        <v>1</v>
      </c>
    </row>
    <row r="3" spans="1:9" x14ac:dyDescent="0.3">
      <c r="A3" t="s">
        <v>1467</v>
      </c>
      <c r="B3" s="7">
        <v>1E-10</v>
      </c>
      <c r="C3" s="7">
        <v>9.9999999999999995E-7</v>
      </c>
      <c r="D3" s="7">
        <v>1E-4</v>
      </c>
      <c r="F3">
        <v>0.9</v>
      </c>
      <c r="G3">
        <v>0.95</v>
      </c>
      <c r="H3">
        <v>0.99</v>
      </c>
      <c r="I3">
        <v>1</v>
      </c>
    </row>
    <row r="4" spans="1:9" x14ac:dyDescent="0.3">
      <c r="A4" t="s">
        <v>269</v>
      </c>
      <c r="B4" s="7">
        <v>1E-10</v>
      </c>
      <c r="C4" s="7">
        <v>9.9999999999999995E-7</v>
      </c>
      <c r="D4" s="7">
        <v>1E-4</v>
      </c>
      <c r="F4">
        <v>0.75</v>
      </c>
      <c r="G4">
        <v>0.9</v>
      </c>
      <c r="H4">
        <v>0.95</v>
      </c>
      <c r="I4">
        <v>1</v>
      </c>
    </row>
    <row r="5" spans="1:9" x14ac:dyDescent="0.3">
      <c r="A5" t="s">
        <v>1469</v>
      </c>
      <c r="B5" s="7">
        <v>1E-10</v>
      </c>
      <c r="C5" s="7">
        <v>9.9999999999999995E-7</v>
      </c>
      <c r="D5" s="7">
        <v>1E-4</v>
      </c>
      <c r="F5">
        <v>0.75</v>
      </c>
      <c r="G5">
        <v>0.9</v>
      </c>
      <c r="H5">
        <v>0.95</v>
      </c>
      <c r="I5">
        <v>1</v>
      </c>
    </row>
    <row r="6" spans="1:9" x14ac:dyDescent="0.3">
      <c r="A6" t="s">
        <v>1470</v>
      </c>
      <c r="B6" s="7">
        <v>1E-10</v>
      </c>
      <c r="C6" s="7">
        <v>9.9999999999999995E-7</v>
      </c>
      <c r="D6" s="7">
        <v>1E-4</v>
      </c>
      <c r="F6">
        <v>0.75</v>
      </c>
      <c r="G6">
        <v>0.9</v>
      </c>
      <c r="H6">
        <v>0.95</v>
      </c>
      <c r="I6">
        <v>1</v>
      </c>
    </row>
    <row r="7" spans="1:9" x14ac:dyDescent="0.3">
      <c r="A7" t="s">
        <v>1471</v>
      </c>
      <c r="B7" s="7">
        <v>1E-10</v>
      </c>
      <c r="C7" s="7">
        <v>9.9999999999999995E-7</v>
      </c>
      <c r="D7" s="7">
        <v>1E-4</v>
      </c>
      <c r="F7">
        <v>0.75</v>
      </c>
      <c r="G7">
        <v>0.9</v>
      </c>
      <c r="H7">
        <v>0.95</v>
      </c>
      <c r="I7">
        <v>1</v>
      </c>
    </row>
    <row r="8" spans="1:9" x14ac:dyDescent="0.3">
      <c r="A8" t="s">
        <v>1468</v>
      </c>
      <c r="B8" s="7">
        <v>1E-10</v>
      </c>
      <c r="C8" s="7">
        <v>9.9999999999999995E-7</v>
      </c>
      <c r="D8" s="7">
        <v>1E-4</v>
      </c>
      <c r="F8">
        <v>0.75</v>
      </c>
      <c r="G8">
        <v>0.9</v>
      </c>
      <c r="H8">
        <v>0.95</v>
      </c>
      <c r="I8">
        <v>1</v>
      </c>
    </row>
    <row r="9" spans="1:9" x14ac:dyDescent="0.3">
      <c r="A9" t="s">
        <v>278</v>
      </c>
      <c r="B9" s="7">
        <v>1E-10</v>
      </c>
      <c r="C9" s="7">
        <v>9.9999999999999995E-7</v>
      </c>
      <c r="D9" s="7">
        <v>1E-4</v>
      </c>
      <c r="F9">
        <v>0.2</v>
      </c>
      <c r="G9">
        <v>0.3</v>
      </c>
      <c r="H9">
        <v>0.4</v>
      </c>
      <c r="I9">
        <v>1</v>
      </c>
    </row>
    <row r="10" spans="1:9" x14ac:dyDescent="0.3">
      <c r="A10" t="s">
        <v>285</v>
      </c>
      <c r="B10" s="7">
        <v>1E-10</v>
      </c>
      <c r="C10" s="7">
        <v>9.9999999999999995E-7</v>
      </c>
      <c r="D10" s="7">
        <v>1E-4</v>
      </c>
      <c r="F10">
        <v>0.2</v>
      </c>
      <c r="G10">
        <v>0.3</v>
      </c>
      <c r="H10">
        <v>0.4</v>
      </c>
      <c r="I10">
        <v>1</v>
      </c>
    </row>
    <row r="11" spans="1:9" x14ac:dyDescent="0.3">
      <c r="A11" t="s">
        <v>641</v>
      </c>
      <c r="B11" s="7">
        <v>1E-10</v>
      </c>
      <c r="C11" s="7">
        <v>9.9999999999999995E-7</v>
      </c>
      <c r="D11" s="7">
        <v>1E-4</v>
      </c>
      <c r="G11">
        <v>7.0000000000000007E-2</v>
      </c>
      <c r="H11">
        <v>0.08</v>
      </c>
      <c r="I11">
        <v>1</v>
      </c>
    </row>
    <row r="12" spans="1:9" x14ac:dyDescent="0.3">
      <c r="A12" t="s">
        <v>643</v>
      </c>
      <c r="B12" s="7">
        <v>1E-10</v>
      </c>
      <c r="C12" s="7">
        <v>9.9999999999999995E-7</v>
      </c>
      <c r="D12" s="7">
        <v>1E-4</v>
      </c>
      <c r="G12">
        <v>7.0000000000000007E-2</v>
      </c>
      <c r="H12">
        <v>0.08</v>
      </c>
      <c r="I12">
        <v>1</v>
      </c>
    </row>
    <row r="13" spans="1:9" x14ac:dyDescent="0.3">
      <c r="A13" t="s">
        <v>640</v>
      </c>
      <c r="B13" s="7">
        <v>1E-10</v>
      </c>
      <c r="C13" s="7">
        <v>9.9999999999999995E-7</v>
      </c>
      <c r="D13" s="7">
        <v>1E-4</v>
      </c>
      <c r="G13">
        <v>7.0000000000000007E-2</v>
      </c>
      <c r="H13">
        <v>0.08</v>
      </c>
      <c r="I13">
        <v>1</v>
      </c>
    </row>
    <row r="14" spans="1:9" x14ac:dyDescent="0.3">
      <c r="A14" t="s">
        <v>1166</v>
      </c>
      <c r="B14" s="7">
        <v>1E-10</v>
      </c>
      <c r="C14" s="7">
        <v>9.9999999999999995E-7</v>
      </c>
      <c r="D14" s="7">
        <v>1E-4</v>
      </c>
      <c r="G14">
        <v>7.0000000000000007E-2</v>
      </c>
      <c r="H14">
        <v>0.08</v>
      </c>
      <c r="I14">
        <v>1</v>
      </c>
    </row>
    <row r="15" spans="1:9" x14ac:dyDescent="0.3">
      <c r="A15" t="s">
        <v>642</v>
      </c>
      <c r="B15" s="7">
        <v>1E-10</v>
      </c>
      <c r="C15" s="7">
        <v>9.9999999999999995E-7</v>
      </c>
      <c r="D15" s="7">
        <v>1E-4</v>
      </c>
      <c r="G15">
        <v>7.0000000000000007E-2</v>
      </c>
      <c r="H15">
        <v>0.08</v>
      </c>
      <c r="I15">
        <v>1</v>
      </c>
    </row>
    <row r="16" spans="1:9" x14ac:dyDescent="0.3">
      <c r="A16" t="s">
        <v>632</v>
      </c>
      <c r="B16" s="7">
        <v>1E-10</v>
      </c>
      <c r="C16" s="7">
        <v>9.9999999999999995E-7</v>
      </c>
      <c r="D16" s="7">
        <v>1E-4</v>
      </c>
      <c r="G16">
        <v>0.16</v>
      </c>
      <c r="H16">
        <v>0.17</v>
      </c>
      <c r="I16">
        <v>1</v>
      </c>
    </row>
    <row r="17" spans="1:9" x14ac:dyDescent="0.3">
      <c r="A17" t="s">
        <v>633</v>
      </c>
      <c r="B17" s="7">
        <v>1E-10</v>
      </c>
      <c r="C17" s="7">
        <v>9.9999999999999995E-7</v>
      </c>
      <c r="D17" s="7">
        <v>1E-4</v>
      </c>
      <c r="G17">
        <v>0.1</v>
      </c>
      <c r="H17">
        <v>0.12</v>
      </c>
      <c r="I17">
        <v>1</v>
      </c>
    </row>
    <row r="18" spans="1:9" x14ac:dyDescent="0.3">
      <c r="A18" t="s">
        <v>634</v>
      </c>
      <c r="B18" s="7">
        <v>1E-10</v>
      </c>
      <c r="C18" s="7">
        <v>9.9999999999999995E-7</v>
      </c>
      <c r="D18" s="7">
        <v>1E-4</v>
      </c>
      <c r="G18">
        <v>0.1</v>
      </c>
      <c r="H18">
        <v>0.12</v>
      </c>
      <c r="I18">
        <v>1</v>
      </c>
    </row>
    <row r="19" spans="1:9" x14ac:dyDescent="0.3">
      <c r="A19" t="s">
        <v>636</v>
      </c>
      <c r="B19" s="7">
        <v>1E-10</v>
      </c>
      <c r="C19" s="7">
        <v>9.9999999999999995E-7</v>
      </c>
      <c r="D19" s="7">
        <v>1E-4</v>
      </c>
      <c r="G19">
        <v>0.1</v>
      </c>
      <c r="H19">
        <v>0.12</v>
      </c>
      <c r="I19">
        <v>1</v>
      </c>
    </row>
    <row r="20" spans="1:9" x14ac:dyDescent="0.3">
      <c r="A20" t="s">
        <v>635</v>
      </c>
      <c r="B20" s="7">
        <v>1E-10</v>
      </c>
      <c r="C20" s="7">
        <v>9.9999999999999995E-7</v>
      </c>
      <c r="D20" s="7">
        <v>1E-4</v>
      </c>
      <c r="G20">
        <v>0.1</v>
      </c>
      <c r="H20">
        <v>0.12</v>
      </c>
      <c r="I20">
        <v>1</v>
      </c>
    </row>
    <row r="21" spans="1:9" x14ac:dyDescent="0.3">
      <c r="A21" t="s">
        <v>1114</v>
      </c>
      <c r="B21" s="7">
        <v>1E-10</v>
      </c>
      <c r="C21" s="7">
        <v>9.9999999999999995E-7</v>
      </c>
      <c r="D21" s="7">
        <v>1E-4</v>
      </c>
      <c r="G21">
        <v>0.1</v>
      </c>
      <c r="H21">
        <v>0.12</v>
      </c>
      <c r="I21">
        <v>1</v>
      </c>
    </row>
    <row r="22" spans="1:9" x14ac:dyDescent="0.3">
      <c r="A22" t="s">
        <v>637</v>
      </c>
      <c r="B22" s="7">
        <v>1E-10</v>
      </c>
      <c r="C22" s="7">
        <v>9.9999999999999995E-7</v>
      </c>
      <c r="D22" s="7">
        <v>1E-4</v>
      </c>
      <c r="G22">
        <v>0.1</v>
      </c>
      <c r="H22">
        <v>0.12</v>
      </c>
      <c r="I22">
        <v>1</v>
      </c>
    </row>
    <row r="23" spans="1:9" x14ac:dyDescent="0.3">
      <c r="A23" t="s">
        <v>639</v>
      </c>
      <c r="B23" s="7">
        <v>1E-10</v>
      </c>
      <c r="C23" s="7">
        <v>9.9999999999999995E-7</v>
      </c>
      <c r="D23" s="7">
        <v>1E-4</v>
      </c>
      <c r="G23">
        <v>0.1</v>
      </c>
      <c r="H23">
        <v>0.12</v>
      </c>
      <c r="I23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0"/>
  <dimension ref="B1:V309"/>
  <sheetViews>
    <sheetView topLeftCell="A61" workbookViewId="0">
      <selection activeCell="B68" sqref="B68:C68"/>
    </sheetView>
  </sheetViews>
  <sheetFormatPr baseColWidth="10" defaultColWidth="8.88671875" defaultRowHeight="14.4" x14ac:dyDescent="0.3"/>
  <cols>
    <col min="2" max="2" width="28.33203125" customWidth="1"/>
    <col min="3" max="3" width="32.5546875" customWidth="1"/>
    <col min="4" max="4" width="21.5546875" customWidth="1"/>
    <col min="5" max="5" width="21.6640625" customWidth="1"/>
    <col min="7" max="7" width="7.44140625" customWidth="1"/>
    <col min="8" max="8" width="17.77734375" customWidth="1"/>
    <col min="13" max="13" width="10.109375" bestFit="1" customWidth="1"/>
    <col min="14" max="14" width="10.109375" customWidth="1"/>
  </cols>
  <sheetData>
    <row r="1" spans="2:22" s="9" customFormat="1" ht="13.2" x14ac:dyDescent="0.25">
      <c r="B1" s="8" t="s">
        <v>107</v>
      </c>
    </row>
    <row r="2" spans="2:22" s="9" customFormat="1" ht="13.2" x14ac:dyDescent="0.25">
      <c r="B2" s="12" t="str">
        <f>+B5</f>
        <v>is</v>
      </c>
      <c r="C2" s="12">
        <f>+C5</f>
        <v>0</v>
      </c>
      <c r="D2" s="12" t="str">
        <f>+D5</f>
        <v>aagr</v>
      </c>
      <c r="E2" s="12"/>
      <c r="F2" s="12"/>
      <c r="G2" s="12" t="str">
        <f t="shared" ref="G2:Q2" si="0">+G5</f>
        <v>e</v>
      </c>
      <c r="H2" s="12" t="str">
        <f t="shared" si="0"/>
        <v>l</v>
      </c>
      <c r="I2" s="12" t="str">
        <f t="shared" si="0"/>
        <v>cap</v>
      </c>
      <c r="J2" s="12" t="str">
        <f t="shared" si="0"/>
        <v>lnd</v>
      </c>
      <c r="K2" s="12" t="str">
        <f>+K5</f>
        <v>natres</v>
      </c>
      <c r="L2" s="12" t="str">
        <f t="shared" si="0"/>
        <v>inv</v>
      </c>
      <c r="M2" s="12" t="str">
        <f t="shared" si="0"/>
        <v>ginv</v>
      </c>
      <c r="N2" s="12" t="str">
        <f>+N5</f>
        <v>adpinv</v>
      </c>
      <c r="O2" s="12" t="str">
        <f t="shared" si="0"/>
        <v>stb</v>
      </c>
      <c r="P2" s="12" t="str">
        <f t="shared" si="0"/>
        <v>row</v>
      </c>
      <c r="Q2" s="12" t="str">
        <f t="shared" si="0"/>
        <v>cohorts</v>
      </c>
      <c r="R2" s="12"/>
      <c r="S2" s="12" t="str">
        <f>+S5</f>
        <v>debt</v>
      </c>
      <c r="T2" s="12" t="str">
        <f>+T5</f>
        <v>nrgfac</v>
      </c>
      <c r="U2" s="12" t="str">
        <f>+U5</f>
        <v>GTAPVersion</v>
      </c>
      <c r="V2" s="12" t="str">
        <f>+V5</f>
        <v>BaseYear</v>
      </c>
    </row>
    <row r="3" spans="2:22" s="9" customFormat="1" ht="13.2" x14ac:dyDescent="0.25">
      <c r="B3" s="13" t="str">
        <f>SUBSTITUTE(ADDRESS(1,COLUMN(),4),1,)</f>
        <v>B</v>
      </c>
      <c r="C3" s="13" t="str">
        <f>SUBSTITUTE(ADDRESS(1,COLUMN(),4),1,)</f>
        <v>C</v>
      </c>
      <c r="D3" s="13" t="str">
        <f t="shared" ref="D3:V3" si="1">SUBSTITUTE(ADDRESS(1,COLUMN(),4),"1","")</f>
        <v>D</v>
      </c>
      <c r="E3" s="13"/>
      <c r="F3" s="13"/>
      <c r="G3" s="13" t="str">
        <f t="shared" si="1"/>
        <v>G</v>
      </c>
      <c r="H3" s="13" t="str">
        <f t="shared" si="1"/>
        <v>H</v>
      </c>
      <c r="I3" s="13" t="str">
        <f t="shared" si="1"/>
        <v>I</v>
      </c>
      <c r="J3" s="13" t="str">
        <f t="shared" si="1"/>
        <v>J</v>
      </c>
      <c r="K3" s="13" t="str">
        <f t="shared" si="1"/>
        <v>K</v>
      </c>
      <c r="L3" s="13" t="str">
        <f t="shared" si="1"/>
        <v>L</v>
      </c>
      <c r="M3" s="13" t="str">
        <f t="shared" si="1"/>
        <v>M</v>
      </c>
      <c r="N3" s="13" t="str">
        <f t="shared" si="1"/>
        <v>N</v>
      </c>
      <c r="O3" s="13" t="str">
        <f t="shared" si="1"/>
        <v>O</v>
      </c>
      <c r="P3" s="13" t="str">
        <f t="shared" si="1"/>
        <v>P</v>
      </c>
      <c r="Q3" s="13" t="str">
        <f t="shared" si="1"/>
        <v>Q</v>
      </c>
      <c r="R3" s="13"/>
      <c r="S3" s="13" t="str">
        <f t="shared" si="1"/>
        <v>S</v>
      </c>
      <c r="T3" s="13" t="str">
        <f t="shared" si="1"/>
        <v>T</v>
      </c>
      <c r="U3" s="13" t="str">
        <f t="shared" si="1"/>
        <v>U</v>
      </c>
      <c r="V3" s="13" t="str">
        <f t="shared" si="1"/>
        <v>V</v>
      </c>
    </row>
    <row r="4" spans="2:22" x14ac:dyDescent="0.3">
      <c r="B4" s="3"/>
      <c r="C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2:22" x14ac:dyDescent="0.3">
      <c r="B5" t="s">
        <v>20</v>
      </c>
      <c r="D5" t="s">
        <v>379</v>
      </c>
      <c r="G5" t="s">
        <v>8</v>
      </c>
      <c r="H5" t="s">
        <v>118</v>
      </c>
      <c r="I5" t="s">
        <v>19</v>
      </c>
      <c r="J5" t="s">
        <v>94</v>
      </c>
      <c r="K5" t="s">
        <v>400</v>
      </c>
      <c r="L5" t="s">
        <v>0</v>
      </c>
      <c r="M5" t="s">
        <v>33</v>
      </c>
      <c r="N5" t="s">
        <v>141</v>
      </c>
      <c r="O5" t="s">
        <v>21</v>
      </c>
      <c r="P5" t="s">
        <v>22</v>
      </c>
      <c r="Q5" t="s">
        <v>115</v>
      </c>
      <c r="R5" s="3"/>
      <c r="S5" t="s">
        <v>225</v>
      </c>
      <c r="T5" t="s">
        <v>975</v>
      </c>
      <c r="U5" t="s">
        <v>1629</v>
      </c>
      <c r="V5" t="s">
        <v>1632</v>
      </c>
    </row>
    <row r="6" spans="2:22" x14ac:dyDescent="0.3">
      <c r="B6" t="s">
        <v>632</v>
      </c>
      <c r="C6" s="18" t="s">
        <v>738</v>
      </c>
      <c r="D6" t="s">
        <v>357</v>
      </c>
      <c r="E6" t="s">
        <v>380</v>
      </c>
      <c r="G6" t="s">
        <v>147</v>
      </c>
      <c r="H6" t="s">
        <v>708</v>
      </c>
      <c r="I6" t="s">
        <v>167</v>
      </c>
      <c r="J6" t="s">
        <v>165</v>
      </c>
      <c r="K6" s="21" t="s">
        <v>365</v>
      </c>
      <c r="L6" t="s">
        <v>240</v>
      </c>
      <c r="M6" s="9" t="s">
        <v>140</v>
      </c>
      <c r="P6" s="9" t="s">
        <v>171</v>
      </c>
      <c r="Q6" t="s">
        <v>3</v>
      </c>
      <c r="R6" t="s">
        <v>1385</v>
      </c>
      <c r="S6" t="s">
        <v>225</v>
      </c>
      <c r="T6" t="s">
        <v>294</v>
      </c>
      <c r="U6" t="s">
        <v>1631</v>
      </c>
      <c r="V6">
        <v>2017</v>
      </c>
    </row>
    <row r="7" spans="2:22" x14ac:dyDescent="0.3">
      <c r="B7" t="s">
        <v>633</v>
      </c>
      <c r="C7" s="18" t="s">
        <v>739</v>
      </c>
      <c r="D7" t="s">
        <v>376</v>
      </c>
      <c r="E7" t="s">
        <v>381</v>
      </c>
      <c r="G7" t="s">
        <v>239</v>
      </c>
      <c r="H7" t="s">
        <v>709</v>
      </c>
      <c r="J7" s="4" t="s">
        <v>1001</v>
      </c>
      <c r="K7" s="21"/>
      <c r="P7" s="9"/>
      <c r="Q7" t="s">
        <v>4</v>
      </c>
      <c r="R7" t="s">
        <v>1386</v>
      </c>
    </row>
    <row r="8" spans="2:22" x14ac:dyDescent="0.3">
      <c r="B8" t="s">
        <v>634</v>
      </c>
      <c r="C8" s="18" t="s">
        <v>740</v>
      </c>
      <c r="D8" t="s">
        <v>359</v>
      </c>
      <c r="E8" t="s">
        <v>382</v>
      </c>
      <c r="G8" t="s">
        <v>246</v>
      </c>
      <c r="H8" t="s">
        <v>710</v>
      </c>
      <c r="J8" s="4" t="s">
        <v>1002</v>
      </c>
      <c r="P8" s="9"/>
      <c r="Q8" t="s">
        <v>5</v>
      </c>
      <c r="R8" t="s">
        <v>1387</v>
      </c>
    </row>
    <row r="9" spans="2:22" x14ac:dyDescent="0.3">
      <c r="B9" t="s">
        <v>635</v>
      </c>
      <c r="C9" s="18" t="s">
        <v>741</v>
      </c>
      <c r="D9" t="s">
        <v>136</v>
      </c>
      <c r="E9" t="s">
        <v>383</v>
      </c>
      <c r="G9" t="s">
        <v>143</v>
      </c>
      <c r="H9" t="s">
        <v>711</v>
      </c>
      <c r="J9" s="4" t="s">
        <v>1003</v>
      </c>
      <c r="P9" s="9"/>
      <c r="Q9" t="s">
        <v>6</v>
      </c>
      <c r="R9" t="s">
        <v>1388</v>
      </c>
    </row>
    <row r="10" spans="2:22" x14ac:dyDescent="0.3">
      <c r="B10" t="s">
        <v>636</v>
      </c>
      <c r="C10" s="18" t="s">
        <v>742</v>
      </c>
      <c r="D10" t="s">
        <v>371</v>
      </c>
      <c r="E10" t="s">
        <v>395</v>
      </c>
      <c r="G10" t="s">
        <v>172</v>
      </c>
      <c r="H10" t="s">
        <v>712</v>
      </c>
      <c r="J10" s="4" t="s">
        <v>1004</v>
      </c>
      <c r="P10" s="9"/>
    </row>
    <row r="11" spans="2:22" x14ac:dyDescent="0.3">
      <c r="B11" t="s">
        <v>637</v>
      </c>
      <c r="C11" s="18" t="s">
        <v>743</v>
      </c>
      <c r="D11" t="s">
        <v>294</v>
      </c>
      <c r="E11" t="s">
        <v>384</v>
      </c>
      <c r="H11" t="s">
        <v>1325</v>
      </c>
      <c r="J11" s="4" t="s">
        <v>1005</v>
      </c>
      <c r="P11" s="9"/>
    </row>
    <row r="12" spans="2:22" x14ac:dyDescent="0.3">
      <c r="B12" t="s">
        <v>638</v>
      </c>
      <c r="C12" s="18" t="s">
        <v>744</v>
      </c>
      <c r="D12" t="s">
        <v>358</v>
      </c>
      <c r="E12" t="s">
        <v>385</v>
      </c>
      <c r="H12" t="s">
        <v>1343</v>
      </c>
      <c r="J12" s="4" t="s">
        <v>1006</v>
      </c>
      <c r="P12" s="9"/>
    </row>
    <row r="13" spans="2:22" x14ac:dyDescent="0.3">
      <c r="B13" t="s">
        <v>639</v>
      </c>
      <c r="C13" s="18" t="s">
        <v>745</v>
      </c>
      <c r="D13" t="s">
        <v>377</v>
      </c>
      <c r="E13" t="s">
        <v>386</v>
      </c>
      <c r="H13" t="s">
        <v>1326</v>
      </c>
      <c r="J13" s="4" t="s">
        <v>1007</v>
      </c>
      <c r="P13" s="9"/>
    </row>
    <row r="14" spans="2:22" x14ac:dyDescent="0.3">
      <c r="B14" t="s">
        <v>640</v>
      </c>
      <c r="C14" s="18" t="s">
        <v>746</v>
      </c>
      <c r="D14" t="s">
        <v>372</v>
      </c>
      <c r="E14" t="s">
        <v>387</v>
      </c>
      <c r="H14" t="s">
        <v>1327</v>
      </c>
      <c r="J14" s="4" t="s">
        <v>1008</v>
      </c>
      <c r="P14" s="9"/>
    </row>
    <row r="15" spans="2:22" x14ac:dyDescent="0.3">
      <c r="B15" t="s">
        <v>1166</v>
      </c>
      <c r="C15" s="18" t="s">
        <v>1167</v>
      </c>
      <c r="D15" t="s">
        <v>373</v>
      </c>
      <c r="E15" t="s">
        <v>195</v>
      </c>
      <c r="H15" t="s">
        <v>1328</v>
      </c>
      <c r="J15" s="4" t="s">
        <v>1009</v>
      </c>
    </row>
    <row r="16" spans="2:22" x14ac:dyDescent="0.3">
      <c r="B16" t="s">
        <v>641</v>
      </c>
      <c r="C16" s="18" t="s">
        <v>747</v>
      </c>
      <c r="D16" t="s">
        <v>356</v>
      </c>
      <c r="E16" t="s">
        <v>36</v>
      </c>
      <c r="H16" t="s">
        <v>1334</v>
      </c>
      <c r="J16" s="4" t="s">
        <v>1010</v>
      </c>
    </row>
    <row r="17" spans="2:10" x14ac:dyDescent="0.3">
      <c r="B17" t="s">
        <v>642</v>
      </c>
      <c r="C17" s="18" t="s">
        <v>748</v>
      </c>
      <c r="D17" t="s">
        <v>137</v>
      </c>
      <c r="E17" t="s">
        <v>388</v>
      </c>
      <c r="H17" t="s">
        <v>1378</v>
      </c>
      <c r="J17" s="4" t="s">
        <v>1011</v>
      </c>
    </row>
    <row r="18" spans="2:10" x14ac:dyDescent="0.3">
      <c r="B18" t="s">
        <v>643</v>
      </c>
      <c r="C18" s="18" t="s">
        <v>749</v>
      </c>
      <c r="D18" t="s">
        <v>213</v>
      </c>
      <c r="E18" t="s">
        <v>213</v>
      </c>
      <c r="H18" t="s">
        <v>1335</v>
      </c>
      <c r="J18" s="4" t="s">
        <v>1012</v>
      </c>
    </row>
    <row r="19" spans="2:10" x14ac:dyDescent="0.3">
      <c r="B19" t="s">
        <v>247</v>
      </c>
      <c r="C19" s="18" t="s">
        <v>750</v>
      </c>
      <c r="D19" t="s">
        <v>374</v>
      </c>
      <c r="E19" t="s">
        <v>32</v>
      </c>
      <c r="H19" t="s">
        <v>1336</v>
      </c>
      <c r="J19" s="4" t="s">
        <v>1013</v>
      </c>
    </row>
    <row r="20" spans="2:10" x14ac:dyDescent="0.3">
      <c r="B20" t="s">
        <v>644</v>
      </c>
      <c r="C20" s="18" t="s">
        <v>751</v>
      </c>
      <c r="D20" t="s">
        <v>375</v>
      </c>
      <c r="E20" t="s">
        <v>389</v>
      </c>
      <c r="H20" t="s">
        <v>1337</v>
      </c>
      <c r="J20" s="4" t="s">
        <v>1014</v>
      </c>
    </row>
    <row r="21" spans="2:10" x14ac:dyDescent="0.3">
      <c r="B21" t="s">
        <v>235</v>
      </c>
      <c r="C21" s="18" t="s">
        <v>752</v>
      </c>
      <c r="H21" t="s">
        <v>1150</v>
      </c>
      <c r="J21" s="4" t="s">
        <v>1015</v>
      </c>
    </row>
    <row r="22" spans="2:10" x14ac:dyDescent="0.3">
      <c r="B22" s="18" t="s">
        <v>242</v>
      </c>
      <c r="C22" s="18" t="s">
        <v>753</v>
      </c>
      <c r="H22" t="s">
        <v>1151</v>
      </c>
      <c r="J22" s="4" t="s">
        <v>1016</v>
      </c>
    </row>
    <row r="23" spans="2:10" x14ac:dyDescent="0.3">
      <c r="B23" s="18" t="s">
        <v>248</v>
      </c>
      <c r="C23" s="18" t="s">
        <v>754</v>
      </c>
      <c r="H23" t="s">
        <v>1152</v>
      </c>
      <c r="J23" s="4" t="s">
        <v>1017</v>
      </c>
    </row>
    <row r="24" spans="2:10" x14ac:dyDescent="0.3">
      <c r="B24" t="s">
        <v>1477</v>
      </c>
      <c r="C24" t="s">
        <v>1472</v>
      </c>
      <c r="H24" t="s">
        <v>1153</v>
      </c>
      <c r="J24" s="4" t="s">
        <v>1018</v>
      </c>
    </row>
    <row r="25" spans="2:10" x14ac:dyDescent="0.3">
      <c r="B25" t="s">
        <v>1478</v>
      </c>
      <c r="C25" t="s">
        <v>1473</v>
      </c>
      <c r="J25" t="s">
        <v>1197</v>
      </c>
    </row>
    <row r="26" spans="2:10" x14ac:dyDescent="0.3">
      <c r="B26" t="s">
        <v>1479</v>
      </c>
      <c r="C26" t="s">
        <v>1474</v>
      </c>
    </row>
    <row r="27" spans="2:10" x14ac:dyDescent="0.3">
      <c r="B27" t="s">
        <v>1480</v>
      </c>
      <c r="C27" t="s">
        <v>1475</v>
      </c>
    </row>
    <row r="28" spans="2:10" x14ac:dyDescent="0.3">
      <c r="B28" t="s">
        <v>1481</v>
      </c>
      <c r="C28" t="s">
        <v>1476</v>
      </c>
    </row>
    <row r="29" spans="2:10" x14ac:dyDescent="0.3">
      <c r="B29" t="s">
        <v>645</v>
      </c>
      <c r="C29" s="18" t="s">
        <v>755</v>
      </c>
    </row>
    <row r="30" spans="2:10" x14ac:dyDescent="0.3">
      <c r="B30" t="s">
        <v>646</v>
      </c>
      <c r="C30" s="18" t="s">
        <v>756</v>
      </c>
    </row>
    <row r="31" spans="2:10" x14ac:dyDescent="0.3">
      <c r="B31" t="s">
        <v>647</v>
      </c>
      <c r="C31" s="18" t="s">
        <v>757</v>
      </c>
    </row>
    <row r="32" spans="2:10" x14ac:dyDescent="0.3">
      <c r="B32" t="s">
        <v>648</v>
      </c>
      <c r="C32" s="18" t="s">
        <v>758</v>
      </c>
    </row>
    <row r="33" spans="2:3" x14ac:dyDescent="0.3">
      <c r="B33" t="s">
        <v>649</v>
      </c>
      <c r="C33" s="18" t="s">
        <v>759</v>
      </c>
    </row>
    <row r="34" spans="2:3" x14ac:dyDescent="0.3">
      <c r="B34" t="s">
        <v>650</v>
      </c>
      <c r="C34" s="18" t="s">
        <v>760</v>
      </c>
    </row>
    <row r="35" spans="2:3" x14ac:dyDescent="0.3">
      <c r="B35" t="s">
        <v>651</v>
      </c>
      <c r="C35" s="18" t="s">
        <v>761</v>
      </c>
    </row>
    <row r="36" spans="2:3" x14ac:dyDescent="0.3">
      <c r="B36" t="s">
        <v>258</v>
      </c>
      <c r="C36" s="18" t="s">
        <v>762</v>
      </c>
    </row>
    <row r="37" spans="2:3" x14ac:dyDescent="0.3">
      <c r="B37" t="s">
        <v>261</v>
      </c>
      <c r="C37" s="18" t="s">
        <v>763</v>
      </c>
    </row>
    <row r="38" spans="2:3" x14ac:dyDescent="0.3">
      <c r="B38" t="s">
        <v>652</v>
      </c>
      <c r="C38" t="s">
        <v>764</v>
      </c>
    </row>
    <row r="39" spans="2:3" x14ac:dyDescent="0.3">
      <c r="B39" t="s">
        <v>653</v>
      </c>
      <c r="C39" s="18" t="s">
        <v>765</v>
      </c>
    </row>
    <row r="40" spans="2:3" x14ac:dyDescent="0.3">
      <c r="B40" t="s">
        <v>654</v>
      </c>
      <c r="C40" s="18" t="s">
        <v>766</v>
      </c>
    </row>
    <row r="41" spans="2:3" x14ac:dyDescent="0.3">
      <c r="B41" t="s">
        <v>655</v>
      </c>
      <c r="C41" s="18" t="s">
        <v>767</v>
      </c>
    </row>
    <row r="42" spans="2:3" x14ac:dyDescent="0.3">
      <c r="B42" t="s">
        <v>253</v>
      </c>
      <c r="C42" s="18" t="s">
        <v>768</v>
      </c>
    </row>
    <row r="43" spans="2:3" x14ac:dyDescent="0.3">
      <c r="B43" t="s">
        <v>1469</v>
      </c>
      <c r="C43" s="18" t="s">
        <v>1482</v>
      </c>
    </row>
    <row r="44" spans="2:3" x14ac:dyDescent="0.3">
      <c r="B44" t="s">
        <v>1486</v>
      </c>
      <c r="C44" s="18" t="s">
        <v>1483</v>
      </c>
    </row>
    <row r="45" spans="2:3" x14ac:dyDescent="0.3">
      <c r="B45" t="s">
        <v>1470</v>
      </c>
      <c r="C45" s="18" t="s">
        <v>1484</v>
      </c>
    </row>
    <row r="46" spans="2:3" x14ac:dyDescent="0.3">
      <c r="B46" t="s">
        <v>1555</v>
      </c>
      <c r="C46" s="18" t="s">
        <v>1485</v>
      </c>
    </row>
    <row r="47" spans="2:3" x14ac:dyDescent="0.3">
      <c r="B47" t="s">
        <v>269</v>
      </c>
      <c r="C47" s="18" t="s">
        <v>769</v>
      </c>
    </row>
    <row r="48" spans="2:3" x14ac:dyDescent="0.3">
      <c r="B48" t="s">
        <v>1556</v>
      </c>
      <c r="C48" s="18" t="s">
        <v>1487</v>
      </c>
    </row>
    <row r="49" spans="2:3" x14ac:dyDescent="0.3">
      <c r="B49" t="s">
        <v>1493</v>
      </c>
      <c r="C49" s="18" t="s">
        <v>1488</v>
      </c>
    </row>
    <row r="50" spans="2:3" x14ac:dyDescent="0.3">
      <c r="B50" t="s">
        <v>1494</v>
      </c>
      <c r="C50" s="18" t="s">
        <v>1489</v>
      </c>
    </row>
    <row r="51" spans="2:3" x14ac:dyDescent="0.3">
      <c r="B51" t="s">
        <v>1495</v>
      </c>
      <c r="C51" s="18" t="s">
        <v>1490</v>
      </c>
    </row>
    <row r="52" spans="2:3" x14ac:dyDescent="0.3">
      <c r="B52" t="s">
        <v>1467</v>
      </c>
      <c r="C52" s="18" t="s">
        <v>1491</v>
      </c>
    </row>
    <row r="53" spans="2:3" x14ac:dyDescent="0.3">
      <c r="B53" t="s">
        <v>1496</v>
      </c>
      <c r="C53" s="18" t="s">
        <v>1492</v>
      </c>
    </row>
    <row r="54" spans="2:3" x14ac:dyDescent="0.3">
      <c r="B54" t="s">
        <v>1511</v>
      </c>
      <c r="C54" s="18" t="s">
        <v>1497</v>
      </c>
    </row>
    <row r="55" spans="2:3" x14ac:dyDescent="0.3">
      <c r="B55" t="s">
        <v>1512</v>
      </c>
      <c r="C55" s="18" t="s">
        <v>1498</v>
      </c>
    </row>
    <row r="56" spans="2:3" x14ac:dyDescent="0.3">
      <c r="B56" t="s">
        <v>1513</v>
      </c>
      <c r="C56" s="18" t="s">
        <v>1499</v>
      </c>
    </row>
    <row r="57" spans="2:3" x14ac:dyDescent="0.3">
      <c r="B57" t="s">
        <v>1514</v>
      </c>
      <c r="C57" s="18" t="s">
        <v>1500</v>
      </c>
    </row>
    <row r="58" spans="2:3" x14ac:dyDescent="0.3">
      <c r="B58" t="s">
        <v>1515</v>
      </c>
      <c r="C58" s="18" t="s">
        <v>1501</v>
      </c>
    </row>
    <row r="59" spans="2:3" x14ac:dyDescent="0.3">
      <c r="B59" t="s">
        <v>1519</v>
      </c>
      <c r="C59" s="18" t="s">
        <v>1502</v>
      </c>
    </row>
    <row r="60" spans="2:3" x14ac:dyDescent="0.3">
      <c r="B60" t="s">
        <v>1520</v>
      </c>
      <c r="C60" s="18" t="s">
        <v>1503</v>
      </c>
    </row>
    <row r="61" spans="2:3" x14ac:dyDescent="0.3">
      <c r="B61" t="s">
        <v>1516</v>
      </c>
      <c r="C61" s="18" t="s">
        <v>1504</v>
      </c>
    </row>
    <row r="62" spans="2:3" x14ac:dyDescent="0.3">
      <c r="B62" t="s">
        <v>1521</v>
      </c>
      <c r="C62" s="18" t="s">
        <v>1505</v>
      </c>
    </row>
    <row r="63" spans="2:3" x14ac:dyDescent="0.3">
      <c r="B63" t="s">
        <v>1522</v>
      </c>
      <c r="C63" s="18" t="s">
        <v>1506</v>
      </c>
    </row>
    <row r="64" spans="2:3" x14ac:dyDescent="0.3">
      <c r="B64" t="s">
        <v>1523</v>
      </c>
      <c r="C64" s="18" t="s">
        <v>1507</v>
      </c>
    </row>
    <row r="65" spans="2:3" x14ac:dyDescent="0.3">
      <c r="B65" t="s">
        <v>1524</v>
      </c>
      <c r="C65" s="18" t="s">
        <v>1508</v>
      </c>
    </row>
    <row r="66" spans="2:3" x14ac:dyDescent="0.3">
      <c r="B66" t="s">
        <v>1517</v>
      </c>
      <c r="C66" s="18" t="s">
        <v>1509</v>
      </c>
    </row>
    <row r="67" spans="2:3" x14ac:dyDescent="0.3">
      <c r="B67" t="s">
        <v>1518</v>
      </c>
      <c r="C67" s="18" t="s">
        <v>1510</v>
      </c>
    </row>
    <row r="68" spans="2:3" x14ac:dyDescent="0.3">
      <c r="B68" t="s">
        <v>276</v>
      </c>
      <c r="C68" s="18" t="s">
        <v>321</v>
      </c>
    </row>
    <row r="69" spans="2:3" x14ac:dyDescent="0.3">
      <c r="B69" t="s">
        <v>278</v>
      </c>
      <c r="C69" s="18" t="s">
        <v>840</v>
      </c>
    </row>
    <row r="70" spans="2:3" x14ac:dyDescent="0.3">
      <c r="B70" t="s">
        <v>656</v>
      </c>
      <c r="C70" s="18" t="s">
        <v>770</v>
      </c>
    </row>
    <row r="71" spans="2:3" x14ac:dyDescent="0.3">
      <c r="B71" t="s">
        <v>657</v>
      </c>
      <c r="C71" s="18" t="s">
        <v>841</v>
      </c>
    </row>
    <row r="72" spans="2:3" x14ac:dyDescent="0.3">
      <c r="B72" t="s">
        <v>280</v>
      </c>
      <c r="C72" s="18" t="s">
        <v>842</v>
      </c>
    </row>
    <row r="73" spans="2:3" x14ac:dyDescent="0.3">
      <c r="B73" t="s">
        <v>658</v>
      </c>
      <c r="C73" s="18" t="s">
        <v>843</v>
      </c>
    </row>
    <row r="74" spans="2:3" x14ac:dyDescent="0.3">
      <c r="B74" t="s">
        <v>282</v>
      </c>
      <c r="C74" s="18" t="s">
        <v>844</v>
      </c>
    </row>
    <row r="75" spans="2:3" x14ac:dyDescent="0.3">
      <c r="B75" t="s">
        <v>283</v>
      </c>
      <c r="C75" s="18" t="s">
        <v>845</v>
      </c>
    </row>
    <row r="76" spans="2:3" x14ac:dyDescent="0.3">
      <c r="B76" s="18" t="s">
        <v>659</v>
      </c>
      <c r="C76" t="s">
        <v>771</v>
      </c>
    </row>
    <row r="77" spans="2:3" x14ac:dyDescent="0.3">
      <c r="B77" t="s">
        <v>660</v>
      </c>
      <c r="C77" t="s">
        <v>776</v>
      </c>
    </row>
    <row r="78" spans="2:3" x14ac:dyDescent="0.3">
      <c r="B78" t="s">
        <v>661</v>
      </c>
      <c r="C78" t="s">
        <v>777</v>
      </c>
    </row>
    <row r="79" spans="2:3" x14ac:dyDescent="0.3">
      <c r="B79" t="s">
        <v>662</v>
      </c>
      <c r="C79" t="s">
        <v>778</v>
      </c>
    </row>
    <row r="80" spans="2:3" x14ac:dyDescent="0.3">
      <c r="B80" t="s">
        <v>663</v>
      </c>
      <c r="C80" t="s">
        <v>772</v>
      </c>
    </row>
    <row r="81" spans="2:3" x14ac:dyDescent="0.3">
      <c r="B81" t="s">
        <v>664</v>
      </c>
      <c r="C81" t="s">
        <v>773</v>
      </c>
    </row>
    <row r="82" spans="2:3" x14ac:dyDescent="0.3">
      <c r="B82" t="s">
        <v>665</v>
      </c>
      <c r="C82" t="s">
        <v>774</v>
      </c>
    </row>
    <row r="83" spans="2:3" x14ac:dyDescent="0.3">
      <c r="B83" t="s">
        <v>250</v>
      </c>
      <c r="C83" t="s">
        <v>779</v>
      </c>
    </row>
    <row r="84" spans="2:3" x14ac:dyDescent="0.3">
      <c r="B84" t="s">
        <v>257</v>
      </c>
      <c r="C84" t="s">
        <v>775</v>
      </c>
    </row>
    <row r="85" spans="2:3" x14ac:dyDescent="0.3">
      <c r="B85" t="s">
        <v>666</v>
      </c>
      <c r="C85" t="s">
        <v>780</v>
      </c>
    </row>
    <row r="86" spans="2:3" x14ac:dyDescent="0.3">
      <c r="B86" t="s">
        <v>263</v>
      </c>
      <c r="C86" t="s">
        <v>781</v>
      </c>
    </row>
    <row r="87" spans="2:3" x14ac:dyDescent="0.3">
      <c r="B87" t="s">
        <v>667</v>
      </c>
      <c r="C87" t="s">
        <v>782</v>
      </c>
    </row>
    <row r="88" spans="2:3" x14ac:dyDescent="0.3">
      <c r="B88" t="s">
        <v>285</v>
      </c>
      <c r="C88" t="s">
        <v>783</v>
      </c>
    </row>
    <row r="89" spans="2:3" x14ac:dyDescent="0.3">
      <c r="B89" t="s">
        <v>286</v>
      </c>
      <c r="C89" t="s">
        <v>784</v>
      </c>
    </row>
    <row r="90" spans="2:3" x14ac:dyDescent="0.3">
      <c r="B90" t="s">
        <v>236</v>
      </c>
      <c r="C90" t="s">
        <v>846</v>
      </c>
    </row>
    <row r="91" spans="2:3" x14ac:dyDescent="0.3">
      <c r="B91" t="s">
        <v>243</v>
      </c>
      <c r="C91" t="s">
        <v>785</v>
      </c>
    </row>
    <row r="92" spans="2:3" x14ac:dyDescent="0.3">
      <c r="B92" t="s">
        <v>249</v>
      </c>
      <c r="C92" t="s">
        <v>1179</v>
      </c>
    </row>
    <row r="93" spans="2:3" x14ac:dyDescent="0.3">
      <c r="B93" t="s">
        <v>1174</v>
      </c>
      <c r="C93" t="s">
        <v>1180</v>
      </c>
    </row>
    <row r="94" spans="2:3" x14ac:dyDescent="0.3">
      <c r="B94" t="s">
        <v>252</v>
      </c>
      <c r="C94" t="s">
        <v>786</v>
      </c>
    </row>
    <row r="95" spans="2:3" x14ac:dyDescent="0.3">
      <c r="B95" t="s">
        <v>256</v>
      </c>
      <c r="C95" t="s">
        <v>824</v>
      </c>
    </row>
    <row r="96" spans="2:3" x14ac:dyDescent="0.3">
      <c r="B96" t="s">
        <v>668</v>
      </c>
      <c r="C96" t="s">
        <v>847</v>
      </c>
    </row>
    <row r="97" spans="2:3" x14ac:dyDescent="0.3">
      <c r="B97" t="s">
        <v>259</v>
      </c>
      <c r="C97" t="s">
        <v>848</v>
      </c>
    </row>
    <row r="98" spans="2:3" x14ac:dyDescent="0.3">
      <c r="B98" t="s">
        <v>262</v>
      </c>
      <c r="C98" t="s">
        <v>787</v>
      </c>
    </row>
    <row r="99" spans="2:3" x14ac:dyDescent="0.3">
      <c r="B99" t="s">
        <v>265</v>
      </c>
      <c r="C99" t="s">
        <v>788</v>
      </c>
    </row>
    <row r="100" spans="2:3" x14ac:dyDescent="0.3">
      <c r="B100" t="s">
        <v>669</v>
      </c>
      <c r="C100" t="s">
        <v>849</v>
      </c>
    </row>
    <row r="101" spans="2:3" x14ac:dyDescent="0.3">
      <c r="B101" t="s">
        <v>670</v>
      </c>
      <c r="C101" t="s">
        <v>850</v>
      </c>
    </row>
    <row r="102" spans="2:3" x14ac:dyDescent="0.3">
      <c r="B102" t="s">
        <v>671</v>
      </c>
      <c r="C102" t="s">
        <v>851</v>
      </c>
    </row>
    <row r="103" spans="2:3" x14ac:dyDescent="0.3">
      <c r="B103" t="s">
        <v>268</v>
      </c>
      <c r="C103" t="s">
        <v>852</v>
      </c>
    </row>
    <row r="104" spans="2:3" x14ac:dyDescent="0.3">
      <c r="B104" t="s">
        <v>270</v>
      </c>
      <c r="C104" t="s">
        <v>789</v>
      </c>
    </row>
    <row r="105" spans="2:3" x14ac:dyDescent="0.3">
      <c r="B105" t="s">
        <v>271</v>
      </c>
      <c r="C105" t="s">
        <v>861</v>
      </c>
    </row>
    <row r="106" spans="2:3" x14ac:dyDescent="0.3">
      <c r="B106" t="s">
        <v>672</v>
      </c>
      <c r="C106" t="s">
        <v>790</v>
      </c>
    </row>
    <row r="107" spans="2:3" x14ac:dyDescent="0.3">
      <c r="B107" t="s">
        <v>1636</v>
      </c>
      <c r="C107" t="s">
        <v>1635</v>
      </c>
    </row>
    <row r="108" spans="2:3" x14ac:dyDescent="0.3">
      <c r="B108" t="s">
        <v>1118</v>
      </c>
      <c r="C108" t="s">
        <v>1119</v>
      </c>
    </row>
    <row r="109" spans="2:3" x14ac:dyDescent="0.3">
      <c r="B109" t="s">
        <v>673</v>
      </c>
      <c r="C109" t="s">
        <v>298</v>
      </c>
    </row>
    <row r="110" spans="2:3" x14ac:dyDescent="0.3">
      <c r="B110" t="s">
        <v>674</v>
      </c>
      <c r="C110" t="s">
        <v>299</v>
      </c>
    </row>
    <row r="111" spans="2:3" x14ac:dyDescent="0.3">
      <c r="B111" t="s">
        <v>675</v>
      </c>
      <c r="C111" t="s">
        <v>791</v>
      </c>
    </row>
    <row r="112" spans="2:3" x14ac:dyDescent="0.3">
      <c r="B112" t="s">
        <v>676</v>
      </c>
      <c r="C112" t="s">
        <v>792</v>
      </c>
    </row>
    <row r="113" spans="2:3" x14ac:dyDescent="0.3">
      <c r="B113" t="s">
        <v>677</v>
      </c>
      <c r="C113" t="s">
        <v>793</v>
      </c>
    </row>
    <row r="114" spans="2:3" x14ac:dyDescent="0.3">
      <c r="B114" t="s">
        <v>678</v>
      </c>
      <c r="C114" t="s">
        <v>794</v>
      </c>
    </row>
    <row r="115" spans="2:3" x14ac:dyDescent="0.3">
      <c r="B115" t="s">
        <v>679</v>
      </c>
      <c r="C115" t="s">
        <v>795</v>
      </c>
    </row>
    <row r="116" spans="2:3" x14ac:dyDescent="0.3">
      <c r="B116" t="s">
        <v>680</v>
      </c>
      <c r="C116" t="s">
        <v>796</v>
      </c>
    </row>
    <row r="117" spans="2:3" x14ac:dyDescent="0.3">
      <c r="B117" t="s">
        <v>681</v>
      </c>
      <c r="C117" t="s">
        <v>1168</v>
      </c>
    </row>
    <row r="118" spans="2:3" x14ac:dyDescent="0.3">
      <c r="B118" t="s">
        <v>1169</v>
      </c>
      <c r="C118" t="s">
        <v>1167</v>
      </c>
    </row>
    <row r="119" spans="2:3" x14ac:dyDescent="0.3">
      <c r="B119" t="s">
        <v>682</v>
      </c>
      <c r="C119" t="s">
        <v>797</v>
      </c>
    </row>
    <row r="120" spans="2:3" x14ac:dyDescent="0.3">
      <c r="B120" t="s">
        <v>683</v>
      </c>
      <c r="C120" t="s">
        <v>308</v>
      </c>
    </row>
    <row r="121" spans="2:3" x14ac:dyDescent="0.3">
      <c r="B121" t="s">
        <v>684</v>
      </c>
      <c r="C121" t="s">
        <v>798</v>
      </c>
    </row>
    <row r="122" spans="2:3" x14ac:dyDescent="0.3">
      <c r="B122" t="s">
        <v>142</v>
      </c>
      <c r="C122" t="s">
        <v>799</v>
      </c>
    </row>
    <row r="123" spans="2:3" x14ac:dyDescent="0.3">
      <c r="B123" t="s">
        <v>685</v>
      </c>
      <c r="C123" t="s">
        <v>800</v>
      </c>
    </row>
    <row r="124" spans="2:3" x14ac:dyDescent="0.3">
      <c r="B124" t="s">
        <v>239</v>
      </c>
      <c r="C124" t="s">
        <v>311</v>
      </c>
    </row>
    <row r="125" spans="2:3" x14ac:dyDescent="0.3">
      <c r="B125" t="s">
        <v>246</v>
      </c>
      <c r="C125" t="s">
        <v>312</v>
      </c>
    </row>
    <row r="126" spans="2:3" x14ac:dyDescent="0.3">
      <c r="B126" t="s">
        <v>143</v>
      </c>
      <c r="C126" t="s">
        <v>313</v>
      </c>
    </row>
    <row r="127" spans="2:3" x14ac:dyDescent="0.3">
      <c r="B127" t="s">
        <v>1525</v>
      </c>
      <c r="C127" t="s">
        <v>1619</v>
      </c>
    </row>
    <row r="128" spans="2:3" x14ac:dyDescent="0.3">
      <c r="B128" t="s">
        <v>1455</v>
      </c>
      <c r="C128" t="s">
        <v>1620</v>
      </c>
    </row>
    <row r="129" spans="2:3" x14ac:dyDescent="0.3">
      <c r="B129" t="s">
        <v>1456</v>
      </c>
      <c r="C129" t="s">
        <v>1621</v>
      </c>
    </row>
    <row r="130" spans="2:3" x14ac:dyDescent="0.3">
      <c r="B130" t="s">
        <v>1458</v>
      </c>
      <c r="C130" t="s">
        <v>1622</v>
      </c>
    </row>
    <row r="131" spans="2:3" x14ac:dyDescent="0.3">
      <c r="B131" t="s">
        <v>1457</v>
      </c>
      <c r="C131" t="s">
        <v>1623</v>
      </c>
    </row>
    <row r="132" spans="2:3" x14ac:dyDescent="0.3">
      <c r="B132" t="s">
        <v>686</v>
      </c>
      <c r="C132" t="s">
        <v>801</v>
      </c>
    </row>
    <row r="133" spans="2:3" x14ac:dyDescent="0.3">
      <c r="B133" t="s">
        <v>687</v>
      </c>
      <c r="C133" t="s">
        <v>802</v>
      </c>
    </row>
    <row r="134" spans="2:3" x14ac:dyDescent="0.3">
      <c r="B134" t="s">
        <v>688</v>
      </c>
      <c r="C134" t="s">
        <v>803</v>
      </c>
    </row>
    <row r="135" spans="2:3" x14ac:dyDescent="0.3">
      <c r="B135" t="s">
        <v>689</v>
      </c>
      <c r="C135" t="s">
        <v>804</v>
      </c>
    </row>
    <row r="136" spans="2:3" x14ac:dyDescent="0.3">
      <c r="B136" t="s">
        <v>690</v>
      </c>
      <c r="C136" t="s">
        <v>805</v>
      </c>
    </row>
    <row r="137" spans="2:3" x14ac:dyDescent="0.3">
      <c r="B137" t="s">
        <v>691</v>
      </c>
      <c r="C137" t="s">
        <v>806</v>
      </c>
    </row>
    <row r="138" spans="2:3" x14ac:dyDescent="0.3">
      <c r="B138" t="s">
        <v>692</v>
      </c>
      <c r="C138" t="s">
        <v>807</v>
      </c>
    </row>
    <row r="139" spans="2:3" x14ac:dyDescent="0.3">
      <c r="B139" t="s">
        <v>145</v>
      </c>
      <c r="C139" t="s">
        <v>808</v>
      </c>
    </row>
    <row r="140" spans="2:3" x14ac:dyDescent="0.3">
      <c r="B140" t="s">
        <v>146</v>
      </c>
      <c r="C140" t="s">
        <v>224</v>
      </c>
    </row>
    <row r="141" spans="2:3" x14ac:dyDescent="0.3">
      <c r="B141" t="s">
        <v>693</v>
      </c>
      <c r="C141" t="s">
        <v>809</v>
      </c>
    </row>
    <row r="142" spans="2:3" x14ac:dyDescent="0.3">
      <c r="B142" t="s">
        <v>694</v>
      </c>
      <c r="C142" t="s">
        <v>810</v>
      </c>
    </row>
    <row r="143" spans="2:3" x14ac:dyDescent="0.3">
      <c r="B143" t="s">
        <v>695</v>
      </c>
      <c r="C143" t="s">
        <v>811</v>
      </c>
    </row>
    <row r="144" spans="2:3" x14ac:dyDescent="0.3">
      <c r="B144" t="s">
        <v>696</v>
      </c>
      <c r="C144" t="s">
        <v>812</v>
      </c>
    </row>
    <row r="145" spans="2:3" x14ac:dyDescent="0.3">
      <c r="B145" t="s">
        <v>147</v>
      </c>
      <c r="C145" t="s">
        <v>813</v>
      </c>
    </row>
    <row r="146" spans="2:3" x14ac:dyDescent="0.3">
      <c r="B146" t="s">
        <v>1462</v>
      </c>
      <c r="C146" s="18" t="s">
        <v>1482</v>
      </c>
    </row>
    <row r="147" spans="2:3" x14ac:dyDescent="0.3">
      <c r="B147" t="s">
        <v>1463</v>
      </c>
      <c r="C147" s="18" t="s">
        <v>1483</v>
      </c>
    </row>
    <row r="148" spans="2:3" x14ac:dyDescent="0.3">
      <c r="B148" t="s">
        <v>1464</v>
      </c>
      <c r="C148" s="18" t="s">
        <v>1484</v>
      </c>
    </row>
    <row r="149" spans="2:3" x14ac:dyDescent="0.3">
      <c r="B149" t="s">
        <v>1465</v>
      </c>
      <c r="C149" s="18" t="s">
        <v>1485</v>
      </c>
    </row>
    <row r="150" spans="2:3" x14ac:dyDescent="0.3">
      <c r="B150" t="s">
        <v>149</v>
      </c>
      <c r="C150" t="s">
        <v>814</v>
      </c>
    </row>
    <row r="151" spans="2:3" x14ac:dyDescent="0.3">
      <c r="B151" t="s">
        <v>1466</v>
      </c>
      <c r="C151" t="s">
        <v>1487</v>
      </c>
    </row>
    <row r="152" spans="2:3" x14ac:dyDescent="0.3">
      <c r="B152" t="s">
        <v>1618</v>
      </c>
      <c r="C152" t="s">
        <v>1616</v>
      </c>
    </row>
    <row r="153" spans="2:3" x14ac:dyDescent="0.3">
      <c r="B153" t="s">
        <v>1459</v>
      </c>
      <c r="C153" t="s">
        <v>1491</v>
      </c>
    </row>
    <row r="154" spans="2:3" x14ac:dyDescent="0.3">
      <c r="B154" t="s">
        <v>1460</v>
      </c>
      <c r="C154" t="s">
        <v>1617</v>
      </c>
    </row>
    <row r="155" spans="2:3" x14ac:dyDescent="0.3">
      <c r="B155" t="s">
        <v>273</v>
      </c>
      <c r="C155" t="s">
        <v>815</v>
      </c>
    </row>
    <row r="156" spans="2:3" x14ac:dyDescent="0.3">
      <c r="B156" t="s">
        <v>1610</v>
      </c>
      <c r="C156" t="s">
        <v>1613</v>
      </c>
    </row>
    <row r="157" spans="2:3" x14ac:dyDescent="0.3">
      <c r="B157" t="s">
        <v>1611</v>
      </c>
      <c r="C157" t="s">
        <v>1614</v>
      </c>
    </row>
    <row r="158" spans="2:3" x14ac:dyDescent="0.3">
      <c r="B158" t="s">
        <v>1612</v>
      </c>
      <c r="C158" t="s">
        <v>816</v>
      </c>
    </row>
    <row r="159" spans="2:3" x14ac:dyDescent="0.3">
      <c r="B159" t="s">
        <v>1461</v>
      </c>
      <c r="C159" t="s">
        <v>1615</v>
      </c>
    </row>
    <row r="160" spans="2:3" x14ac:dyDescent="0.3">
      <c r="B160" t="s">
        <v>277</v>
      </c>
      <c r="C160" t="s">
        <v>321</v>
      </c>
    </row>
    <row r="161" spans="2:3" x14ac:dyDescent="0.3">
      <c r="B161" t="s">
        <v>279</v>
      </c>
      <c r="C161" t="s">
        <v>817</v>
      </c>
    </row>
    <row r="162" spans="2:3" x14ac:dyDescent="0.3">
      <c r="B162" t="s">
        <v>697</v>
      </c>
      <c r="C162" t="s">
        <v>853</v>
      </c>
    </row>
    <row r="163" spans="2:3" x14ac:dyDescent="0.3">
      <c r="B163" t="s">
        <v>698</v>
      </c>
      <c r="C163" t="s">
        <v>854</v>
      </c>
    </row>
    <row r="164" spans="2:3" x14ac:dyDescent="0.3">
      <c r="B164" t="s">
        <v>281</v>
      </c>
      <c r="C164" t="s">
        <v>855</v>
      </c>
    </row>
    <row r="165" spans="2:3" x14ac:dyDescent="0.3">
      <c r="B165" t="s">
        <v>699</v>
      </c>
      <c r="C165" t="s">
        <v>856</v>
      </c>
    </row>
    <row r="166" spans="2:3" x14ac:dyDescent="0.3">
      <c r="B166" t="s">
        <v>150</v>
      </c>
      <c r="C166" t="s">
        <v>857</v>
      </c>
    </row>
    <row r="167" spans="2:3" x14ac:dyDescent="0.3">
      <c r="B167" t="s">
        <v>284</v>
      </c>
      <c r="C167" t="s">
        <v>858</v>
      </c>
    </row>
    <row r="168" spans="2:3" x14ac:dyDescent="0.3">
      <c r="B168" t="s">
        <v>172</v>
      </c>
      <c r="C168" t="s">
        <v>818</v>
      </c>
    </row>
    <row r="169" spans="2:3" x14ac:dyDescent="0.3">
      <c r="B169" t="s">
        <v>151</v>
      </c>
      <c r="C169" t="s">
        <v>348</v>
      </c>
    </row>
    <row r="170" spans="2:3" x14ac:dyDescent="0.3">
      <c r="B170" t="s">
        <v>152</v>
      </c>
      <c r="C170" t="s">
        <v>819</v>
      </c>
    </row>
    <row r="171" spans="2:3" x14ac:dyDescent="0.3">
      <c r="B171" t="s">
        <v>153</v>
      </c>
      <c r="C171" t="s">
        <v>194</v>
      </c>
    </row>
    <row r="172" spans="2:3" x14ac:dyDescent="0.3">
      <c r="B172" t="s">
        <v>154</v>
      </c>
      <c r="C172" t="s">
        <v>846</v>
      </c>
    </row>
    <row r="173" spans="2:3" x14ac:dyDescent="0.3">
      <c r="B173" t="s">
        <v>155</v>
      </c>
      <c r="C173" t="s">
        <v>820</v>
      </c>
    </row>
    <row r="174" spans="2:3" x14ac:dyDescent="0.3">
      <c r="B174" t="s">
        <v>156</v>
      </c>
      <c r="C174" t="s">
        <v>821</v>
      </c>
    </row>
    <row r="175" spans="2:3" x14ac:dyDescent="0.3">
      <c r="B175" t="s">
        <v>157</v>
      </c>
      <c r="C175" t="s">
        <v>822</v>
      </c>
    </row>
    <row r="176" spans="2:3" x14ac:dyDescent="0.3">
      <c r="B176" t="s">
        <v>158</v>
      </c>
      <c r="C176" t="s">
        <v>823</v>
      </c>
    </row>
    <row r="177" spans="2:3" x14ac:dyDescent="0.3">
      <c r="B177" t="s">
        <v>700</v>
      </c>
      <c r="C177" t="s">
        <v>847</v>
      </c>
    </row>
    <row r="178" spans="2:3" x14ac:dyDescent="0.3">
      <c r="B178" t="s">
        <v>159</v>
      </c>
      <c r="C178" t="s">
        <v>859</v>
      </c>
    </row>
    <row r="179" spans="2:3" x14ac:dyDescent="0.3">
      <c r="B179" t="s">
        <v>160</v>
      </c>
      <c r="C179" t="s">
        <v>787</v>
      </c>
    </row>
    <row r="180" spans="2:3" x14ac:dyDescent="0.3">
      <c r="B180" t="s">
        <v>161</v>
      </c>
      <c r="C180" t="s">
        <v>860</v>
      </c>
    </row>
    <row r="181" spans="2:3" x14ac:dyDescent="0.3">
      <c r="B181" t="s">
        <v>701</v>
      </c>
      <c r="C181" t="s">
        <v>849</v>
      </c>
    </row>
    <row r="182" spans="2:3" x14ac:dyDescent="0.3">
      <c r="B182" t="s">
        <v>702</v>
      </c>
      <c r="C182" t="s">
        <v>850</v>
      </c>
    </row>
    <row r="183" spans="2:3" x14ac:dyDescent="0.3">
      <c r="B183" t="s">
        <v>703</v>
      </c>
      <c r="C183" t="s">
        <v>851</v>
      </c>
    </row>
    <row r="184" spans="2:3" x14ac:dyDescent="0.3">
      <c r="B184" t="s">
        <v>162</v>
      </c>
      <c r="C184" t="s">
        <v>852</v>
      </c>
    </row>
    <row r="185" spans="2:3" x14ac:dyDescent="0.3">
      <c r="B185" t="s">
        <v>163</v>
      </c>
      <c r="C185" t="s">
        <v>789</v>
      </c>
    </row>
    <row r="186" spans="2:3" x14ac:dyDescent="0.3">
      <c r="B186" t="s">
        <v>164</v>
      </c>
      <c r="C186" t="s">
        <v>861</v>
      </c>
    </row>
    <row r="187" spans="2:3" x14ac:dyDescent="0.3">
      <c r="B187" s="21" t="s">
        <v>704</v>
      </c>
      <c r="C187" t="s">
        <v>790</v>
      </c>
    </row>
    <row r="188" spans="2:3" x14ac:dyDescent="0.3">
      <c r="B188" t="s">
        <v>1634</v>
      </c>
      <c r="C188" t="s">
        <v>1635</v>
      </c>
    </row>
    <row r="189" spans="2:3" x14ac:dyDescent="0.3">
      <c r="B189" s="21" t="s">
        <v>1120</v>
      </c>
      <c r="C189" t="s">
        <v>1119</v>
      </c>
    </row>
    <row r="190" spans="2:3" x14ac:dyDescent="0.3">
      <c r="B190" s="21" t="s">
        <v>705</v>
      </c>
      <c r="C190" t="s">
        <v>827</v>
      </c>
    </row>
    <row r="191" spans="2:3" x14ac:dyDescent="0.3">
      <c r="B191" s="21" t="s">
        <v>706</v>
      </c>
      <c r="C191" t="s">
        <v>828</v>
      </c>
    </row>
    <row r="192" spans="2:3" x14ac:dyDescent="0.3">
      <c r="B192" t="s">
        <v>707</v>
      </c>
      <c r="C192" t="s">
        <v>829</v>
      </c>
    </row>
    <row r="193" spans="2:3" x14ac:dyDescent="0.3">
      <c r="B193" s="21" t="s">
        <v>165</v>
      </c>
      <c r="C193" t="s">
        <v>35</v>
      </c>
    </row>
    <row r="194" spans="2:3" x14ac:dyDescent="0.3">
      <c r="B194" s="4" t="s">
        <v>1001</v>
      </c>
      <c r="C194" t="s">
        <v>1200</v>
      </c>
    </row>
    <row r="195" spans="2:3" x14ac:dyDescent="0.3">
      <c r="B195" s="4" t="s">
        <v>1002</v>
      </c>
      <c r="C195" t="s">
        <v>1201</v>
      </c>
    </row>
    <row r="196" spans="2:3" x14ac:dyDescent="0.3">
      <c r="B196" s="4" t="s">
        <v>1003</v>
      </c>
      <c r="C196" t="s">
        <v>1202</v>
      </c>
    </row>
    <row r="197" spans="2:3" x14ac:dyDescent="0.3">
      <c r="B197" s="4" t="s">
        <v>1004</v>
      </c>
      <c r="C197" t="s">
        <v>1203</v>
      </c>
    </row>
    <row r="198" spans="2:3" x14ac:dyDescent="0.3">
      <c r="B198" s="4" t="s">
        <v>1005</v>
      </c>
      <c r="C198" t="s">
        <v>1204</v>
      </c>
    </row>
    <row r="199" spans="2:3" x14ac:dyDescent="0.3">
      <c r="B199" s="4" t="s">
        <v>1006</v>
      </c>
      <c r="C199" t="s">
        <v>1205</v>
      </c>
    </row>
    <row r="200" spans="2:3" x14ac:dyDescent="0.3">
      <c r="B200" s="4" t="s">
        <v>1007</v>
      </c>
      <c r="C200" t="s">
        <v>1206</v>
      </c>
    </row>
    <row r="201" spans="2:3" x14ac:dyDescent="0.3">
      <c r="B201" s="4" t="s">
        <v>1008</v>
      </c>
      <c r="C201" t="s">
        <v>1207</v>
      </c>
    </row>
    <row r="202" spans="2:3" x14ac:dyDescent="0.3">
      <c r="B202" s="4" t="s">
        <v>1009</v>
      </c>
      <c r="C202" t="s">
        <v>1208</v>
      </c>
    </row>
    <row r="203" spans="2:3" x14ac:dyDescent="0.3">
      <c r="B203" s="4" t="s">
        <v>1010</v>
      </c>
      <c r="C203" t="s">
        <v>1209</v>
      </c>
    </row>
    <row r="204" spans="2:3" x14ac:dyDescent="0.3">
      <c r="B204" s="4" t="s">
        <v>1011</v>
      </c>
      <c r="C204" t="s">
        <v>1210</v>
      </c>
    </row>
    <row r="205" spans="2:3" x14ac:dyDescent="0.3">
      <c r="B205" s="4" t="s">
        <v>1012</v>
      </c>
      <c r="C205" t="s">
        <v>1211</v>
      </c>
    </row>
    <row r="206" spans="2:3" x14ac:dyDescent="0.3">
      <c r="B206" s="4" t="s">
        <v>1013</v>
      </c>
      <c r="C206" t="s">
        <v>1212</v>
      </c>
    </row>
    <row r="207" spans="2:3" x14ac:dyDescent="0.3">
      <c r="B207" s="4" t="s">
        <v>1014</v>
      </c>
      <c r="C207" t="s">
        <v>1213</v>
      </c>
    </row>
    <row r="208" spans="2:3" x14ac:dyDescent="0.3">
      <c r="B208" s="4" t="s">
        <v>1015</v>
      </c>
      <c r="C208" t="s">
        <v>1214</v>
      </c>
    </row>
    <row r="209" spans="2:3" x14ac:dyDescent="0.3">
      <c r="B209" s="4" t="s">
        <v>1016</v>
      </c>
      <c r="C209" t="s">
        <v>1215</v>
      </c>
    </row>
    <row r="210" spans="2:3" x14ac:dyDescent="0.3">
      <c r="B210" s="4" t="s">
        <v>1017</v>
      </c>
      <c r="C210" t="s">
        <v>1216</v>
      </c>
    </row>
    <row r="211" spans="2:3" x14ac:dyDescent="0.3">
      <c r="B211" s="4" t="s">
        <v>1018</v>
      </c>
      <c r="C211" t="s">
        <v>1217</v>
      </c>
    </row>
    <row r="212" spans="2:3" x14ac:dyDescent="0.3">
      <c r="B212" t="s">
        <v>1197</v>
      </c>
      <c r="C212" t="s">
        <v>1199</v>
      </c>
    </row>
    <row r="213" spans="2:3" x14ac:dyDescent="0.3">
      <c r="B213" t="s">
        <v>708</v>
      </c>
      <c r="C213" t="s">
        <v>865</v>
      </c>
    </row>
    <row r="214" spans="2:3" x14ac:dyDescent="0.3">
      <c r="B214" t="s">
        <v>709</v>
      </c>
      <c r="C214" t="s">
        <v>825</v>
      </c>
    </row>
    <row r="215" spans="2:3" x14ac:dyDescent="0.3">
      <c r="B215" t="s">
        <v>710</v>
      </c>
      <c r="C215" t="s">
        <v>866</v>
      </c>
    </row>
    <row r="216" spans="2:3" x14ac:dyDescent="0.3">
      <c r="B216" t="s">
        <v>711</v>
      </c>
      <c r="C216" t="s">
        <v>869</v>
      </c>
    </row>
    <row r="217" spans="2:3" x14ac:dyDescent="0.3">
      <c r="B217" t="s">
        <v>712</v>
      </c>
      <c r="C217" t="s">
        <v>863</v>
      </c>
    </row>
    <row r="218" spans="2:3" x14ac:dyDescent="0.3">
      <c r="B218" t="s">
        <v>1325</v>
      </c>
      <c r="C218" t="s">
        <v>1329</v>
      </c>
    </row>
    <row r="219" spans="2:3" x14ac:dyDescent="0.3">
      <c r="B219" t="s">
        <v>1343</v>
      </c>
      <c r="C219" t="s">
        <v>1330</v>
      </c>
    </row>
    <row r="220" spans="2:3" x14ac:dyDescent="0.3">
      <c r="B220" t="s">
        <v>1326</v>
      </c>
      <c r="C220" t="s">
        <v>1331</v>
      </c>
    </row>
    <row r="221" spans="2:3" x14ac:dyDescent="0.3">
      <c r="B221" t="s">
        <v>1327</v>
      </c>
      <c r="C221" t="s">
        <v>1332</v>
      </c>
    </row>
    <row r="222" spans="2:3" x14ac:dyDescent="0.3">
      <c r="B222" t="s">
        <v>1328</v>
      </c>
      <c r="C222" t="s">
        <v>1333</v>
      </c>
    </row>
    <row r="223" spans="2:3" x14ac:dyDescent="0.3">
      <c r="B223" t="s">
        <v>1334</v>
      </c>
      <c r="C223" t="s">
        <v>1338</v>
      </c>
    </row>
    <row r="224" spans="2:3" x14ac:dyDescent="0.3">
      <c r="B224" t="s">
        <v>1378</v>
      </c>
      <c r="C224" t="s">
        <v>1339</v>
      </c>
    </row>
    <row r="225" spans="2:3" x14ac:dyDescent="0.3">
      <c r="B225" t="s">
        <v>1335</v>
      </c>
      <c r="C225" t="s">
        <v>1340</v>
      </c>
    </row>
    <row r="226" spans="2:3" x14ac:dyDescent="0.3">
      <c r="B226" t="s">
        <v>1336</v>
      </c>
      <c r="C226" t="s">
        <v>1341</v>
      </c>
    </row>
    <row r="227" spans="2:3" x14ac:dyDescent="0.3">
      <c r="B227" t="s">
        <v>1337</v>
      </c>
      <c r="C227" t="s">
        <v>1342</v>
      </c>
    </row>
    <row r="228" spans="2:3" x14ac:dyDescent="0.3">
      <c r="B228" t="s">
        <v>1150</v>
      </c>
      <c r="C228" t="s">
        <v>1154</v>
      </c>
    </row>
    <row r="229" spans="2:3" x14ac:dyDescent="0.3">
      <c r="B229" t="s">
        <v>1151</v>
      </c>
      <c r="C229" t="s">
        <v>1155</v>
      </c>
    </row>
    <row r="230" spans="2:3" x14ac:dyDescent="0.3">
      <c r="B230" t="s">
        <v>1152</v>
      </c>
      <c r="C230" t="s">
        <v>1156</v>
      </c>
    </row>
    <row r="231" spans="2:3" x14ac:dyDescent="0.3">
      <c r="B231" t="s">
        <v>1153</v>
      </c>
      <c r="C231" t="s">
        <v>1157</v>
      </c>
    </row>
    <row r="232" spans="2:3" x14ac:dyDescent="0.3">
      <c r="B232" t="s">
        <v>167</v>
      </c>
      <c r="C232" t="s">
        <v>1</v>
      </c>
    </row>
    <row r="233" spans="2:3" x14ac:dyDescent="0.3">
      <c r="B233" t="s">
        <v>365</v>
      </c>
      <c r="C233" t="s">
        <v>826</v>
      </c>
    </row>
    <row r="234" spans="2:3" x14ac:dyDescent="0.3">
      <c r="B234" t="s">
        <v>713</v>
      </c>
      <c r="C234" t="s">
        <v>211</v>
      </c>
    </row>
    <row r="235" spans="2:3" x14ac:dyDescent="0.3">
      <c r="B235" t="s">
        <v>132</v>
      </c>
      <c r="C235" t="s">
        <v>2</v>
      </c>
    </row>
    <row r="236" spans="2:3" x14ac:dyDescent="0.3">
      <c r="B236" t="s">
        <v>166</v>
      </c>
      <c r="C236" t="s">
        <v>37</v>
      </c>
    </row>
    <row r="237" spans="2:3" x14ac:dyDescent="0.3">
      <c r="B237" t="s">
        <v>225</v>
      </c>
      <c r="C237" t="s">
        <v>830</v>
      </c>
    </row>
    <row r="238" spans="2:3" x14ac:dyDescent="0.3">
      <c r="B238" t="s">
        <v>140</v>
      </c>
      <c r="C238" t="s">
        <v>831</v>
      </c>
    </row>
    <row r="239" spans="2:3" x14ac:dyDescent="0.3">
      <c r="B239" s="4" t="s">
        <v>943</v>
      </c>
      <c r="C239" t="s">
        <v>867</v>
      </c>
    </row>
    <row r="240" spans="2:3" x14ac:dyDescent="0.3">
      <c r="B240" s="4" t="s">
        <v>944</v>
      </c>
      <c r="C240" t="s">
        <v>862</v>
      </c>
    </row>
    <row r="241" spans="2:3" x14ac:dyDescent="0.3">
      <c r="B241" s="4" t="s">
        <v>945</v>
      </c>
      <c r="C241" t="s">
        <v>868</v>
      </c>
    </row>
    <row r="242" spans="2:3" x14ac:dyDescent="0.3">
      <c r="B242" s="4" t="s">
        <v>946</v>
      </c>
      <c r="C242" t="s">
        <v>870</v>
      </c>
    </row>
    <row r="243" spans="2:3" x14ac:dyDescent="0.3">
      <c r="B243" s="4" t="s">
        <v>947</v>
      </c>
      <c r="C243" t="s">
        <v>864</v>
      </c>
    </row>
    <row r="244" spans="2:3" x14ac:dyDescent="0.3">
      <c r="B244" t="s">
        <v>1353</v>
      </c>
      <c r="C244" t="s">
        <v>1381</v>
      </c>
    </row>
    <row r="245" spans="2:3" x14ac:dyDescent="0.3">
      <c r="B245" t="s">
        <v>1354</v>
      </c>
      <c r="C245" t="s">
        <v>1344</v>
      </c>
    </row>
    <row r="246" spans="2:3" x14ac:dyDescent="0.3">
      <c r="B246" t="s">
        <v>1355</v>
      </c>
      <c r="C246" t="s">
        <v>1345</v>
      </c>
    </row>
    <row r="247" spans="2:3" x14ac:dyDescent="0.3">
      <c r="B247" t="s">
        <v>1356</v>
      </c>
      <c r="C247" t="s">
        <v>1346</v>
      </c>
    </row>
    <row r="248" spans="2:3" x14ac:dyDescent="0.3">
      <c r="B248" t="s">
        <v>1357</v>
      </c>
      <c r="C248" t="s">
        <v>1347</v>
      </c>
    </row>
    <row r="249" spans="2:3" x14ac:dyDescent="0.3">
      <c r="B249" t="s">
        <v>1358</v>
      </c>
      <c r="C249" t="s">
        <v>1348</v>
      </c>
    </row>
    <row r="250" spans="2:3" x14ac:dyDescent="0.3">
      <c r="B250" t="s">
        <v>1380</v>
      </c>
      <c r="C250" t="s">
        <v>1349</v>
      </c>
    </row>
    <row r="251" spans="2:3" x14ac:dyDescent="0.3">
      <c r="B251" t="s">
        <v>1359</v>
      </c>
      <c r="C251" t="s">
        <v>1350</v>
      </c>
    </row>
    <row r="252" spans="2:3" x14ac:dyDescent="0.3">
      <c r="B252" t="s">
        <v>1360</v>
      </c>
      <c r="C252" t="s">
        <v>1351</v>
      </c>
    </row>
    <row r="253" spans="2:3" x14ac:dyDescent="0.3">
      <c r="B253" t="s">
        <v>1361</v>
      </c>
      <c r="C253" t="s">
        <v>1352</v>
      </c>
    </row>
    <row r="254" spans="2:3" x14ac:dyDescent="0.3">
      <c r="B254" t="s">
        <v>1142</v>
      </c>
      <c r="C254" t="s">
        <v>1237</v>
      </c>
    </row>
    <row r="255" spans="2:3" x14ac:dyDescent="0.3">
      <c r="B255" t="s">
        <v>1143</v>
      </c>
      <c r="C255" t="s">
        <v>1238</v>
      </c>
    </row>
    <row r="256" spans="2:3" x14ac:dyDescent="0.3">
      <c r="B256" t="s">
        <v>1144</v>
      </c>
      <c r="C256" t="s">
        <v>1239</v>
      </c>
    </row>
    <row r="257" spans="2:3" x14ac:dyDescent="0.3">
      <c r="B257" t="s">
        <v>1145</v>
      </c>
      <c r="C257" t="s">
        <v>1240</v>
      </c>
    </row>
    <row r="258" spans="2:3" x14ac:dyDescent="0.3">
      <c r="B258" s="4" t="s">
        <v>191</v>
      </c>
      <c r="C258" t="s">
        <v>833</v>
      </c>
    </row>
    <row r="259" spans="2:3" x14ac:dyDescent="0.3">
      <c r="B259" s="4" t="s">
        <v>190</v>
      </c>
      <c r="C259" t="s">
        <v>832</v>
      </c>
    </row>
    <row r="260" spans="2:3" x14ac:dyDescent="0.3">
      <c r="B260" s="4" t="s">
        <v>1053</v>
      </c>
      <c r="C260" t="s">
        <v>1218</v>
      </c>
    </row>
    <row r="261" spans="2:3" x14ac:dyDescent="0.3">
      <c r="B261" s="4" t="s">
        <v>1036</v>
      </c>
      <c r="C261" t="s">
        <v>1219</v>
      </c>
    </row>
    <row r="262" spans="2:3" x14ac:dyDescent="0.3">
      <c r="B262" s="4" t="s">
        <v>1037</v>
      </c>
      <c r="C262" t="s">
        <v>1220</v>
      </c>
    </row>
    <row r="263" spans="2:3" x14ac:dyDescent="0.3">
      <c r="B263" s="4" t="s">
        <v>1038</v>
      </c>
      <c r="C263" t="s">
        <v>1221</v>
      </c>
    </row>
    <row r="264" spans="2:3" x14ac:dyDescent="0.3">
      <c r="B264" s="4" t="s">
        <v>1039</v>
      </c>
      <c r="C264" t="s">
        <v>1222</v>
      </c>
    </row>
    <row r="265" spans="2:3" x14ac:dyDescent="0.3">
      <c r="B265" s="4" t="s">
        <v>1040</v>
      </c>
      <c r="C265" t="s">
        <v>1223</v>
      </c>
    </row>
    <row r="266" spans="2:3" x14ac:dyDescent="0.3">
      <c r="B266" s="4" t="s">
        <v>1041</v>
      </c>
      <c r="C266" t="s">
        <v>1224</v>
      </c>
    </row>
    <row r="267" spans="2:3" x14ac:dyDescent="0.3">
      <c r="B267" s="4" t="s">
        <v>1042</v>
      </c>
      <c r="C267" t="s">
        <v>1225</v>
      </c>
    </row>
    <row r="268" spans="2:3" x14ac:dyDescent="0.3">
      <c r="B268" s="4" t="s">
        <v>1043</v>
      </c>
      <c r="C268" t="s">
        <v>1226</v>
      </c>
    </row>
    <row r="269" spans="2:3" x14ac:dyDescent="0.3">
      <c r="B269" s="4" t="s">
        <v>1044</v>
      </c>
      <c r="C269" t="s">
        <v>1227</v>
      </c>
    </row>
    <row r="270" spans="2:3" x14ac:dyDescent="0.3">
      <c r="B270" s="4" t="s">
        <v>1045</v>
      </c>
      <c r="C270" t="s">
        <v>1228</v>
      </c>
    </row>
    <row r="271" spans="2:3" x14ac:dyDescent="0.3">
      <c r="B271" s="4" t="s">
        <v>1046</v>
      </c>
      <c r="C271" t="s">
        <v>1229</v>
      </c>
    </row>
    <row r="272" spans="2:3" x14ac:dyDescent="0.3">
      <c r="B272" s="4" t="s">
        <v>1047</v>
      </c>
      <c r="C272" t="s">
        <v>1230</v>
      </c>
    </row>
    <row r="273" spans="2:3" x14ac:dyDescent="0.3">
      <c r="B273" s="4" t="s">
        <v>1048</v>
      </c>
      <c r="C273" t="s">
        <v>1231</v>
      </c>
    </row>
    <row r="274" spans="2:3" x14ac:dyDescent="0.3">
      <c r="B274" s="4" t="s">
        <v>1049</v>
      </c>
      <c r="C274" t="s">
        <v>1232</v>
      </c>
    </row>
    <row r="275" spans="2:3" x14ac:dyDescent="0.3">
      <c r="B275" s="4" t="s">
        <v>1050</v>
      </c>
      <c r="C275" t="s">
        <v>1233</v>
      </c>
    </row>
    <row r="276" spans="2:3" x14ac:dyDescent="0.3">
      <c r="B276" s="4" t="s">
        <v>1051</v>
      </c>
      <c r="C276" t="s">
        <v>1234</v>
      </c>
    </row>
    <row r="277" spans="2:3" x14ac:dyDescent="0.3">
      <c r="B277" s="4" t="s">
        <v>1052</v>
      </c>
      <c r="C277" t="s">
        <v>1235</v>
      </c>
    </row>
    <row r="278" spans="2:3" x14ac:dyDescent="0.3">
      <c r="B278" s="4" t="s">
        <v>1198</v>
      </c>
      <c r="C278" t="s">
        <v>1236</v>
      </c>
    </row>
    <row r="279" spans="2:3" x14ac:dyDescent="0.3">
      <c r="B279" s="4" t="s">
        <v>192</v>
      </c>
      <c r="C279" t="s">
        <v>834</v>
      </c>
    </row>
    <row r="280" spans="2:3" x14ac:dyDescent="0.3">
      <c r="B280" t="s">
        <v>940</v>
      </c>
      <c r="C280" t="s">
        <v>835</v>
      </c>
    </row>
    <row r="281" spans="2:3" x14ac:dyDescent="0.3">
      <c r="B281" t="s">
        <v>941</v>
      </c>
      <c r="C281" t="s">
        <v>836</v>
      </c>
    </row>
    <row r="282" spans="2:3" x14ac:dyDescent="0.3">
      <c r="B282" t="s">
        <v>169</v>
      </c>
      <c r="C282" t="s">
        <v>837</v>
      </c>
    </row>
    <row r="283" spans="2:3" x14ac:dyDescent="0.3">
      <c r="B283" t="s">
        <v>170</v>
      </c>
      <c r="C283" t="s">
        <v>838</v>
      </c>
    </row>
    <row r="284" spans="2:3" x14ac:dyDescent="0.3">
      <c r="B284" t="s">
        <v>942</v>
      </c>
      <c r="C284" t="s">
        <v>872</v>
      </c>
    </row>
    <row r="285" spans="2:3" x14ac:dyDescent="0.3">
      <c r="B285" t="s">
        <v>240</v>
      </c>
      <c r="C285" t="s">
        <v>871</v>
      </c>
    </row>
    <row r="286" spans="2:3" x14ac:dyDescent="0.3">
      <c r="B286" t="s">
        <v>171</v>
      </c>
      <c r="C286" t="s">
        <v>839</v>
      </c>
    </row>
    <row r="287" spans="2:3" x14ac:dyDescent="0.3">
      <c r="B287" t="s">
        <v>349</v>
      </c>
      <c r="C287" t="s">
        <v>873</v>
      </c>
    </row>
    <row r="288" spans="2:3" x14ac:dyDescent="0.3">
      <c r="B288" t="s">
        <v>350</v>
      </c>
      <c r="C288" t="s">
        <v>874</v>
      </c>
    </row>
    <row r="289" spans="2:3" x14ac:dyDescent="0.3">
      <c r="B289" t="s">
        <v>730</v>
      </c>
      <c r="C289" t="s">
        <v>875</v>
      </c>
    </row>
    <row r="290" spans="2:3" x14ac:dyDescent="0.3">
      <c r="B290" t="s">
        <v>728</v>
      </c>
      <c r="C290" t="s">
        <v>876</v>
      </c>
    </row>
    <row r="291" spans="2:3" x14ac:dyDescent="0.3">
      <c r="B291" t="s">
        <v>294</v>
      </c>
      <c r="C291" t="s">
        <v>877</v>
      </c>
    </row>
    <row r="292" spans="2:3" x14ac:dyDescent="0.3">
      <c r="B292" t="s">
        <v>734</v>
      </c>
      <c r="C292" t="s">
        <v>878</v>
      </c>
    </row>
    <row r="293" spans="2:3" x14ac:dyDescent="0.3">
      <c r="B293" t="s">
        <v>735</v>
      </c>
      <c r="C293" t="s">
        <v>879</v>
      </c>
    </row>
    <row r="294" spans="2:3" x14ac:dyDescent="0.3">
      <c r="B294" t="s">
        <v>731</v>
      </c>
      <c r="C294" t="s">
        <v>880</v>
      </c>
    </row>
    <row r="295" spans="2:3" x14ac:dyDescent="0.3">
      <c r="B295" t="s">
        <v>729</v>
      </c>
      <c r="C295" t="s">
        <v>881</v>
      </c>
    </row>
    <row r="296" spans="2:3" x14ac:dyDescent="0.3">
      <c r="B296" t="s">
        <v>732</v>
      </c>
      <c r="C296" t="s">
        <v>882</v>
      </c>
    </row>
    <row r="297" spans="2:3" x14ac:dyDescent="0.3">
      <c r="B297" t="s">
        <v>733</v>
      </c>
      <c r="C297" t="s">
        <v>883</v>
      </c>
    </row>
    <row r="298" spans="2:3" x14ac:dyDescent="0.3">
      <c r="B298" t="s">
        <v>351</v>
      </c>
      <c r="C298" t="s">
        <v>884</v>
      </c>
    </row>
    <row r="299" spans="2:3" x14ac:dyDescent="0.3">
      <c r="B299" t="s">
        <v>736</v>
      </c>
      <c r="C299" t="s">
        <v>885</v>
      </c>
    </row>
    <row r="300" spans="2:3" x14ac:dyDescent="0.3">
      <c r="B300" t="s">
        <v>737</v>
      </c>
      <c r="C300" t="s">
        <v>886</v>
      </c>
    </row>
    <row r="301" spans="2:3" x14ac:dyDescent="0.3">
      <c r="B301" t="s">
        <v>352</v>
      </c>
      <c r="C301" t="s">
        <v>887</v>
      </c>
    </row>
    <row r="302" spans="2:3" x14ac:dyDescent="0.3">
      <c r="B302" t="s">
        <v>353</v>
      </c>
      <c r="C302" t="s">
        <v>888</v>
      </c>
    </row>
    <row r="303" spans="2:3" x14ac:dyDescent="0.3">
      <c r="B303" t="s">
        <v>355</v>
      </c>
    </row>
    <row r="304" spans="2:3" x14ac:dyDescent="0.3">
      <c r="B304" t="s">
        <v>714</v>
      </c>
    </row>
    <row r="305" spans="2:2" x14ac:dyDescent="0.3">
      <c r="B305" t="s">
        <v>715</v>
      </c>
    </row>
    <row r="306" spans="2:2" x14ac:dyDescent="0.3">
      <c r="B306" t="s">
        <v>716</v>
      </c>
    </row>
    <row r="307" spans="2:2" x14ac:dyDescent="0.3">
      <c r="B307" t="s">
        <v>717</v>
      </c>
    </row>
    <row r="308" spans="2:2" x14ac:dyDescent="0.3">
      <c r="B308" t="s">
        <v>718</v>
      </c>
    </row>
    <row r="309" spans="2:2" x14ac:dyDescent="0.3">
      <c r="B309" t="s">
        <v>719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N397"/>
  <sheetViews>
    <sheetView topLeftCell="A91" workbookViewId="0">
      <selection activeCell="M108" sqref="M108:N108"/>
    </sheetView>
  </sheetViews>
  <sheetFormatPr baseColWidth="10" defaultColWidth="8.88671875" defaultRowHeight="14.4" x14ac:dyDescent="0.3"/>
  <cols>
    <col min="2" max="2" width="12.88671875" bestFit="1" customWidth="1"/>
    <col min="5" max="5" width="12.5546875" bestFit="1" customWidth="1"/>
    <col min="6" max="6" width="13.44140625" bestFit="1" customWidth="1"/>
    <col min="7" max="7" width="16.21875" customWidth="1"/>
    <col min="8" max="8" width="12.5546875" bestFit="1" customWidth="1"/>
    <col min="9" max="9" width="13.44140625" bestFit="1" customWidth="1"/>
    <col min="11" max="11" width="22.77734375" customWidth="1"/>
  </cols>
  <sheetData>
    <row r="1" spans="1:14" s="9" customFormat="1" ht="13.2" x14ac:dyDescent="0.25">
      <c r="A1" s="8" t="s">
        <v>108</v>
      </c>
    </row>
    <row r="2" spans="1:14" s="9" customFormat="1" ht="13.2" x14ac:dyDescent="0.25">
      <c r="A2" s="13" t="str">
        <f>+A5</f>
        <v>mapaGTAP</v>
      </c>
      <c r="B2" s="13">
        <f t="shared" ref="B2:N2" si="0">+B5</f>
        <v>0</v>
      </c>
      <c r="C2" s="13">
        <f t="shared" si="0"/>
        <v>0</v>
      </c>
      <c r="D2" s="13" t="str">
        <f t="shared" si="0"/>
        <v>mapcGTAP</v>
      </c>
      <c r="E2" s="13">
        <f t="shared" si="0"/>
        <v>0</v>
      </c>
      <c r="F2" s="13">
        <f t="shared" si="0"/>
        <v>0</v>
      </c>
      <c r="G2" s="13" t="str">
        <f t="shared" si="0"/>
        <v>mapis</v>
      </c>
      <c r="H2" s="13">
        <f t="shared" si="0"/>
        <v>0</v>
      </c>
      <c r="I2" s="13">
        <f t="shared" si="0"/>
        <v>0</v>
      </c>
      <c r="J2" s="13" t="str">
        <f t="shared" si="0"/>
        <v>maptax</v>
      </c>
      <c r="K2" s="13">
        <f t="shared" si="0"/>
        <v>0</v>
      </c>
      <c r="L2" s="13"/>
      <c r="M2" s="13" t="str">
        <f t="shared" si="0"/>
        <v>mapaagr</v>
      </c>
      <c r="N2" s="13">
        <f t="shared" si="0"/>
        <v>0</v>
      </c>
    </row>
    <row r="3" spans="1:14" s="9" customFormat="1" ht="13.2" x14ac:dyDescent="0.25">
      <c r="A3" s="9" t="str">
        <f>+SUBSTITUTE(ADDRESS(1,COLUMN(),4),"1","")</f>
        <v>A</v>
      </c>
      <c r="B3" s="9" t="str">
        <f t="shared" ref="B3:N3" si="1">+SUBSTITUTE(ADDRESS(1,COLUMN(),4),"1","")</f>
        <v>B</v>
      </c>
      <c r="C3" s="9" t="str">
        <f t="shared" si="1"/>
        <v>C</v>
      </c>
      <c r="D3" s="9" t="str">
        <f t="shared" si="1"/>
        <v>D</v>
      </c>
      <c r="E3" s="9" t="str">
        <f t="shared" si="1"/>
        <v>E</v>
      </c>
      <c r="F3" s="9" t="str">
        <f t="shared" si="1"/>
        <v>F</v>
      </c>
      <c r="G3" s="9" t="str">
        <f t="shared" si="1"/>
        <v>G</v>
      </c>
      <c r="H3" s="9" t="str">
        <f>+SUBSTITUTE(ADDRESS(1,COLUMN(),4),"1","")</f>
        <v>H</v>
      </c>
      <c r="I3" s="9" t="str">
        <f t="shared" si="1"/>
        <v>I</v>
      </c>
      <c r="J3" s="9" t="str">
        <f t="shared" si="1"/>
        <v>J</v>
      </c>
      <c r="K3" s="9" t="str">
        <f t="shared" si="1"/>
        <v>K</v>
      </c>
      <c r="M3" s="9" t="str">
        <f t="shared" si="1"/>
        <v>M</v>
      </c>
      <c r="N3" s="9" t="str">
        <f t="shared" si="1"/>
        <v>N</v>
      </c>
    </row>
    <row r="4" spans="1:14" s="9" customFormat="1" ht="13.2" x14ac:dyDescent="0.25">
      <c r="A4" s="13"/>
      <c r="B4" s="8"/>
      <c r="C4" s="14"/>
      <c r="M4" s="9" t="s">
        <v>117</v>
      </c>
    </row>
    <row r="5" spans="1:14" s="15" customFormat="1" x14ac:dyDescent="0.3">
      <c r="A5" s="8" t="s">
        <v>106</v>
      </c>
      <c r="B5" s="9"/>
      <c r="C5" s="8"/>
      <c r="D5" t="s">
        <v>109</v>
      </c>
      <c r="F5" s="8"/>
      <c r="G5" t="s">
        <v>116</v>
      </c>
      <c r="I5" s="8"/>
      <c r="J5" t="s">
        <v>397</v>
      </c>
      <c r="K5" s="16"/>
      <c r="M5" s="15" t="s">
        <v>378</v>
      </c>
    </row>
    <row r="6" spans="1:14" x14ac:dyDescent="0.3">
      <c r="A6" t="s">
        <v>43</v>
      </c>
      <c r="B6" t="s">
        <v>474</v>
      </c>
      <c r="D6" t="s">
        <v>43</v>
      </c>
      <c r="E6" t="s">
        <v>544</v>
      </c>
      <c r="G6" t="s">
        <v>474</v>
      </c>
      <c r="H6" t="s">
        <v>632</v>
      </c>
      <c r="J6" t="s">
        <v>26</v>
      </c>
      <c r="K6" t="s">
        <v>170</v>
      </c>
      <c r="M6" t="s">
        <v>357</v>
      </c>
      <c r="N6" t="s">
        <v>632</v>
      </c>
    </row>
    <row r="7" spans="1:14" x14ac:dyDescent="0.3">
      <c r="A7" t="s">
        <v>47</v>
      </c>
      <c r="B7" t="s">
        <v>475</v>
      </c>
      <c r="D7" t="s">
        <v>47</v>
      </c>
      <c r="E7" t="s">
        <v>545</v>
      </c>
      <c r="G7" t="s">
        <v>475</v>
      </c>
      <c r="H7" t="s">
        <v>633</v>
      </c>
      <c r="J7" t="s">
        <v>24</v>
      </c>
      <c r="K7" s="44" t="s">
        <v>169</v>
      </c>
      <c r="M7" t="s">
        <v>357</v>
      </c>
      <c r="N7" t="s">
        <v>633</v>
      </c>
    </row>
    <row r="8" spans="1:14" x14ac:dyDescent="0.3">
      <c r="A8" t="s">
        <v>48</v>
      </c>
      <c r="B8" t="s">
        <v>476</v>
      </c>
      <c r="D8" t="s">
        <v>48</v>
      </c>
      <c r="E8" t="s">
        <v>546</v>
      </c>
      <c r="G8" t="s">
        <v>476</v>
      </c>
      <c r="H8" t="s">
        <v>634</v>
      </c>
      <c r="J8" t="s">
        <v>34</v>
      </c>
      <c r="K8" t="s">
        <v>942</v>
      </c>
      <c r="M8" t="s">
        <v>357</v>
      </c>
      <c r="N8" t="s">
        <v>634</v>
      </c>
    </row>
    <row r="9" spans="1:14" x14ac:dyDescent="0.3">
      <c r="A9" t="s">
        <v>49</v>
      </c>
      <c r="B9" t="s">
        <v>477</v>
      </c>
      <c r="D9" t="s">
        <v>49</v>
      </c>
      <c r="E9" t="s">
        <v>547</v>
      </c>
      <c r="G9" t="s">
        <v>477</v>
      </c>
      <c r="H9" t="s">
        <v>635</v>
      </c>
      <c r="J9" t="s">
        <v>27</v>
      </c>
      <c r="K9" t="s">
        <v>941</v>
      </c>
      <c r="M9" t="s">
        <v>357</v>
      </c>
      <c r="N9" t="s">
        <v>635</v>
      </c>
    </row>
    <row r="10" spans="1:14" x14ac:dyDescent="0.3">
      <c r="A10" t="s">
        <v>50</v>
      </c>
      <c r="B10" t="s">
        <v>478</v>
      </c>
      <c r="D10" t="s">
        <v>50</v>
      </c>
      <c r="E10" t="s">
        <v>548</v>
      </c>
      <c r="G10" t="s">
        <v>478</v>
      </c>
      <c r="H10" t="s">
        <v>636</v>
      </c>
      <c r="J10" t="s">
        <v>401</v>
      </c>
      <c r="K10" t="s">
        <v>355</v>
      </c>
      <c r="M10" t="s">
        <v>357</v>
      </c>
      <c r="N10" t="s">
        <v>636</v>
      </c>
    </row>
    <row r="11" spans="1:14" x14ac:dyDescent="0.3">
      <c r="A11" t="s">
        <v>134</v>
      </c>
      <c r="B11" t="s">
        <v>479</v>
      </c>
      <c r="D11" t="s">
        <v>134</v>
      </c>
      <c r="E11" t="s">
        <v>549</v>
      </c>
      <c r="G11" t="s">
        <v>479</v>
      </c>
      <c r="H11" t="s">
        <v>637</v>
      </c>
      <c r="J11" t="s">
        <v>31</v>
      </c>
      <c r="K11" t="s">
        <v>355</v>
      </c>
      <c r="M11" t="s">
        <v>357</v>
      </c>
      <c r="N11" t="s">
        <v>637</v>
      </c>
    </row>
    <row r="12" spans="1:14" x14ac:dyDescent="0.3">
      <c r="A12" t="s">
        <v>51</v>
      </c>
      <c r="B12" t="s">
        <v>480</v>
      </c>
      <c r="D12" t="s">
        <v>51</v>
      </c>
      <c r="E12" t="s">
        <v>550</v>
      </c>
      <c r="G12" t="s">
        <v>480</v>
      </c>
      <c r="H12" t="s">
        <v>638</v>
      </c>
      <c r="J12" t="s">
        <v>25</v>
      </c>
      <c r="K12" t="s">
        <v>355</v>
      </c>
      <c r="M12" t="s">
        <v>357</v>
      </c>
      <c r="N12" t="s">
        <v>638</v>
      </c>
    </row>
    <row r="13" spans="1:14" x14ac:dyDescent="0.3">
      <c r="A13" t="s">
        <v>52</v>
      </c>
      <c r="B13" t="s">
        <v>481</v>
      </c>
      <c r="D13" t="s">
        <v>52</v>
      </c>
      <c r="E13" t="s">
        <v>551</v>
      </c>
      <c r="G13" t="s">
        <v>481</v>
      </c>
      <c r="H13" t="s">
        <v>639</v>
      </c>
      <c r="J13" t="s">
        <v>28</v>
      </c>
      <c r="K13" t="s">
        <v>940</v>
      </c>
      <c r="M13" t="s">
        <v>357</v>
      </c>
      <c r="N13" t="s">
        <v>639</v>
      </c>
    </row>
    <row r="14" spans="1:14" x14ac:dyDescent="0.3">
      <c r="A14" t="s">
        <v>53</v>
      </c>
      <c r="B14" t="s">
        <v>482</v>
      </c>
      <c r="D14" t="s">
        <v>53</v>
      </c>
      <c r="E14" t="s">
        <v>552</v>
      </c>
      <c r="G14" t="s">
        <v>482</v>
      </c>
      <c r="H14" t="s">
        <v>640</v>
      </c>
      <c r="J14" t="s">
        <v>23</v>
      </c>
      <c r="K14" t="s">
        <v>355</v>
      </c>
      <c r="M14" t="s">
        <v>357</v>
      </c>
      <c r="N14" t="s">
        <v>640</v>
      </c>
    </row>
    <row r="15" spans="1:14" x14ac:dyDescent="0.3">
      <c r="A15" t="s">
        <v>53</v>
      </c>
      <c r="B15" t="s">
        <v>1170</v>
      </c>
      <c r="D15" t="s">
        <v>53</v>
      </c>
      <c r="E15" t="s">
        <v>1171</v>
      </c>
      <c r="G15" t="s">
        <v>1170</v>
      </c>
      <c r="H15" t="s">
        <v>1166</v>
      </c>
      <c r="K15" s="4"/>
      <c r="M15" t="s">
        <v>357</v>
      </c>
      <c r="N15" t="s">
        <v>1166</v>
      </c>
    </row>
    <row r="16" spans="1:14" x14ac:dyDescent="0.3">
      <c r="A16" t="s">
        <v>54</v>
      </c>
      <c r="B16" t="s">
        <v>483</v>
      </c>
      <c r="D16" t="s">
        <v>54</v>
      </c>
      <c r="E16" t="s">
        <v>553</v>
      </c>
      <c r="G16" t="s">
        <v>483</v>
      </c>
      <c r="H16" t="s">
        <v>641</v>
      </c>
      <c r="K16" s="4"/>
      <c r="M16" t="s">
        <v>357</v>
      </c>
      <c r="N16" t="s">
        <v>641</v>
      </c>
    </row>
    <row r="17" spans="1:14" x14ac:dyDescent="0.3">
      <c r="A17" t="s">
        <v>55</v>
      </c>
      <c r="B17" t="s">
        <v>484</v>
      </c>
      <c r="D17" t="s">
        <v>55</v>
      </c>
      <c r="E17" t="s">
        <v>554</v>
      </c>
      <c r="G17" t="s">
        <v>484</v>
      </c>
      <c r="H17" t="s">
        <v>642</v>
      </c>
      <c r="K17" s="4"/>
      <c r="M17" t="s">
        <v>357</v>
      </c>
      <c r="N17" t="s">
        <v>642</v>
      </c>
    </row>
    <row r="18" spans="1:14" x14ac:dyDescent="0.3">
      <c r="A18" t="s">
        <v>55</v>
      </c>
      <c r="B18" t="s">
        <v>1170</v>
      </c>
      <c r="D18" t="s">
        <v>55</v>
      </c>
      <c r="E18" t="s">
        <v>1171</v>
      </c>
      <c r="G18" t="s">
        <v>485</v>
      </c>
      <c r="H18" t="s">
        <v>643</v>
      </c>
      <c r="K18" s="4"/>
      <c r="M18" t="s">
        <v>357</v>
      </c>
      <c r="N18" t="s">
        <v>643</v>
      </c>
    </row>
    <row r="19" spans="1:14" x14ac:dyDescent="0.3">
      <c r="A19" t="s">
        <v>56</v>
      </c>
      <c r="B19" t="s">
        <v>485</v>
      </c>
      <c r="D19" t="s">
        <v>56</v>
      </c>
      <c r="E19" t="s">
        <v>555</v>
      </c>
      <c r="G19" t="s">
        <v>486</v>
      </c>
      <c r="H19" t="s">
        <v>247</v>
      </c>
      <c r="K19" s="4"/>
      <c r="M19" t="s">
        <v>357</v>
      </c>
      <c r="N19" t="s">
        <v>247</v>
      </c>
    </row>
    <row r="20" spans="1:14" x14ac:dyDescent="0.3">
      <c r="A20" t="s">
        <v>57</v>
      </c>
      <c r="B20" t="s">
        <v>486</v>
      </c>
      <c r="D20" t="s">
        <v>57</v>
      </c>
      <c r="E20" t="s">
        <v>556</v>
      </c>
      <c r="G20" t="s">
        <v>487</v>
      </c>
      <c r="H20" t="s">
        <v>644</v>
      </c>
      <c r="K20" s="4"/>
      <c r="M20" t="s">
        <v>357</v>
      </c>
      <c r="N20" t="s">
        <v>644</v>
      </c>
    </row>
    <row r="21" spans="1:14" x14ac:dyDescent="0.3">
      <c r="A21" t="s">
        <v>58</v>
      </c>
      <c r="B21" t="s">
        <v>487</v>
      </c>
      <c r="D21" t="s">
        <v>58</v>
      </c>
      <c r="E21" t="s">
        <v>557</v>
      </c>
      <c r="G21" t="s">
        <v>488</v>
      </c>
      <c r="H21" t="s">
        <v>235</v>
      </c>
      <c r="K21" s="4"/>
      <c r="M21" t="s">
        <v>359</v>
      </c>
      <c r="N21" t="s">
        <v>242</v>
      </c>
    </row>
    <row r="22" spans="1:14" x14ac:dyDescent="0.3">
      <c r="A22" t="s">
        <v>42</v>
      </c>
      <c r="B22" t="s">
        <v>488</v>
      </c>
      <c r="D22" t="s">
        <v>42</v>
      </c>
      <c r="E22" t="s">
        <v>558</v>
      </c>
      <c r="G22" s="18" t="s">
        <v>489</v>
      </c>
      <c r="H22" s="18" t="s">
        <v>242</v>
      </c>
      <c r="K22" s="4"/>
      <c r="M22" t="s">
        <v>359</v>
      </c>
      <c r="N22" t="s">
        <v>248</v>
      </c>
    </row>
    <row r="23" spans="1:14" x14ac:dyDescent="0.3">
      <c r="A23" t="s">
        <v>59</v>
      </c>
      <c r="B23" s="18" t="s">
        <v>489</v>
      </c>
      <c r="D23" t="s">
        <v>59</v>
      </c>
      <c r="E23" t="s">
        <v>559</v>
      </c>
      <c r="G23" s="18" t="s">
        <v>490</v>
      </c>
      <c r="H23" s="18" t="s">
        <v>248</v>
      </c>
      <c r="K23" s="4"/>
      <c r="M23" t="s">
        <v>359</v>
      </c>
      <c r="N23" t="s">
        <v>235</v>
      </c>
    </row>
    <row r="24" spans="1:14" x14ac:dyDescent="0.3">
      <c r="A24" t="s">
        <v>44</v>
      </c>
      <c r="B24" s="18" t="s">
        <v>490</v>
      </c>
      <c r="D24" t="s">
        <v>44</v>
      </c>
      <c r="E24" t="s">
        <v>560</v>
      </c>
      <c r="G24" t="s">
        <v>1526</v>
      </c>
      <c r="H24" t="s">
        <v>1477</v>
      </c>
      <c r="K24" s="4"/>
      <c r="M24" t="s">
        <v>359</v>
      </c>
      <c r="N24" t="s">
        <v>1477</v>
      </c>
    </row>
    <row r="25" spans="1:14" x14ac:dyDescent="0.3">
      <c r="A25" t="s">
        <v>1628</v>
      </c>
      <c r="B25" t="s">
        <v>1526</v>
      </c>
      <c r="D25" t="s">
        <v>1628</v>
      </c>
      <c r="E25" t="s">
        <v>1560</v>
      </c>
      <c r="G25" t="s">
        <v>1527</v>
      </c>
      <c r="H25" t="s">
        <v>1478</v>
      </c>
      <c r="K25" s="4"/>
      <c r="M25" t="s">
        <v>359</v>
      </c>
      <c r="N25" t="s">
        <v>1478</v>
      </c>
    </row>
    <row r="26" spans="1:14" x14ac:dyDescent="0.3">
      <c r="A26" t="s">
        <v>1558</v>
      </c>
      <c r="B26" t="s">
        <v>1527</v>
      </c>
      <c r="D26" t="s">
        <v>1558</v>
      </c>
      <c r="E26" t="s">
        <v>1561</v>
      </c>
      <c r="G26" t="s">
        <v>1528</v>
      </c>
      <c r="H26" t="s">
        <v>1479</v>
      </c>
      <c r="K26" s="4"/>
      <c r="M26" t="s">
        <v>359</v>
      </c>
      <c r="N26" t="s">
        <v>1479</v>
      </c>
    </row>
    <row r="27" spans="1:14" x14ac:dyDescent="0.3">
      <c r="A27" t="s">
        <v>1559</v>
      </c>
      <c r="B27" t="s">
        <v>1528</v>
      </c>
      <c r="D27" t="s">
        <v>1559</v>
      </c>
      <c r="E27" t="s">
        <v>1562</v>
      </c>
      <c r="G27" t="s">
        <v>1564</v>
      </c>
      <c r="H27" t="s">
        <v>1480</v>
      </c>
      <c r="K27" s="4"/>
      <c r="M27" t="s">
        <v>359</v>
      </c>
      <c r="N27" t="s">
        <v>1480</v>
      </c>
    </row>
    <row r="28" spans="1:14" x14ac:dyDescent="0.3">
      <c r="A28" t="s">
        <v>1565</v>
      </c>
      <c r="B28" t="s">
        <v>1564</v>
      </c>
      <c r="D28" t="s">
        <v>1565</v>
      </c>
      <c r="E28" t="s">
        <v>1566</v>
      </c>
      <c r="G28" t="s">
        <v>1529</v>
      </c>
      <c r="H28" t="s">
        <v>1481</v>
      </c>
      <c r="K28" s="4"/>
      <c r="M28" t="s">
        <v>359</v>
      </c>
      <c r="N28" t="s">
        <v>1481</v>
      </c>
    </row>
    <row r="29" spans="1:14" x14ac:dyDescent="0.3">
      <c r="A29" t="s">
        <v>1557</v>
      </c>
      <c r="B29" t="s">
        <v>1529</v>
      </c>
      <c r="D29" t="s">
        <v>1557</v>
      </c>
      <c r="E29" t="s">
        <v>1563</v>
      </c>
      <c r="G29" t="s">
        <v>491</v>
      </c>
      <c r="H29" t="s">
        <v>645</v>
      </c>
      <c r="K29" s="4"/>
      <c r="M29" t="s">
        <v>136</v>
      </c>
      <c r="N29" t="s">
        <v>645</v>
      </c>
    </row>
    <row r="30" spans="1:14" x14ac:dyDescent="0.3">
      <c r="A30" t="s">
        <v>60</v>
      </c>
      <c r="B30" t="s">
        <v>491</v>
      </c>
      <c r="D30" t="s">
        <v>60</v>
      </c>
      <c r="E30" t="s">
        <v>561</v>
      </c>
      <c r="G30" t="s">
        <v>492</v>
      </c>
      <c r="H30" t="s">
        <v>646</v>
      </c>
      <c r="K30" s="4"/>
      <c r="M30" t="s">
        <v>136</v>
      </c>
      <c r="N30" t="s">
        <v>646</v>
      </c>
    </row>
    <row r="31" spans="1:14" x14ac:dyDescent="0.3">
      <c r="A31" t="s">
        <v>61</v>
      </c>
      <c r="B31" t="s">
        <v>492</v>
      </c>
      <c r="D31" t="s">
        <v>61</v>
      </c>
      <c r="E31" t="s">
        <v>562</v>
      </c>
      <c r="G31" t="s">
        <v>493</v>
      </c>
      <c r="H31" t="s">
        <v>647</v>
      </c>
      <c r="K31" s="4"/>
      <c r="M31" t="s">
        <v>136</v>
      </c>
      <c r="N31" t="s">
        <v>647</v>
      </c>
    </row>
    <row r="32" spans="1:14" x14ac:dyDescent="0.3">
      <c r="A32" t="s">
        <v>62</v>
      </c>
      <c r="B32" t="s">
        <v>493</v>
      </c>
      <c r="D32" t="s">
        <v>62</v>
      </c>
      <c r="E32" t="s">
        <v>563</v>
      </c>
      <c r="G32" t="s">
        <v>494</v>
      </c>
      <c r="H32" t="s">
        <v>648</v>
      </c>
      <c r="K32" s="4"/>
      <c r="M32" t="s">
        <v>136</v>
      </c>
      <c r="N32" t="s">
        <v>648</v>
      </c>
    </row>
    <row r="33" spans="1:14" x14ac:dyDescent="0.3">
      <c r="A33" t="s">
        <v>63</v>
      </c>
      <c r="B33" t="s">
        <v>494</v>
      </c>
      <c r="D33" t="s">
        <v>63</v>
      </c>
      <c r="E33" t="s">
        <v>564</v>
      </c>
      <c r="G33" t="s">
        <v>495</v>
      </c>
      <c r="H33" t="s">
        <v>649</v>
      </c>
      <c r="K33" s="4"/>
      <c r="M33" t="s">
        <v>136</v>
      </c>
      <c r="N33" t="s">
        <v>649</v>
      </c>
    </row>
    <row r="34" spans="1:14" x14ac:dyDescent="0.3">
      <c r="A34" t="s">
        <v>64</v>
      </c>
      <c r="B34" t="s">
        <v>495</v>
      </c>
      <c r="D34" t="s">
        <v>64</v>
      </c>
      <c r="E34" t="s">
        <v>565</v>
      </c>
      <c r="G34" t="s">
        <v>496</v>
      </c>
      <c r="H34" t="s">
        <v>650</v>
      </c>
      <c r="K34" s="4"/>
      <c r="M34" t="s">
        <v>136</v>
      </c>
      <c r="N34" t="s">
        <v>650</v>
      </c>
    </row>
    <row r="35" spans="1:14" x14ac:dyDescent="0.3">
      <c r="A35" t="s">
        <v>65</v>
      </c>
      <c r="B35" t="s">
        <v>496</v>
      </c>
      <c r="D35" t="s">
        <v>65</v>
      </c>
      <c r="E35" t="s">
        <v>566</v>
      </c>
      <c r="G35" t="s">
        <v>497</v>
      </c>
      <c r="H35" t="s">
        <v>651</v>
      </c>
      <c r="K35" s="4"/>
      <c r="M35" t="s">
        <v>136</v>
      </c>
      <c r="N35" t="s">
        <v>651</v>
      </c>
    </row>
    <row r="36" spans="1:14" x14ac:dyDescent="0.3">
      <c r="A36" t="s">
        <v>66</v>
      </c>
      <c r="B36" t="s">
        <v>497</v>
      </c>
      <c r="D36" t="s">
        <v>66</v>
      </c>
      <c r="E36" t="s">
        <v>567</v>
      </c>
      <c r="G36" t="s">
        <v>498</v>
      </c>
      <c r="H36" t="s">
        <v>258</v>
      </c>
      <c r="M36" t="s">
        <v>136</v>
      </c>
      <c r="N36" t="s">
        <v>258</v>
      </c>
    </row>
    <row r="37" spans="1:14" x14ac:dyDescent="0.3">
      <c r="A37" t="s">
        <v>67</v>
      </c>
      <c r="B37" t="s">
        <v>498</v>
      </c>
      <c r="D37" t="s">
        <v>67</v>
      </c>
      <c r="E37" t="s">
        <v>568</v>
      </c>
      <c r="G37" t="s">
        <v>499</v>
      </c>
      <c r="H37" t="s">
        <v>261</v>
      </c>
      <c r="M37" t="s">
        <v>136</v>
      </c>
      <c r="N37" t="s">
        <v>261</v>
      </c>
    </row>
    <row r="38" spans="1:14" x14ac:dyDescent="0.3">
      <c r="A38" t="s">
        <v>68</v>
      </c>
      <c r="B38" t="s">
        <v>499</v>
      </c>
      <c r="D38" t="s">
        <v>68</v>
      </c>
      <c r="E38" t="s">
        <v>569</v>
      </c>
      <c r="G38" t="s">
        <v>500</v>
      </c>
      <c r="H38" t="s">
        <v>652</v>
      </c>
      <c r="M38" t="s">
        <v>136</v>
      </c>
      <c r="N38" t="s">
        <v>653</v>
      </c>
    </row>
    <row r="39" spans="1:14" x14ac:dyDescent="0.3">
      <c r="A39" t="s">
        <v>69</v>
      </c>
      <c r="B39" t="s">
        <v>500</v>
      </c>
      <c r="D39" t="s">
        <v>69</v>
      </c>
      <c r="E39" t="s">
        <v>570</v>
      </c>
      <c r="G39" t="s">
        <v>501</v>
      </c>
      <c r="H39" t="s">
        <v>653</v>
      </c>
      <c r="M39" t="s">
        <v>136</v>
      </c>
      <c r="N39" t="s">
        <v>652</v>
      </c>
    </row>
    <row r="40" spans="1:14" x14ac:dyDescent="0.3">
      <c r="A40" t="s">
        <v>70</v>
      </c>
      <c r="B40" t="s">
        <v>501</v>
      </c>
      <c r="D40" t="s">
        <v>70</v>
      </c>
      <c r="E40" t="s">
        <v>571</v>
      </c>
      <c r="G40" t="s">
        <v>502</v>
      </c>
      <c r="H40" t="s">
        <v>654</v>
      </c>
      <c r="M40" t="s">
        <v>136</v>
      </c>
      <c r="N40" t="s">
        <v>654</v>
      </c>
    </row>
    <row r="41" spans="1:14" x14ac:dyDescent="0.3">
      <c r="A41" s="18" t="s">
        <v>71</v>
      </c>
      <c r="B41" t="s">
        <v>502</v>
      </c>
      <c r="D41" s="18" t="s">
        <v>71</v>
      </c>
      <c r="E41" t="s">
        <v>572</v>
      </c>
      <c r="G41" t="s">
        <v>503</v>
      </c>
      <c r="H41" t="s">
        <v>655</v>
      </c>
      <c r="M41" t="s">
        <v>136</v>
      </c>
      <c r="N41" t="s">
        <v>253</v>
      </c>
    </row>
    <row r="42" spans="1:14" x14ac:dyDescent="0.3">
      <c r="A42" s="18" t="s">
        <v>72</v>
      </c>
      <c r="B42" t="s">
        <v>503</v>
      </c>
      <c r="D42" s="18" t="s">
        <v>72</v>
      </c>
      <c r="E42" t="s">
        <v>573</v>
      </c>
      <c r="G42" t="s">
        <v>504</v>
      </c>
      <c r="H42" t="s">
        <v>253</v>
      </c>
      <c r="M42" t="s">
        <v>136</v>
      </c>
      <c r="N42" t="s">
        <v>1469</v>
      </c>
    </row>
    <row r="43" spans="1:14" x14ac:dyDescent="0.3">
      <c r="A43" s="18" t="s">
        <v>45</v>
      </c>
      <c r="B43" t="s">
        <v>504</v>
      </c>
      <c r="D43" s="18" t="s">
        <v>45</v>
      </c>
      <c r="E43" t="s">
        <v>574</v>
      </c>
      <c r="G43" t="s">
        <v>1530</v>
      </c>
      <c r="H43" t="s">
        <v>1469</v>
      </c>
      <c r="M43" t="s">
        <v>136</v>
      </c>
      <c r="N43" t="s">
        <v>1486</v>
      </c>
    </row>
    <row r="44" spans="1:14" x14ac:dyDescent="0.3">
      <c r="A44" t="s">
        <v>1624</v>
      </c>
      <c r="B44" t="s">
        <v>1530</v>
      </c>
      <c r="D44" t="s">
        <v>1624</v>
      </c>
      <c r="E44" t="s">
        <v>1606</v>
      </c>
      <c r="G44" t="s">
        <v>1531</v>
      </c>
      <c r="H44" t="s">
        <v>1486</v>
      </c>
      <c r="M44" t="s">
        <v>136</v>
      </c>
      <c r="N44" t="s">
        <v>1470</v>
      </c>
    </row>
    <row r="45" spans="1:14" x14ac:dyDescent="0.3">
      <c r="A45" t="s">
        <v>1625</v>
      </c>
      <c r="B45" t="s">
        <v>1531</v>
      </c>
      <c r="D45" t="s">
        <v>1625</v>
      </c>
      <c r="E45" t="s">
        <v>1607</v>
      </c>
      <c r="G45" t="s">
        <v>1532</v>
      </c>
      <c r="H45" t="s">
        <v>1470</v>
      </c>
      <c r="M45" t="s">
        <v>136</v>
      </c>
      <c r="N45" t="s">
        <v>1555</v>
      </c>
    </row>
    <row r="46" spans="1:14" x14ac:dyDescent="0.3">
      <c r="A46" t="s">
        <v>1626</v>
      </c>
      <c r="B46" t="s">
        <v>1532</v>
      </c>
      <c r="D46" t="s">
        <v>1626</v>
      </c>
      <c r="E46" t="s">
        <v>1608</v>
      </c>
      <c r="G46" t="s">
        <v>1533</v>
      </c>
      <c r="H46" t="s">
        <v>1555</v>
      </c>
      <c r="M46" t="s">
        <v>136</v>
      </c>
      <c r="N46" t="s">
        <v>269</v>
      </c>
    </row>
    <row r="47" spans="1:14" x14ac:dyDescent="0.3">
      <c r="A47" t="s">
        <v>1627</v>
      </c>
      <c r="B47" t="s">
        <v>1533</v>
      </c>
      <c r="D47" t="s">
        <v>1627</v>
      </c>
      <c r="E47" t="s">
        <v>1609</v>
      </c>
      <c r="G47" t="s">
        <v>505</v>
      </c>
      <c r="H47" t="s">
        <v>269</v>
      </c>
      <c r="M47" t="s">
        <v>136</v>
      </c>
      <c r="N47" t="s">
        <v>1556</v>
      </c>
    </row>
    <row r="48" spans="1:14" x14ac:dyDescent="0.3">
      <c r="A48" t="s">
        <v>228</v>
      </c>
      <c r="B48" t="s">
        <v>505</v>
      </c>
      <c r="D48" t="s">
        <v>228</v>
      </c>
      <c r="E48" t="s">
        <v>575</v>
      </c>
      <c r="G48" t="s">
        <v>1549</v>
      </c>
      <c r="H48" t="s">
        <v>1556</v>
      </c>
      <c r="M48" t="s">
        <v>136</v>
      </c>
      <c r="N48" t="s">
        <v>1493</v>
      </c>
    </row>
    <row r="49" spans="1:14" x14ac:dyDescent="0.3">
      <c r="A49" t="s">
        <v>1584</v>
      </c>
      <c r="B49" t="s">
        <v>1549</v>
      </c>
      <c r="D49" t="s">
        <v>1584</v>
      </c>
      <c r="E49" t="s">
        <v>1567</v>
      </c>
      <c r="G49" t="s">
        <v>1550</v>
      </c>
      <c r="H49" t="s">
        <v>1493</v>
      </c>
      <c r="M49" t="s">
        <v>136</v>
      </c>
      <c r="N49" t="s">
        <v>1494</v>
      </c>
    </row>
    <row r="50" spans="1:14" x14ac:dyDescent="0.3">
      <c r="A50" t="s">
        <v>1585</v>
      </c>
      <c r="B50" t="s">
        <v>1550</v>
      </c>
      <c r="D50" t="s">
        <v>1585</v>
      </c>
      <c r="E50" t="s">
        <v>1568</v>
      </c>
      <c r="G50" t="s">
        <v>1551</v>
      </c>
      <c r="H50" t="s">
        <v>1494</v>
      </c>
      <c r="M50" t="s">
        <v>136</v>
      </c>
      <c r="N50" t="s">
        <v>1495</v>
      </c>
    </row>
    <row r="51" spans="1:14" x14ac:dyDescent="0.3">
      <c r="A51" t="s">
        <v>1586</v>
      </c>
      <c r="B51" t="s">
        <v>1551</v>
      </c>
      <c r="D51" t="s">
        <v>1586</v>
      </c>
      <c r="E51" t="s">
        <v>1569</v>
      </c>
      <c r="G51" t="s">
        <v>1552</v>
      </c>
      <c r="H51" t="s">
        <v>1495</v>
      </c>
      <c r="M51" t="s">
        <v>136</v>
      </c>
      <c r="N51" t="s">
        <v>1467</v>
      </c>
    </row>
    <row r="52" spans="1:14" x14ac:dyDescent="0.3">
      <c r="A52" t="s">
        <v>1587</v>
      </c>
      <c r="B52" t="s">
        <v>1552</v>
      </c>
      <c r="D52" t="s">
        <v>1587</v>
      </c>
      <c r="E52" t="s">
        <v>1570</v>
      </c>
      <c r="G52" t="s">
        <v>1553</v>
      </c>
      <c r="H52" t="s">
        <v>1467</v>
      </c>
      <c r="M52" t="s">
        <v>136</v>
      </c>
      <c r="N52" t="s">
        <v>1496</v>
      </c>
    </row>
    <row r="53" spans="1:14" x14ac:dyDescent="0.3">
      <c r="A53" t="s">
        <v>1588</v>
      </c>
      <c r="B53" t="s">
        <v>1553</v>
      </c>
      <c r="D53" t="s">
        <v>1588</v>
      </c>
      <c r="E53" t="s">
        <v>1571</v>
      </c>
      <c r="G53" t="s">
        <v>1554</v>
      </c>
      <c r="H53" t="s">
        <v>1496</v>
      </c>
      <c r="M53" t="s">
        <v>136</v>
      </c>
      <c r="N53" t="s">
        <v>655</v>
      </c>
    </row>
    <row r="54" spans="1:14" x14ac:dyDescent="0.3">
      <c r="A54" t="s">
        <v>1589</v>
      </c>
      <c r="B54" t="s">
        <v>1554</v>
      </c>
      <c r="D54" t="s">
        <v>1589</v>
      </c>
      <c r="E54" t="s">
        <v>1572</v>
      </c>
      <c r="G54" t="s">
        <v>1534</v>
      </c>
      <c r="H54" t="s">
        <v>1511</v>
      </c>
      <c r="M54" t="s">
        <v>136</v>
      </c>
      <c r="N54" t="s">
        <v>656</v>
      </c>
    </row>
    <row r="55" spans="1:14" x14ac:dyDescent="0.3">
      <c r="A55" t="s">
        <v>1590</v>
      </c>
      <c r="B55" t="s">
        <v>1534</v>
      </c>
      <c r="D55" t="s">
        <v>1590</v>
      </c>
      <c r="E55" t="s">
        <v>1573</v>
      </c>
      <c r="G55" t="s">
        <v>1535</v>
      </c>
      <c r="H55" t="s">
        <v>1512</v>
      </c>
      <c r="M55" t="s">
        <v>136</v>
      </c>
      <c r="N55" t="s">
        <v>657</v>
      </c>
    </row>
    <row r="56" spans="1:14" x14ac:dyDescent="0.3">
      <c r="A56" t="s">
        <v>1591</v>
      </c>
      <c r="B56" t="s">
        <v>1535</v>
      </c>
      <c r="D56" t="s">
        <v>1591</v>
      </c>
      <c r="E56" t="s">
        <v>1574</v>
      </c>
      <c r="G56" t="s">
        <v>1536</v>
      </c>
      <c r="H56" t="s">
        <v>1513</v>
      </c>
      <c r="M56" t="s">
        <v>136</v>
      </c>
      <c r="N56" t="s">
        <v>658</v>
      </c>
    </row>
    <row r="57" spans="1:14" x14ac:dyDescent="0.3">
      <c r="A57" t="s">
        <v>1592</v>
      </c>
      <c r="B57" t="s">
        <v>1536</v>
      </c>
      <c r="D57" t="s">
        <v>1592</v>
      </c>
      <c r="E57" t="s">
        <v>1575</v>
      </c>
      <c r="G57" t="s">
        <v>1537</v>
      </c>
      <c r="H57" t="s">
        <v>1514</v>
      </c>
      <c r="M57" t="s">
        <v>136</v>
      </c>
      <c r="N57" t="s">
        <v>276</v>
      </c>
    </row>
    <row r="58" spans="1:14" x14ac:dyDescent="0.3">
      <c r="A58" t="s">
        <v>1593</v>
      </c>
      <c r="B58" t="s">
        <v>1537</v>
      </c>
      <c r="D58" t="s">
        <v>1593</v>
      </c>
      <c r="E58" t="s">
        <v>1576</v>
      </c>
      <c r="G58" t="s">
        <v>1538</v>
      </c>
      <c r="H58" t="s">
        <v>1515</v>
      </c>
      <c r="M58" t="s">
        <v>136</v>
      </c>
      <c r="N58" t="s">
        <v>278</v>
      </c>
    </row>
    <row r="59" spans="1:14" x14ac:dyDescent="0.3">
      <c r="A59" t="s">
        <v>1594</v>
      </c>
      <c r="B59" t="s">
        <v>1538</v>
      </c>
      <c r="D59" t="s">
        <v>1594</v>
      </c>
      <c r="E59" t="s">
        <v>1577</v>
      </c>
      <c r="G59" t="s">
        <v>1539</v>
      </c>
      <c r="H59" t="s">
        <v>1519</v>
      </c>
      <c r="M59" t="s">
        <v>136</v>
      </c>
      <c r="N59" t="s">
        <v>280</v>
      </c>
    </row>
    <row r="60" spans="1:14" x14ac:dyDescent="0.3">
      <c r="A60" t="s">
        <v>1595</v>
      </c>
      <c r="B60" t="s">
        <v>1539</v>
      </c>
      <c r="D60" t="s">
        <v>1595</v>
      </c>
      <c r="E60" t="s">
        <v>1578</v>
      </c>
      <c r="G60" t="s">
        <v>1604</v>
      </c>
      <c r="H60" t="s">
        <v>1520</v>
      </c>
      <c r="M60" t="s">
        <v>136</v>
      </c>
      <c r="N60" t="s">
        <v>282</v>
      </c>
    </row>
    <row r="61" spans="1:14" x14ac:dyDescent="0.3">
      <c r="A61" t="s">
        <v>1603</v>
      </c>
      <c r="B61" t="s">
        <v>1604</v>
      </c>
      <c r="D61" t="s">
        <v>1603</v>
      </c>
      <c r="E61" t="s">
        <v>1605</v>
      </c>
      <c r="G61" t="s">
        <v>1540</v>
      </c>
      <c r="H61" t="s">
        <v>1516</v>
      </c>
      <c r="M61" t="s">
        <v>136</v>
      </c>
      <c r="N61" t="s">
        <v>283</v>
      </c>
    </row>
    <row r="62" spans="1:14" x14ac:dyDescent="0.3">
      <c r="A62" t="s">
        <v>1596</v>
      </c>
      <c r="B62" t="s">
        <v>1540</v>
      </c>
      <c r="D62" t="s">
        <v>1596</v>
      </c>
      <c r="E62" t="s">
        <v>1579</v>
      </c>
      <c r="G62" t="s">
        <v>1543</v>
      </c>
      <c r="H62" t="s">
        <v>1521</v>
      </c>
      <c r="M62" t="s">
        <v>136</v>
      </c>
      <c r="N62" s="18" t="s">
        <v>659</v>
      </c>
    </row>
    <row r="63" spans="1:14" x14ac:dyDescent="0.3">
      <c r="A63" t="s">
        <v>1597</v>
      </c>
      <c r="B63" t="s">
        <v>1543</v>
      </c>
      <c r="D63" t="s">
        <v>1597</v>
      </c>
      <c r="E63" t="s">
        <v>1541</v>
      </c>
      <c r="G63" t="s">
        <v>1544</v>
      </c>
      <c r="H63" t="s">
        <v>1522</v>
      </c>
      <c r="M63" t="s">
        <v>136</v>
      </c>
      <c r="N63" t="s">
        <v>660</v>
      </c>
    </row>
    <row r="64" spans="1:14" x14ac:dyDescent="0.3">
      <c r="A64" t="s">
        <v>1598</v>
      </c>
      <c r="B64" t="s">
        <v>1544</v>
      </c>
      <c r="D64" t="s">
        <v>1598</v>
      </c>
      <c r="E64" t="s">
        <v>1542</v>
      </c>
      <c r="G64" t="s">
        <v>1545</v>
      </c>
      <c r="H64" t="s">
        <v>1523</v>
      </c>
      <c r="M64" t="s">
        <v>136</v>
      </c>
      <c r="N64" t="s">
        <v>661</v>
      </c>
    </row>
    <row r="65" spans="1:14" x14ac:dyDescent="0.3">
      <c r="A65" t="s">
        <v>1599</v>
      </c>
      <c r="B65" t="s">
        <v>1545</v>
      </c>
      <c r="D65" t="s">
        <v>1599</v>
      </c>
      <c r="E65" t="s">
        <v>1580</v>
      </c>
      <c r="G65" t="s">
        <v>1546</v>
      </c>
      <c r="H65" t="s">
        <v>1524</v>
      </c>
      <c r="M65" t="s">
        <v>136</v>
      </c>
      <c r="N65" t="s">
        <v>662</v>
      </c>
    </row>
    <row r="66" spans="1:14" x14ac:dyDescent="0.3">
      <c r="A66" t="s">
        <v>1600</v>
      </c>
      <c r="B66" t="s">
        <v>1546</v>
      </c>
      <c r="D66" t="s">
        <v>1600</v>
      </c>
      <c r="E66" t="s">
        <v>1581</v>
      </c>
      <c r="G66" t="s">
        <v>1547</v>
      </c>
      <c r="H66" t="s">
        <v>1517</v>
      </c>
      <c r="M66" t="s">
        <v>136</v>
      </c>
      <c r="N66" t="s">
        <v>663</v>
      </c>
    </row>
    <row r="67" spans="1:14" x14ac:dyDescent="0.3">
      <c r="A67" t="s">
        <v>1601</v>
      </c>
      <c r="B67" t="s">
        <v>1547</v>
      </c>
      <c r="D67" t="s">
        <v>1601</v>
      </c>
      <c r="E67" t="s">
        <v>1582</v>
      </c>
      <c r="G67" t="s">
        <v>1548</v>
      </c>
      <c r="H67" t="s">
        <v>1518</v>
      </c>
      <c r="M67" t="s">
        <v>136</v>
      </c>
      <c r="N67" t="s">
        <v>664</v>
      </c>
    </row>
    <row r="68" spans="1:14" x14ac:dyDescent="0.3">
      <c r="A68" t="s">
        <v>1602</v>
      </c>
      <c r="B68" t="s">
        <v>1548</v>
      </c>
      <c r="D68" t="s">
        <v>1602</v>
      </c>
      <c r="E68" t="s">
        <v>1583</v>
      </c>
      <c r="G68" t="s">
        <v>506</v>
      </c>
      <c r="H68" t="s">
        <v>276</v>
      </c>
      <c r="M68" t="s">
        <v>136</v>
      </c>
      <c r="N68" t="s">
        <v>665</v>
      </c>
    </row>
    <row r="69" spans="1:14" x14ac:dyDescent="0.3">
      <c r="A69" t="s">
        <v>75</v>
      </c>
      <c r="B69" t="s">
        <v>506</v>
      </c>
      <c r="D69" t="s">
        <v>75</v>
      </c>
      <c r="E69" t="s">
        <v>576</v>
      </c>
      <c r="G69" t="s">
        <v>507</v>
      </c>
      <c r="H69" t="s">
        <v>278</v>
      </c>
      <c r="M69" t="s">
        <v>136</v>
      </c>
      <c r="N69" t="s">
        <v>250</v>
      </c>
    </row>
    <row r="70" spans="1:14" x14ac:dyDescent="0.3">
      <c r="A70" t="s">
        <v>78</v>
      </c>
      <c r="B70" t="s">
        <v>507</v>
      </c>
      <c r="D70" t="s">
        <v>78</v>
      </c>
      <c r="E70" t="s">
        <v>577</v>
      </c>
      <c r="G70" t="s">
        <v>508</v>
      </c>
      <c r="H70" t="s">
        <v>656</v>
      </c>
      <c r="M70" t="s">
        <v>136</v>
      </c>
      <c r="N70" t="s">
        <v>257</v>
      </c>
    </row>
    <row r="71" spans="1:14" x14ac:dyDescent="0.3">
      <c r="A71" t="s">
        <v>288</v>
      </c>
      <c r="B71" t="s">
        <v>508</v>
      </c>
      <c r="D71" t="s">
        <v>288</v>
      </c>
      <c r="E71" t="s">
        <v>578</v>
      </c>
      <c r="G71" t="s">
        <v>509</v>
      </c>
      <c r="H71" t="s">
        <v>657</v>
      </c>
      <c r="M71" t="s">
        <v>136</v>
      </c>
      <c r="N71" t="s">
        <v>666</v>
      </c>
    </row>
    <row r="72" spans="1:14" x14ac:dyDescent="0.3">
      <c r="A72" t="s">
        <v>79</v>
      </c>
      <c r="B72" t="s">
        <v>509</v>
      </c>
      <c r="D72" t="s">
        <v>79</v>
      </c>
      <c r="E72" t="s">
        <v>579</v>
      </c>
      <c r="G72" t="s">
        <v>510</v>
      </c>
      <c r="H72" t="s">
        <v>280</v>
      </c>
      <c r="M72" t="s">
        <v>136</v>
      </c>
      <c r="N72" t="s">
        <v>263</v>
      </c>
    </row>
    <row r="73" spans="1:14" x14ac:dyDescent="0.3">
      <c r="A73" t="s">
        <v>76</v>
      </c>
      <c r="B73" t="s">
        <v>510</v>
      </c>
      <c r="D73" t="s">
        <v>76</v>
      </c>
      <c r="E73" t="s">
        <v>580</v>
      </c>
      <c r="G73" t="s">
        <v>511</v>
      </c>
      <c r="H73" t="s">
        <v>658</v>
      </c>
      <c r="M73" t="s">
        <v>136</v>
      </c>
      <c r="N73" t="s">
        <v>667</v>
      </c>
    </row>
    <row r="74" spans="1:14" x14ac:dyDescent="0.3">
      <c r="A74" t="s">
        <v>77</v>
      </c>
      <c r="B74" t="s">
        <v>511</v>
      </c>
      <c r="D74" t="s">
        <v>77</v>
      </c>
      <c r="E74" t="s">
        <v>581</v>
      </c>
      <c r="G74" t="s">
        <v>512</v>
      </c>
      <c r="H74" t="s">
        <v>282</v>
      </c>
      <c r="M74" t="s">
        <v>136</v>
      </c>
      <c r="N74" t="s">
        <v>285</v>
      </c>
    </row>
    <row r="75" spans="1:14" x14ac:dyDescent="0.3">
      <c r="A75" t="s">
        <v>80</v>
      </c>
      <c r="B75" t="s">
        <v>512</v>
      </c>
      <c r="D75" t="s">
        <v>80</v>
      </c>
      <c r="E75" t="s">
        <v>582</v>
      </c>
      <c r="G75" t="s">
        <v>513</v>
      </c>
      <c r="H75" t="s">
        <v>283</v>
      </c>
      <c r="M75" t="s">
        <v>358</v>
      </c>
      <c r="N75" t="s">
        <v>286</v>
      </c>
    </row>
    <row r="76" spans="1:14" x14ac:dyDescent="0.3">
      <c r="A76" t="s">
        <v>120</v>
      </c>
      <c r="B76" t="s">
        <v>513</v>
      </c>
      <c r="D76" t="s">
        <v>120</v>
      </c>
      <c r="E76" t="s">
        <v>583</v>
      </c>
      <c r="G76" s="18" t="s">
        <v>514</v>
      </c>
      <c r="H76" s="18" t="s">
        <v>659</v>
      </c>
      <c r="M76" t="s">
        <v>371</v>
      </c>
      <c r="N76" t="s">
        <v>1511</v>
      </c>
    </row>
    <row r="77" spans="1:14" x14ac:dyDescent="0.3">
      <c r="A77" t="s">
        <v>133</v>
      </c>
      <c r="B77" s="18" t="s">
        <v>514</v>
      </c>
      <c r="D77" t="s">
        <v>133</v>
      </c>
      <c r="E77" t="s">
        <v>584</v>
      </c>
      <c r="G77" t="s">
        <v>515</v>
      </c>
      <c r="H77" t="s">
        <v>660</v>
      </c>
      <c r="M77" t="s">
        <v>371</v>
      </c>
      <c r="N77" t="s">
        <v>1512</v>
      </c>
    </row>
    <row r="78" spans="1:14" x14ac:dyDescent="0.3">
      <c r="A78" t="s">
        <v>218</v>
      </c>
      <c r="B78" t="s">
        <v>515</v>
      </c>
      <c r="D78" t="s">
        <v>218</v>
      </c>
      <c r="E78" t="s">
        <v>585</v>
      </c>
      <c r="G78" t="s">
        <v>516</v>
      </c>
      <c r="H78" t="s">
        <v>661</v>
      </c>
      <c r="M78" t="s">
        <v>371</v>
      </c>
      <c r="N78" t="s">
        <v>1513</v>
      </c>
    </row>
    <row r="79" spans="1:14" x14ac:dyDescent="0.3">
      <c r="A79" t="s">
        <v>121</v>
      </c>
      <c r="B79" t="s">
        <v>516</v>
      </c>
      <c r="D79" t="s">
        <v>121</v>
      </c>
      <c r="E79" t="s">
        <v>586</v>
      </c>
      <c r="G79" t="s">
        <v>517</v>
      </c>
      <c r="H79" t="s">
        <v>662</v>
      </c>
      <c r="M79" t="s">
        <v>371</v>
      </c>
      <c r="N79" t="s">
        <v>1514</v>
      </c>
    </row>
    <row r="80" spans="1:14" x14ac:dyDescent="0.3">
      <c r="A80" t="s">
        <v>122</v>
      </c>
      <c r="B80" t="s">
        <v>517</v>
      </c>
      <c r="D80" t="s">
        <v>122</v>
      </c>
      <c r="E80" t="s">
        <v>587</v>
      </c>
      <c r="G80" t="s">
        <v>518</v>
      </c>
      <c r="H80" t="s">
        <v>663</v>
      </c>
      <c r="M80" t="s">
        <v>371</v>
      </c>
      <c r="N80" t="s">
        <v>1515</v>
      </c>
    </row>
    <row r="81" spans="1:14" x14ac:dyDescent="0.3">
      <c r="A81" t="s">
        <v>123</v>
      </c>
      <c r="B81" t="s">
        <v>518</v>
      </c>
      <c r="D81" t="s">
        <v>123</v>
      </c>
      <c r="E81" t="s">
        <v>588</v>
      </c>
      <c r="G81" t="s">
        <v>519</v>
      </c>
      <c r="H81" t="s">
        <v>664</v>
      </c>
      <c r="M81" t="s">
        <v>371</v>
      </c>
      <c r="N81" t="s">
        <v>1519</v>
      </c>
    </row>
    <row r="82" spans="1:14" x14ac:dyDescent="0.3">
      <c r="A82" t="s">
        <v>219</v>
      </c>
      <c r="B82" t="s">
        <v>519</v>
      </c>
      <c r="D82" t="s">
        <v>219</v>
      </c>
      <c r="E82" t="s">
        <v>589</v>
      </c>
      <c r="G82" t="s">
        <v>520</v>
      </c>
      <c r="H82" t="s">
        <v>665</v>
      </c>
      <c r="M82" t="s">
        <v>371</v>
      </c>
      <c r="N82" t="s">
        <v>1520</v>
      </c>
    </row>
    <row r="83" spans="1:14" x14ac:dyDescent="0.3">
      <c r="A83" t="s">
        <v>220</v>
      </c>
      <c r="B83" t="s">
        <v>520</v>
      </c>
      <c r="D83" t="s">
        <v>220</v>
      </c>
      <c r="E83" t="s">
        <v>590</v>
      </c>
      <c r="G83" t="s">
        <v>521</v>
      </c>
      <c r="H83" t="s">
        <v>250</v>
      </c>
      <c r="M83" t="s">
        <v>371</v>
      </c>
      <c r="N83" t="s">
        <v>1516</v>
      </c>
    </row>
    <row r="84" spans="1:14" x14ac:dyDescent="0.3">
      <c r="A84" t="s">
        <v>124</v>
      </c>
      <c r="B84" t="s">
        <v>521</v>
      </c>
      <c r="D84" t="s">
        <v>124</v>
      </c>
      <c r="E84" t="s">
        <v>591</v>
      </c>
      <c r="G84" t="s">
        <v>522</v>
      </c>
      <c r="H84" t="s">
        <v>257</v>
      </c>
      <c r="M84" t="s">
        <v>371</v>
      </c>
      <c r="N84" t="s">
        <v>1521</v>
      </c>
    </row>
    <row r="85" spans="1:14" x14ac:dyDescent="0.3">
      <c r="A85" t="s">
        <v>221</v>
      </c>
      <c r="B85" t="s">
        <v>522</v>
      </c>
      <c r="D85" t="s">
        <v>221</v>
      </c>
      <c r="E85" t="s">
        <v>592</v>
      </c>
      <c r="G85" t="s">
        <v>523</v>
      </c>
      <c r="H85" t="s">
        <v>666</v>
      </c>
      <c r="M85" t="s">
        <v>371</v>
      </c>
      <c r="N85" t="s">
        <v>1522</v>
      </c>
    </row>
    <row r="86" spans="1:14" x14ac:dyDescent="0.3">
      <c r="A86" t="s">
        <v>222</v>
      </c>
      <c r="B86" t="s">
        <v>523</v>
      </c>
      <c r="D86" t="s">
        <v>222</v>
      </c>
      <c r="E86" t="s">
        <v>593</v>
      </c>
      <c r="G86" t="s">
        <v>524</v>
      </c>
      <c r="H86" t="s">
        <v>263</v>
      </c>
      <c r="M86" t="s">
        <v>371</v>
      </c>
      <c r="N86" t="s">
        <v>1523</v>
      </c>
    </row>
    <row r="87" spans="1:14" x14ac:dyDescent="0.3">
      <c r="A87" t="s">
        <v>223</v>
      </c>
      <c r="B87" t="s">
        <v>524</v>
      </c>
      <c r="D87" t="s">
        <v>223</v>
      </c>
      <c r="E87" t="s">
        <v>594</v>
      </c>
      <c r="G87" t="s">
        <v>525</v>
      </c>
      <c r="H87" t="s">
        <v>667</v>
      </c>
      <c r="M87" t="s">
        <v>371</v>
      </c>
      <c r="N87" t="s">
        <v>1524</v>
      </c>
    </row>
    <row r="88" spans="1:14" x14ac:dyDescent="0.3">
      <c r="A88" t="s">
        <v>46</v>
      </c>
      <c r="B88" t="s">
        <v>525</v>
      </c>
      <c r="D88" t="s">
        <v>46</v>
      </c>
      <c r="E88" t="s">
        <v>595</v>
      </c>
      <c r="G88" t="s">
        <v>526</v>
      </c>
      <c r="H88" t="s">
        <v>285</v>
      </c>
      <c r="M88" t="s">
        <v>371</v>
      </c>
      <c r="N88" t="s">
        <v>1517</v>
      </c>
    </row>
    <row r="89" spans="1:14" x14ac:dyDescent="0.3">
      <c r="A89" t="s">
        <v>81</v>
      </c>
      <c r="B89" t="s">
        <v>526</v>
      </c>
      <c r="D89" t="s">
        <v>81</v>
      </c>
      <c r="E89" t="s">
        <v>596</v>
      </c>
      <c r="G89" t="s">
        <v>527</v>
      </c>
      <c r="H89" t="s">
        <v>286</v>
      </c>
      <c r="M89" t="s">
        <v>371</v>
      </c>
      <c r="N89" t="s">
        <v>1518</v>
      </c>
    </row>
    <row r="90" spans="1:14" x14ac:dyDescent="0.3">
      <c r="A90" t="s">
        <v>82</v>
      </c>
      <c r="B90" t="s">
        <v>527</v>
      </c>
      <c r="D90" t="s">
        <v>82</v>
      </c>
      <c r="E90" t="s">
        <v>597</v>
      </c>
      <c r="G90" t="s">
        <v>528</v>
      </c>
      <c r="H90" t="s">
        <v>236</v>
      </c>
      <c r="M90" t="s">
        <v>137</v>
      </c>
      <c r="N90" t="s">
        <v>236</v>
      </c>
    </row>
    <row r="91" spans="1:14" x14ac:dyDescent="0.3">
      <c r="A91" t="s">
        <v>83</v>
      </c>
      <c r="B91" t="s">
        <v>528</v>
      </c>
      <c r="D91" t="s">
        <v>83</v>
      </c>
      <c r="E91" t="s">
        <v>598</v>
      </c>
      <c r="G91" t="s">
        <v>529</v>
      </c>
      <c r="H91" t="s">
        <v>243</v>
      </c>
      <c r="M91" t="s">
        <v>137</v>
      </c>
      <c r="N91" t="s">
        <v>243</v>
      </c>
    </row>
    <row r="92" spans="1:14" x14ac:dyDescent="0.3">
      <c r="A92" t="s">
        <v>289</v>
      </c>
      <c r="B92" t="s">
        <v>529</v>
      </c>
      <c r="D92" t="s">
        <v>289</v>
      </c>
      <c r="E92" t="s">
        <v>599</v>
      </c>
      <c r="G92" t="s">
        <v>530</v>
      </c>
      <c r="H92" t="s">
        <v>249</v>
      </c>
      <c r="M92" t="s">
        <v>137</v>
      </c>
      <c r="N92" t="s">
        <v>249</v>
      </c>
    </row>
    <row r="93" spans="1:14" x14ac:dyDescent="0.3">
      <c r="A93" t="s">
        <v>84</v>
      </c>
      <c r="B93" t="s">
        <v>530</v>
      </c>
      <c r="D93" t="s">
        <v>84</v>
      </c>
      <c r="E93" s="18" t="s">
        <v>600</v>
      </c>
      <c r="G93" t="s">
        <v>1181</v>
      </c>
      <c r="H93" t="s">
        <v>1174</v>
      </c>
      <c r="M93" t="s">
        <v>137</v>
      </c>
      <c r="N93" t="s">
        <v>1174</v>
      </c>
    </row>
    <row r="94" spans="1:14" x14ac:dyDescent="0.3">
      <c r="A94" t="s">
        <v>84</v>
      </c>
      <c r="B94" t="s">
        <v>1181</v>
      </c>
      <c r="D94" t="s">
        <v>84</v>
      </c>
      <c r="E94" t="s">
        <v>1182</v>
      </c>
      <c r="G94" t="s">
        <v>531</v>
      </c>
      <c r="H94" t="s">
        <v>252</v>
      </c>
      <c r="M94" t="s">
        <v>137</v>
      </c>
      <c r="N94" t="s">
        <v>252</v>
      </c>
    </row>
    <row r="95" spans="1:14" x14ac:dyDescent="0.3">
      <c r="A95" t="s">
        <v>85</v>
      </c>
      <c r="B95" t="s">
        <v>531</v>
      </c>
      <c r="D95" t="s">
        <v>85</v>
      </c>
      <c r="E95" s="18" t="s">
        <v>601</v>
      </c>
      <c r="G95" t="s">
        <v>532</v>
      </c>
      <c r="H95" t="s">
        <v>256</v>
      </c>
      <c r="M95" t="s">
        <v>137</v>
      </c>
      <c r="N95" t="s">
        <v>256</v>
      </c>
    </row>
    <row r="96" spans="1:14" x14ac:dyDescent="0.3">
      <c r="A96" t="s">
        <v>86</v>
      </c>
      <c r="B96" t="s">
        <v>532</v>
      </c>
      <c r="D96" t="s">
        <v>86</v>
      </c>
      <c r="E96" s="18" t="s">
        <v>602</v>
      </c>
      <c r="G96" t="s">
        <v>533</v>
      </c>
      <c r="H96" t="s">
        <v>668</v>
      </c>
      <c r="M96" t="s">
        <v>137</v>
      </c>
      <c r="N96" t="s">
        <v>668</v>
      </c>
    </row>
    <row r="97" spans="1:14" x14ac:dyDescent="0.3">
      <c r="A97" t="s">
        <v>290</v>
      </c>
      <c r="B97" t="s">
        <v>533</v>
      </c>
      <c r="D97" t="s">
        <v>290</v>
      </c>
      <c r="E97" s="18" t="s">
        <v>603</v>
      </c>
      <c r="G97" t="s">
        <v>534</v>
      </c>
      <c r="H97" t="s">
        <v>259</v>
      </c>
      <c r="M97" t="s">
        <v>137</v>
      </c>
      <c r="N97" t="s">
        <v>259</v>
      </c>
    </row>
    <row r="98" spans="1:14" x14ac:dyDescent="0.3">
      <c r="A98" t="s">
        <v>87</v>
      </c>
      <c r="B98" t="s">
        <v>534</v>
      </c>
      <c r="D98" t="s">
        <v>87</v>
      </c>
      <c r="E98" s="18" t="s">
        <v>604</v>
      </c>
      <c r="G98" t="s">
        <v>535</v>
      </c>
      <c r="H98" t="s">
        <v>262</v>
      </c>
      <c r="M98" t="s">
        <v>137</v>
      </c>
      <c r="N98" t="s">
        <v>262</v>
      </c>
    </row>
    <row r="99" spans="1:14" x14ac:dyDescent="0.3">
      <c r="A99" t="s">
        <v>88</v>
      </c>
      <c r="B99" t="s">
        <v>535</v>
      </c>
      <c r="D99" t="s">
        <v>88</v>
      </c>
      <c r="E99" s="18" t="s">
        <v>605</v>
      </c>
      <c r="G99" t="s">
        <v>536</v>
      </c>
      <c r="H99" t="s">
        <v>265</v>
      </c>
      <c r="M99" t="s">
        <v>137</v>
      </c>
      <c r="N99" t="s">
        <v>265</v>
      </c>
    </row>
    <row r="100" spans="1:14" x14ac:dyDescent="0.3">
      <c r="A100" t="s">
        <v>229</v>
      </c>
      <c r="B100" t="s">
        <v>536</v>
      </c>
      <c r="D100" t="s">
        <v>229</v>
      </c>
      <c r="E100" s="18" t="s">
        <v>606</v>
      </c>
      <c r="G100" t="s">
        <v>537</v>
      </c>
      <c r="H100" t="s">
        <v>669</v>
      </c>
      <c r="M100" t="s">
        <v>137</v>
      </c>
      <c r="N100" t="s">
        <v>669</v>
      </c>
    </row>
    <row r="101" spans="1:14" x14ac:dyDescent="0.3">
      <c r="A101" t="s">
        <v>291</v>
      </c>
      <c r="B101" t="s">
        <v>537</v>
      </c>
      <c r="D101" t="s">
        <v>291</v>
      </c>
      <c r="E101" s="18" t="s">
        <v>607</v>
      </c>
      <c r="G101" t="s">
        <v>538</v>
      </c>
      <c r="H101" t="s">
        <v>670</v>
      </c>
      <c r="M101" t="s">
        <v>137</v>
      </c>
      <c r="N101" t="s">
        <v>670</v>
      </c>
    </row>
    <row r="102" spans="1:14" x14ac:dyDescent="0.3">
      <c r="A102" t="s">
        <v>89</v>
      </c>
      <c r="B102" t="s">
        <v>538</v>
      </c>
      <c r="D102" t="s">
        <v>89</v>
      </c>
      <c r="E102" s="18" t="s">
        <v>608</v>
      </c>
      <c r="G102" t="s">
        <v>539</v>
      </c>
      <c r="H102" t="s">
        <v>671</v>
      </c>
      <c r="M102" t="s">
        <v>137</v>
      </c>
      <c r="N102" t="s">
        <v>671</v>
      </c>
    </row>
    <row r="103" spans="1:14" x14ac:dyDescent="0.3">
      <c r="A103" t="s">
        <v>90</v>
      </c>
      <c r="B103" t="s">
        <v>539</v>
      </c>
      <c r="D103" t="s">
        <v>90</v>
      </c>
      <c r="E103" s="18" t="s">
        <v>609</v>
      </c>
      <c r="G103" t="s">
        <v>540</v>
      </c>
      <c r="H103" t="s">
        <v>268</v>
      </c>
      <c r="M103" t="s">
        <v>137</v>
      </c>
      <c r="N103" t="s">
        <v>268</v>
      </c>
    </row>
    <row r="104" spans="1:14" x14ac:dyDescent="0.3">
      <c r="A104" t="s">
        <v>91</v>
      </c>
      <c r="B104" t="s">
        <v>540</v>
      </c>
      <c r="D104" t="s">
        <v>91</v>
      </c>
      <c r="E104" t="s">
        <v>610</v>
      </c>
      <c r="G104" t="s">
        <v>541</v>
      </c>
      <c r="H104" t="s">
        <v>270</v>
      </c>
      <c r="M104" t="s">
        <v>137</v>
      </c>
      <c r="N104" t="s">
        <v>270</v>
      </c>
    </row>
    <row r="105" spans="1:14" x14ac:dyDescent="0.3">
      <c r="A105" t="s">
        <v>292</v>
      </c>
      <c r="B105" t="s">
        <v>541</v>
      </c>
      <c r="D105" t="s">
        <v>292</v>
      </c>
      <c r="E105" t="s">
        <v>611</v>
      </c>
      <c r="G105" t="s">
        <v>542</v>
      </c>
      <c r="H105" t="s">
        <v>271</v>
      </c>
      <c r="M105" t="s">
        <v>137</v>
      </c>
      <c r="N105" t="s">
        <v>271</v>
      </c>
    </row>
    <row r="106" spans="1:14" x14ac:dyDescent="0.3">
      <c r="A106" t="s">
        <v>293</v>
      </c>
      <c r="B106" t="s">
        <v>542</v>
      </c>
      <c r="D106" t="s">
        <v>293</v>
      </c>
      <c r="E106" t="s">
        <v>612</v>
      </c>
      <c r="G106" t="s">
        <v>543</v>
      </c>
      <c r="H106" t="s">
        <v>672</v>
      </c>
      <c r="M106" t="s">
        <v>137</v>
      </c>
      <c r="N106" t="s">
        <v>672</v>
      </c>
    </row>
    <row r="107" spans="1:14" x14ac:dyDescent="0.3">
      <c r="A107" t="s">
        <v>92</v>
      </c>
      <c r="B107" t="s">
        <v>543</v>
      </c>
      <c r="D107" t="s">
        <v>92</v>
      </c>
      <c r="E107" s="21" t="s">
        <v>613</v>
      </c>
      <c r="G107" t="s">
        <v>1121</v>
      </c>
      <c r="H107" t="s">
        <v>1118</v>
      </c>
      <c r="M107" t="s">
        <v>137</v>
      </c>
      <c r="N107" t="s">
        <v>1118</v>
      </c>
    </row>
    <row r="108" spans="1:14" x14ac:dyDescent="0.3">
      <c r="G108" t="s">
        <v>1651</v>
      </c>
      <c r="H108" t="s">
        <v>1636</v>
      </c>
      <c r="M108" s="9" t="s">
        <v>137</v>
      </c>
      <c r="N108" t="s">
        <v>1636</v>
      </c>
    </row>
    <row r="109" spans="1:14" x14ac:dyDescent="0.3">
      <c r="G109" t="s">
        <v>544</v>
      </c>
      <c r="H109" t="s">
        <v>673</v>
      </c>
    </row>
    <row r="110" spans="1:14" x14ac:dyDescent="0.3">
      <c r="G110" t="s">
        <v>545</v>
      </c>
      <c r="H110" t="s">
        <v>674</v>
      </c>
    </row>
    <row r="111" spans="1:14" x14ac:dyDescent="0.3">
      <c r="G111" t="s">
        <v>546</v>
      </c>
      <c r="H111" t="s">
        <v>675</v>
      </c>
    </row>
    <row r="112" spans="1:14" x14ac:dyDescent="0.3">
      <c r="G112" t="s">
        <v>547</v>
      </c>
      <c r="H112" t="s">
        <v>676</v>
      </c>
    </row>
    <row r="113" spans="7:8" x14ac:dyDescent="0.3">
      <c r="G113" t="s">
        <v>548</v>
      </c>
      <c r="H113" t="s">
        <v>677</v>
      </c>
    </row>
    <row r="114" spans="7:8" x14ac:dyDescent="0.3">
      <c r="G114" t="s">
        <v>549</v>
      </c>
      <c r="H114" t="s">
        <v>678</v>
      </c>
    </row>
    <row r="115" spans="7:8" x14ac:dyDescent="0.3">
      <c r="G115" t="s">
        <v>550</v>
      </c>
      <c r="H115" t="s">
        <v>679</v>
      </c>
    </row>
    <row r="116" spans="7:8" x14ac:dyDescent="0.3">
      <c r="G116" t="s">
        <v>551</v>
      </c>
      <c r="H116" t="s">
        <v>680</v>
      </c>
    </row>
    <row r="117" spans="7:8" x14ac:dyDescent="0.3">
      <c r="G117" t="s">
        <v>552</v>
      </c>
      <c r="H117" t="s">
        <v>681</v>
      </c>
    </row>
    <row r="118" spans="7:8" x14ac:dyDescent="0.3">
      <c r="G118" t="s">
        <v>1171</v>
      </c>
      <c r="H118" t="s">
        <v>1169</v>
      </c>
    </row>
    <row r="119" spans="7:8" x14ac:dyDescent="0.3">
      <c r="G119" t="s">
        <v>553</v>
      </c>
      <c r="H119" t="s">
        <v>682</v>
      </c>
    </row>
    <row r="120" spans="7:8" x14ac:dyDescent="0.3">
      <c r="G120" t="s">
        <v>554</v>
      </c>
      <c r="H120" t="s">
        <v>683</v>
      </c>
    </row>
    <row r="121" spans="7:8" x14ac:dyDescent="0.3">
      <c r="G121" t="s">
        <v>555</v>
      </c>
      <c r="H121" t="s">
        <v>684</v>
      </c>
    </row>
    <row r="122" spans="7:8" x14ac:dyDescent="0.3">
      <c r="G122" t="s">
        <v>556</v>
      </c>
      <c r="H122" t="s">
        <v>142</v>
      </c>
    </row>
    <row r="123" spans="7:8" x14ac:dyDescent="0.3">
      <c r="G123" t="s">
        <v>557</v>
      </c>
      <c r="H123" t="s">
        <v>685</v>
      </c>
    </row>
    <row r="124" spans="7:8" x14ac:dyDescent="0.3">
      <c r="G124" t="s">
        <v>558</v>
      </c>
      <c r="H124" t="s">
        <v>239</v>
      </c>
    </row>
    <row r="125" spans="7:8" x14ac:dyDescent="0.3">
      <c r="G125" t="s">
        <v>559</v>
      </c>
      <c r="H125" t="s">
        <v>246</v>
      </c>
    </row>
    <row r="126" spans="7:8" x14ac:dyDescent="0.3">
      <c r="G126" t="s">
        <v>560</v>
      </c>
      <c r="H126" t="s">
        <v>143</v>
      </c>
    </row>
    <row r="127" spans="7:8" x14ac:dyDescent="0.3">
      <c r="G127" t="s">
        <v>1560</v>
      </c>
      <c r="H127" t="s">
        <v>1525</v>
      </c>
    </row>
    <row r="128" spans="7:8" x14ac:dyDescent="0.3">
      <c r="G128" t="s">
        <v>1561</v>
      </c>
      <c r="H128" t="s">
        <v>1455</v>
      </c>
    </row>
    <row r="129" spans="7:8" x14ac:dyDescent="0.3">
      <c r="G129" t="s">
        <v>1562</v>
      </c>
      <c r="H129" t="s">
        <v>1456</v>
      </c>
    </row>
    <row r="130" spans="7:8" x14ac:dyDescent="0.3">
      <c r="G130" t="s">
        <v>1566</v>
      </c>
      <c r="H130" t="s">
        <v>1458</v>
      </c>
    </row>
    <row r="131" spans="7:8" x14ac:dyDescent="0.3">
      <c r="G131" t="s">
        <v>1563</v>
      </c>
      <c r="H131" t="s">
        <v>1457</v>
      </c>
    </row>
    <row r="132" spans="7:8" x14ac:dyDescent="0.3">
      <c r="G132" t="s">
        <v>561</v>
      </c>
      <c r="H132" t="s">
        <v>686</v>
      </c>
    </row>
    <row r="133" spans="7:8" x14ac:dyDescent="0.3">
      <c r="G133" t="s">
        <v>562</v>
      </c>
      <c r="H133" t="s">
        <v>687</v>
      </c>
    </row>
    <row r="134" spans="7:8" x14ac:dyDescent="0.3">
      <c r="G134" t="s">
        <v>563</v>
      </c>
      <c r="H134" t="s">
        <v>688</v>
      </c>
    </row>
    <row r="135" spans="7:8" x14ac:dyDescent="0.3">
      <c r="G135" t="s">
        <v>564</v>
      </c>
      <c r="H135" t="s">
        <v>689</v>
      </c>
    </row>
    <row r="136" spans="7:8" x14ac:dyDescent="0.3">
      <c r="G136" t="s">
        <v>565</v>
      </c>
      <c r="H136" t="s">
        <v>690</v>
      </c>
    </row>
    <row r="137" spans="7:8" x14ac:dyDescent="0.3">
      <c r="G137" t="s">
        <v>566</v>
      </c>
      <c r="H137" t="s">
        <v>691</v>
      </c>
    </row>
    <row r="138" spans="7:8" x14ac:dyDescent="0.3">
      <c r="G138" t="s">
        <v>567</v>
      </c>
      <c r="H138" t="s">
        <v>692</v>
      </c>
    </row>
    <row r="139" spans="7:8" x14ac:dyDescent="0.3">
      <c r="G139" t="s">
        <v>568</v>
      </c>
      <c r="H139" t="s">
        <v>145</v>
      </c>
    </row>
    <row r="140" spans="7:8" x14ac:dyDescent="0.3">
      <c r="G140" t="s">
        <v>569</v>
      </c>
      <c r="H140" t="s">
        <v>146</v>
      </c>
    </row>
    <row r="141" spans="7:8" x14ac:dyDescent="0.3">
      <c r="G141" t="s">
        <v>570</v>
      </c>
      <c r="H141" t="s">
        <v>693</v>
      </c>
    </row>
    <row r="142" spans="7:8" x14ac:dyDescent="0.3">
      <c r="G142" t="s">
        <v>571</v>
      </c>
      <c r="H142" t="s">
        <v>694</v>
      </c>
    </row>
    <row r="143" spans="7:8" x14ac:dyDescent="0.3">
      <c r="G143" t="s">
        <v>572</v>
      </c>
      <c r="H143" t="s">
        <v>695</v>
      </c>
    </row>
    <row r="144" spans="7:8" x14ac:dyDescent="0.3">
      <c r="G144" t="s">
        <v>573</v>
      </c>
      <c r="H144" t="s">
        <v>696</v>
      </c>
    </row>
    <row r="145" spans="7:8" x14ac:dyDescent="0.3">
      <c r="G145" t="s">
        <v>574</v>
      </c>
      <c r="H145" t="s">
        <v>147</v>
      </c>
    </row>
    <row r="146" spans="7:8" x14ac:dyDescent="0.3">
      <c r="G146" t="s">
        <v>1606</v>
      </c>
      <c r="H146" t="s">
        <v>1462</v>
      </c>
    </row>
    <row r="147" spans="7:8" x14ac:dyDescent="0.3">
      <c r="G147" t="s">
        <v>1607</v>
      </c>
      <c r="H147" t="s">
        <v>1463</v>
      </c>
    </row>
    <row r="148" spans="7:8" x14ac:dyDescent="0.3">
      <c r="G148" t="s">
        <v>1608</v>
      </c>
      <c r="H148" t="s">
        <v>1464</v>
      </c>
    </row>
    <row r="149" spans="7:8" x14ac:dyDescent="0.3">
      <c r="G149" t="s">
        <v>1609</v>
      </c>
      <c r="H149" t="s">
        <v>1465</v>
      </c>
    </row>
    <row r="150" spans="7:8" x14ac:dyDescent="0.3">
      <c r="G150" t="s">
        <v>575</v>
      </c>
      <c r="H150" t="s">
        <v>149</v>
      </c>
    </row>
    <row r="151" spans="7:8" x14ac:dyDescent="0.3">
      <c r="G151" t="s">
        <v>1567</v>
      </c>
      <c r="H151" t="s">
        <v>1466</v>
      </c>
    </row>
    <row r="152" spans="7:8" x14ac:dyDescent="0.3">
      <c r="G152" t="s">
        <v>1568</v>
      </c>
      <c r="H152" t="s">
        <v>1618</v>
      </c>
    </row>
    <row r="153" spans="7:8" x14ac:dyDescent="0.3">
      <c r="G153" t="s">
        <v>1569</v>
      </c>
      <c r="H153" t="s">
        <v>1618</v>
      </c>
    </row>
    <row r="154" spans="7:8" x14ac:dyDescent="0.3">
      <c r="G154" t="s">
        <v>1570</v>
      </c>
      <c r="H154" t="s">
        <v>1618</v>
      </c>
    </row>
    <row r="155" spans="7:8" x14ac:dyDescent="0.3">
      <c r="G155" t="s">
        <v>1571</v>
      </c>
      <c r="H155" t="s">
        <v>1459</v>
      </c>
    </row>
    <row r="156" spans="7:8" x14ac:dyDescent="0.3">
      <c r="G156" t="s">
        <v>1572</v>
      </c>
      <c r="H156" t="s">
        <v>1460</v>
      </c>
    </row>
    <row r="157" spans="7:8" x14ac:dyDescent="0.3">
      <c r="G157" t="s">
        <v>1573</v>
      </c>
      <c r="H157" t="s">
        <v>273</v>
      </c>
    </row>
    <row r="158" spans="7:8" x14ac:dyDescent="0.3">
      <c r="G158" t="s">
        <v>1574</v>
      </c>
      <c r="H158" t="s">
        <v>273</v>
      </c>
    </row>
    <row r="159" spans="7:8" x14ac:dyDescent="0.3">
      <c r="G159" t="s">
        <v>1575</v>
      </c>
      <c r="H159" t="s">
        <v>273</v>
      </c>
    </row>
    <row r="160" spans="7:8" x14ac:dyDescent="0.3">
      <c r="G160" t="s">
        <v>1576</v>
      </c>
      <c r="H160" t="s">
        <v>273</v>
      </c>
    </row>
    <row r="161" spans="7:8" x14ac:dyDescent="0.3">
      <c r="G161" t="s">
        <v>1577</v>
      </c>
      <c r="H161" t="s">
        <v>1610</v>
      </c>
    </row>
    <row r="162" spans="7:8" x14ac:dyDescent="0.3">
      <c r="G162" t="s">
        <v>1578</v>
      </c>
      <c r="H162" t="s">
        <v>1610</v>
      </c>
    </row>
    <row r="163" spans="7:8" x14ac:dyDescent="0.3">
      <c r="G163" t="s">
        <v>1605</v>
      </c>
      <c r="H163" t="s">
        <v>1610</v>
      </c>
    </row>
    <row r="164" spans="7:8" x14ac:dyDescent="0.3">
      <c r="G164" t="s">
        <v>1579</v>
      </c>
      <c r="H164" t="s">
        <v>1611</v>
      </c>
    </row>
    <row r="165" spans="7:8" x14ac:dyDescent="0.3">
      <c r="G165" t="s">
        <v>1541</v>
      </c>
      <c r="H165" t="s">
        <v>1611</v>
      </c>
    </row>
    <row r="166" spans="7:8" x14ac:dyDescent="0.3">
      <c r="G166" t="s">
        <v>1542</v>
      </c>
      <c r="H166" t="s">
        <v>1611</v>
      </c>
    </row>
    <row r="167" spans="7:8" x14ac:dyDescent="0.3">
      <c r="G167" t="s">
        <v>1580</v>
      </c>
      <c r="H167" t="s">
        <v>1612</v>
      </c>
    </row>
    <row r="168" spans="7:8" x14ac:dyDescent="0.3">
      <c r="G168" t="s">
        <v>1581</v>
      </c>
      <c r="H168" t="s">
        <v>1612</v>
      </c>
    </row>
    <row r="169" spans="7:8" x14ac:dyDescent="0.3">
      <c r="G169" t="s">
        <v>1582</v>
      </c>
      <c r="H169" t="s">
        <v>1612</v>
      </c>
    </row>
    <row r="170" spans="7:8" x14ac:dyDescent="0.3">
      <c r="G170" t="s">
        <v>1583</v>
      </c>
      <c r="H170" t="s">
        <v>1461</v>
      </c>
    </row>
    <row r="171" spans="7:8" x14ac:dyDescent="0.3">
      <c r="G171" t="s">
        <v>576</v>
      </c>
      <c r="H171" t="s">
        <v>277</v>
      </c>
    </row>
    <row r="172" spans="7:8" x14ac:dyDescent="0.3">
      <c r="G172" t="s">
        <v>577</v>
      </c>
      <c r="H172" t="s">
        <v>279</v>
      </c>
    </row>
    <row r="173" spans="7:8" x14ac:dyDescent="0.3">
      <c r="G173" t="s">
        <v>578</v>
      </c>
      <c r="H173" t="s">
        <v>697</v>
      </c>
    </row>
    <row r="174" spans="7:8" x14ac:dyDescent="0.3">
      <c r="G174" t="s">
        <v>579</v>
      </c>
      <c r="H174" t="s">
        <v>698</v>
      </c>
    </row>
    <row r="175" spans="7:8" x14ac:dyDescent="0.3">
      <c r="G175" t="s">
        <v>580</v>
      </c>
      <c r="H175" t="s">
        <v>281</v>
      </c>
    </row>
    <row r="176" spans="7:8" x14ac:dyDescent="0.3">
      <c r="G176" t="s">
        <v>581</v>
      </c>
      <c r="H176" t="s">
        <v>699</v>
      </c>
    </row>
    <row r="177" spans="7:8" x14ac:dyDescent="0.3">
      <c r="G177" t="s">
        <v>582</v>
      </c>
      <c r="H177" t="s">
        <v>150</v>
      </c>
    </row>
    <row r="178" spans="7:8" x14ac:dyDescent="0.3">
      <c r="G178" t="s">
        <v>583</v>
      </c>
      <c r="H178" t="s">
        <v>284</v>
      </c>
    </row>
    <row r="179" spans="7:8" x14ac:dyDescent="0.3">
      <c r="G179" t="s">
        <v>584</v>
      </c>
      <c r="H179" t="s">
        <v>172</v>
      </c>
    </row>
    <row r="180" spans="7:8" x14ac:dyDescent="0.3">
      <c r="G180" t="s">
        <v>585</v>
      </c>
      <c r="H180" t="s">
        <v>172</v>
      </c>
    </row>
    <row r="181" spans="7:8" x14ac:dyDescent="0.3">
      <c r="G181" t="s">
        <v>586</v>
      </c>
      <c r="H181" t="s">
        <v>172</v>
      </c>
    </row>
    <row r="182" spans="7:8" x14ac:dyDescent="0.3">
      <c r="G182" t="s">
        <v>587</v>
      </c>
      <c r="H182" t="s">
        <v>172</v>
      </c>
    </row>
    <row r="183" spans="7:8" x14ac:dyDescent="0.3">
      <c r="G183" t="s">
        <v>588</v>
      </c>
      <c r="H183" t="s">
        <v>172</v>
      </c>
    </row>
    <row r="184" spans="7:8" x14ac:dyDescent="0.3">
      <c r="G184" t="s">
        <v>589</v>
      </c>
      <c r="H184" t="s">
        <v>172</v>
      </c>
    </row>
    <row r="185" spans="7:8" x14ac:dyDescent="0.3">
      <c r="G185" t="s">
        <v>590</v>
      </c>
      <c r="H185" t="s">
        <v>172</v>
      </c>
    </row>
    <row r="186" spans="7:8" x14ac:dyDescent="0.3">
      <c r="G186" t="s">
        <v>591</v>
      </c>
      <c r="H186" t="s">
        <v>172</v>
      </c>
    </row>
    <row r="187" spans="7:8" x14ac:dyDescent="0.3">
      <c r="G187" t="s">
        <v>592</v>
      </c>
      <c r="H187" t="s">
        <v>172</v>
      </c>
    </row>
    <row r="188" spans="7:8" x14ac:dyDescent="0.3">
      <c r="G188" t="s">
        <v>593</v>
      </c>
      <c r="H188" t="s">
        <v>172</v>
      </c>
    </row>
    <row r="189" spans="7:8" x14ac:dyDescent="0.3">
      <c r="G189" t="s">
        <v>594</v>
      </c>
      <c r="H189" t="s">
        <v>172</v>
      </c>
    </row>
    <row r="190" spans="7:8" x14ac:dyDescent="0.3">
      <c r="G190" t="s">
        <v>595</v>
      </c>
      <c r="H190" t="s">
        <v>151</v>
      </c>
    </row>
    <row r="191" spans="7:8" x14ac:dyDescent="0.3">
      <c r="G191" t="s">
        <v>596</v>
      </c>
      <c r="H191" t="s">
        <v>152</v>
      </c>
    </row>
    <row r="192" spans="7:8" x14ac:dyDescent="0.3">
      <c r="G192" t="s">
        <v>597</v>
      </c>
      <c r="H192" t="s">
        <v>153</v>
      </c>
    </row>
    <row r="193" spans="7:8" x14ac:dyDescent="0.3">
      <c r="G193" t="s">
        <v>598</v>
      </c>
      <c r="H193" t="s">
        <v>154</v>
      </c>
    </row>
    <row r="194" spans="7:8" x14ac:dyDescent="0.3">
      <c r="G194" t="s">
        <v>599</v>
      </c>
      <c r="H194" t="s">
        <v>155</v>
      </c>
    </row>
    <row r="195" spans="7:8" x14ac:dyDescent="0.3">
      <c r="G195" s="18" t="s">
        <v>600</v>
      </c>
      <c r="H195" t="s">
        <v>156</v>
      </c>
    </row>
    <row r="196" spans="7:8" x14ac:dyDescent="0.3">
      <c r="G196" t="s">
        <v>1182</v>
      </c>
      <c r="H196" t="s">
        <v>156</v>
      </c>
    </row>
    <row r="197" spans="7:8" x14ac:dyDescent="0.3">
      <c r="G197" s="18" t="s">
        <v>601</v>
      </c>
      <c r="H197" t="s">
        <v>157</v>
      </c>
    </row>
    <row r="198" spans="7:8" x14ac:dyDescent="0.3">
      <c r="G198" s="18" t="s">
        <v>602</v>
      </c>
      <c r="H198" t="s">
        <v>158</v>
      </c>
    </row>
    <row r="199" spans="7:8" x14ac:dyDescent="0.3">
      <c r="G199" s="18" t="s">
        <v>603</v>
      </c>
      <c r="H199" t="s">
        <v>700</v>
      </c>
    </row>
    <row r="200" spans="7:8" x14ac:dyDescent="0.3">
      <c r="G200" s="18" t="s">
        <v>604</v>
      </c>
      <c r="H200" t="s">
        <v>159</v>
      </c>
    </row>
    <row r="201" spans="7:8" x14ac:dyDescent="0.3">
      <c r="G201" s="18" t="s">
        <v>605</v>
      </c>
      <c r="H201" t="s">
        <v>160</v>
      </c>
    </row>
    <row r="202" spans="7:8" x14ac:dyDescent="0.3">
      <c r="G202" s="18" t="s">
        <v>606</v>
      </c>
      <c r="H202" t="s">
        <v>161</v>
      </c>
    </row>
    <row r="203" spans="7:8" x14ac:dyDescent="0.3">
      <c r="G203" s="18" t="s">
        <v>607</v>
      </c>
      <c r="H203" t="s">
        <v>701</v>
      </c>
    </row>
    <row r="204" spans="7:8" x14ac:dyDescent="0.3">
      <c r="G204" s="18" t="s">
        <v>608</v>
      </c>
      <c r="H204" t="s">
        <v>702</v>
      </c>
    </row>
    <row r="205" spans="7:8" x14ac:dyDescent="0.3">
      <c r="G205" s="18" t="s">
        <v>609</v>
      </c>
      <c r="H205" t="s">
        <v>703</v>
      </c>
    </row>
    <row r="206" spans="7:8" x14ac:dyDescent="0.3">
      <c r="G206" t="s">
        <v>610</v>
      </c>
      <c r="H206" t="s">
        <v>162</v>
      </c>
    </row>
    <row r="207" spans="7:8" x14ac:dyDescent="0.3">
      <c r="G207" t="s">
        <v>611</v>
      </c>
      <c r="H207" t="s">
        <v>163</v>
      </c>
    </row>
    <row r="208" spans="7:8" x14ac:dyDescent="0.3">
      <c r="G208" t="s">
        <v>612</v>
      </c>
      <c r="H208" t="s">
        <v>164</v>
      </c>
    </row>
    <row r="209" spans="7:8" x14ac:dyDescent="0.3">
      <c r="G209" s="21" t="s">
        <v>613</v>
      </c>
      <c r="H209" s="21" t="s">
        <v>704</v>
      </c>
    </row>
    <row r="210" spans="7:8" x14ac:dyDescent="0.3">
      <c r="G210" t="s">
        <v>1122</v>
      </c>
      <c r="H210" t="s">
        <v>1120</v>
      </c>
    </row>
    <row r="211" spans="7:8" x14ac:dyDescent="0.3">
      <c r="G211" t="s">
        <v>1652</v>
      </c>
      <c r="H211" t="s">
        <v>1634</v>
      </c>
    </row>
    <row r="212" spans="7:8" x14ac:dyDescent="0.3">
      <c r="G212" s="21" t="s">
        <v>614</v>
      </c>
      <c r="H212" s="21" t="s">
        <v>705</v>
      </c>
    </row>
    <row r="213" spans="7:8" x14ac:dyDescent="0.3">
      <c r="G213" s="21" t="s">
        <v>615</v>
      </c>
      <c r="H213" s="21" t="s">
        <v>706</v>
      </c>
    </row>
    <row r="214" spans="7:8" x14ac:dyDescent="0.3">
      <c r="G214" t="s">
        <v>616</v>
      </c>
      <c r="H214" t="s">
        <v>707</v>
      </c>
    </row>
    <row r="215" spans="7:8" x14ac:dyDescent="0.3">
      <c r="G215" s="21" t="s">
        <v>617</v>
      </c>
      <c r="H215" s="21" t="s">
        <v>165</v>
      </c>
    </row>
    <row r="216" spans="7:8" x14ac:dyDescent="0.3">
      <c r="G216" s="4" t="s">
        <v>983</v>
      </c>
      <c r="H216" s="4" t="s">
        <v>1001</v>
      </c>
    </row>
    <row r="217" spans="7:8" x14ac:dyDescent="0.3">
      <c r="G217" s="4" t="s">
        <v>984</v>
      </c>
      <c r="H217" s="4" t="s">
        <v>1002</v>
      </c>
    </row>
    <row r="218" spans="7:8" x14ac:dyDescent="0.3">
      <c r="G218" s="4" t="s">
        <v>985</v>
      </c>
      <c r="H218" s="4" t="s">
        <v>1003</v>
      </c>
    </row>
    <row r="219" spans="7:8" x14ac:dyDescent="0.3">
      <c r="G219" s="4" t="s">
        <v>986</v>
      </c>
      <c r="H219" s="4" t="s">
        <v>1004</v>
      </c>
    </row>
    <row r="220" spans="7:8" x14ac:dyDescent="0.3">
      <c r="G220" s="4" t="s">
        <v>987</v>
      </c>
      <c r="H220" s="4" t="s">
        <v>1005</v>
      </c>
    </row>
    <row r="221" spans="7:8" x14ac:dyDescent="0.3">
      <c r="G221" s="4" t="s">
        <v>988</v>
      </c>
      <c r="H221" s="4" t="s">
        <v>1006</v>
      </c>
    </row>
    <row r="222" spans="7:8" x14ac:dyDescent="0.3">
      <c r="G222" s="4" t="s">
        <v>989</v>
      </c>
      <c r="H222" s="4" t="s">
        <v>1007</v>
      </c>
    </row>
    <row r="223" spans="7:8" x14ac:dyDescent="0.3">
      <c r="G223" s="4" t="s">
        <v>990</v>
      </c>
      <c r="H223" s="4" t="s">
        <v>1008</v>
      </c>
    </row>
    <row r="224" spans="7:8" x14ac:dyDescent="0.3">
      <c r="G224" s="4" t="s">
        <v>991</v>
      </c>
      <c r="H224" s="4" t="s">
        <v>1009</v>
      </c>
    </row>
    <row r="225" spans="7:8" x14ac:dyDescent="0.3">
      <c r="G225" s="4" t="s">
        <v>992</v>
      </c>
      <c r="H225" s="4" t="s">
        <v>1010</v>
      </c>
    </row>
    <row r="226" spans="7:8" x14ac:dyDescent="0.3">
      <c r="G226" s="4" t="s">
        <v>993</v>
      </c>
      <c r="H226" s="4" t="s">
        <v>1011</v>
      </c>
    </row>
    <row r="227" spans="7:8" x14ac:dyDescent="0.3">
      <c r="G227" s="4" t="s">
        <v>994</v>
      </c>
      <c r="H227" s="4" t="s">
        <v>1012</v>
      </c>
    </row>
    <row r="228" spans="7:8" x14ac:dyDescent="0.3">
      <c r="G228" s="4" t="s">
        <v>995</v>
      </c>
      <c r="H228" s="4" t="s">
        <v>1013</v>
      </c>
    </row>
    <row r="229" spans="7:8" x14ac:dyDescent="0.3">
      <c r="G229" s="4" t="s">
        <v>996</v>
      </c>
      <c r="H229" s="4" t="s">
        <v>1014</v>
      </c>
    </row>
    <row r="230" spans="7:8" x14ac:dyDescent="0.3">
      <c r="G230" s="4" t="s">
        <v>997</v>
      </c>
      <c r="H230" s="4" t="s">
        <v>1015</v>
      </c>
    </row>
    <row r="231" spans="7:8" x14ac:dyDescent="0.3">
      <c r="G231" s="4" t="s">
        <v>998</v>
      </c>
      <c r="H231" s="4" t="s">
        <v>1016</v>
      </c>
    </row>
    <row r="232" spans="7:8" x14ac:dyDescent="0.3">
      <c r="G232" s="4" t="s">
        <v>999</v>
      </c>
      <c r="H232" s="4" t="s">
        <v>1017</v>
      </c>
    </row>
    <row r="233" spans="7:8" x14ac:dyDescent="0.3">
      <c r="G233" s="4" t="s">
        <v>1000</v>
      </c>
      <c r="H233" s="4" t="s">
        <v>1018</v>
      </c>
    </row>
    <row r="234" spans="7:8" x14ac:dyDescent="0.3">
      <c r="G234" t="s">
        <v>1196</v>
      </c>
      <c r="H234" t="s">
        <v>1197</v>
      </c>
    </row>
    <row r="235" spans="7:8" x14ac:dyDescent="0.3">
      <c r="G235" t="s">
        <v>618</v>
      </c>
      <c r="H235" t="s">
        <v>708</v>
      </c>
    </row>
    <row r="236" spans="7:8" x14ac:dyDescent="0.3">
      <c r="G236" t="s">
        <v>619</v>
      </c>
      <c r="H236" t="s">
        <v>709</v>
      </c>
    </row>
    <row r="237" spans="7:8" x14ac:dyDescent="0.3">
      <c r="G237" t="s">
        <v>620</v>
      </c>
      <c r="H237" t="s">
        <v>710</v>
      </c>
    </row>
    <row r="238" spans="7:8" x14ac:dyDescent="0.3">
      <c r="G238" t="s">
        <v>621</v>
      </c>
      <c r="H238" t="s">
        <v>711</v>
      </c>
    </row>
    <row r="239" spans="7:8" x14ac:dyDescent="0.3">
      <c r="G239" t="s">
        <v>622</v>
      </c>
      <c r="H239" t="s">
        <v>712</v>
      </c>
    </row>
    <row r="240" spans="7:8" x14ac:dyDescent="0.3">
      <c r="G240" t="s">
        <v>1362</v>
      </c>
      <c r="H240" t="s">
        <v>1325</v>
      </c>
    </row>
    <row r="241" spans="7:12" x14ac:dyDescent="0.3">
      <c r="G241" t="s">
        <v>1363</v>
      </c>
      <c r="H241" t="s">
        <v>1343</v>
      </c>
    </row>
    <row r="242" spans="7:12" x14ac:dyDescent="0.3">
      <c r="G242" t="s">
        <v>1364</v>
      </c>
      <c r="H242" t="s">
        <v>1326</v>
      </c>
    </row>
    <row r="243" spans="7:12" x14ac:dyDescent="0.3">
      <c r="G243" t="s">
        <v>1365</v>
      </c>
      <c r="H243" t="s">
        <v>1327</v>
      </c>
    </row>
    <row r="244" spans="7:12" x14ac:dyDescent="0.3">
      <c r="G244" t="s">
        <v>1366</v>
      </c>
      <c r="H244" t="s">
        <v>1328</v>
      </c>
    </row>
    <row r="245" spans="7:12" x14ac:dyDescent="0.3">
      <c r="G245" t="s">
        <v>1367</v>
      </c>
      <c r="H245" t="s">
        <v>1334</v>
      </c>
    </row>
    <row r="246" spans="7:12" x14ac:dyDescent="0.3">
      <c r="G246" t="s">
        <v>1379</v>
      </c>
      <c r="H246" t="s">
        <v>1378</v>
      </c>
    </row>
    <row r="247" spans="7:12" x14ac:dyDescent="0.3">
      <c r="G247" t="s">
        <v>1368</v>
      </c>
      <c r="H247" t="s">
        <v>1335</v>
      </c>
    </row>
    <row r="248" spans="7:12" x14ac:dyDescent="0.3">
      <c r="G248" t="s">
        <v>1369</v>
      </c>
      <c r="H248" t="s">
        <v>1336</v>
      </c>
    </row>
    <row r="249" spans="7:12" x14ac:dyDescent="0.3">
      <c r="G249" t="s">
        <v>1383</v>
      </c>
      <c r="H249" t="s">
        <v>1337</v>
      </c>
    </row>
    <row r="250" spans="7:12" x14ac:dyDescent="0.3">
      <c r="G250" s="4" t="s">
        <v>1162</v>
      </c>
      <c r="H250" s="4" t="s">
        <v>1158</v>
      </c>
    </row>
    <row r="251" spans="7:12" x14ac:dyDescent="0.3">
      <c r="G251" s="4" t="s">
        <v>1163</v>
      </c>
      <c r="H251" s="4" t="s">
        <v>1159</v>
      </c>
    </row>
    <row r="252" spans="7:12" x14ac:dyDescent="0.3">
      <c r="G252" s="4" t="s">
        <v>1164</v>
      </c>
      <c r="H252" s="4" t="s">
        <v>1160</v>
      </c>
    </row>
    <row r="253" spans="7:12" x14ac:dyDescent="0.3">
      <c r="G253" s="4" t="s">
        <v>1165</v>
      </c>
      <c r="H253" s="4" t="s">
        <v>1161</v>
      </c>
      <c r="L253" s="5"/>
    </row>
    <row r="254" spans="7:12" x14ac:dyDescent="0.3">
      <c r="G254" t="s">
        <v>623</v>
      </c>
      <c r="H254" t="s">
        <v>167</v>
      </c>
      <c r="L254" s="5"/>
    </row>
    <row r="255" spans="7:12" x14ac:dyDescent="0.3">
      <c r="G255" t="s">
        <v>624</v>
      </c>
      <c r="H255" t="s">
        <v>365</v>
      </c>
      <c r="L255" s="5"/>
    </row>
    <row r="256" spans="7:12" x14ac:dyDescent="0.3">
      <c r="G256" t="s">
        <v>625</v>
      </c>
      <c r="H256" t="s">
        <v>713</v>
      </c>
      <c r="L256" s="5"/>
    </row>
    <row r="257" spans="7:12" x14ac:dyDescent="0.3">
      <c r="G257" t="s">
        <v>626</v>
      </c>
      <c r="H257" t="s">
        <v>132</v>
      </c>
    </row>
    <row r="258" spans="7:12" x14ac:dyDescent="0.3">
      <c r="G258" s="21" t="s">
        <v>627</v>
      </c>
      <c r="H258" t="s">
        <v>166</v>
      </c>
      <c r="L258" s="5"/>
    </row>
    <row r="259" spans="7:12" x14ac:dyDescent="0.3">
      <c r="G259" s="21" t="s">
        <v>628</v>
      </c>
      <c r="H259" t="s">
        <v>225</v>
      </c>
    </row>
    <row r="260" spans="7:12" x14ac:dyDescent="0.3">
      <c r="G260" t="s">
        <v>629</v>
      </c>
      <c r="H260" t="s">
        <v>140</v>
      </c>
    </row>
    <row r="261" spans="7:12" x14ac:dyDescent="0.3">
      <c r="G261" s="4" t="s">
        <v>950</v>
      </c>
      <c r="H261" s="4" t="s">
        <v>943</v>
      </c>
    </row>
    <row r="262" spans="7:12" x14ac:dyDescent="0.3">
      <c r="G262" s="4" t="s">
        <v>951</v>
      </c>
      <c r="H262" s="4" t="s">
        <v>944</v>
      </c>
    </row>
    <row r="263" spans="7:12" x14ac:dyDescent="0.3">
      <c r="G263" s="4" t="s">
        <v>952</v>
      </c>
      <c r="H263" s="4" t="s">
        <v>945</v>
      </c>
    </row>
    <row r="264" spans="7:12" x14ac:dyDescent="0.3">
      <c r="G264" s="4" t="s">
        <v>953</v>
      </c>
      <c r="H264" s="4" t="s">
        <v>946</v>
      </c>
    </row>
    <row r="265" spans="7:12" x14ac:dyDescent="0.3">
      <c r="G265" s="4" t="s">
        <v>954</v>
      </c>
      <c r="H265" s="4" t="s">
        <v>947</v>
      </c>
    </row>
    <row r="266" spans="7:12" x14ac:dyDescent="0.3">
      <c r="G266" t="s">
        <v>1370</v>
      </c>
      <c r="H266" t="s">
        <v>1353</v>
      </c>
    </row>
    <row r="267" spans="7:12" x14ac:dyDescent="0.3">
      <c r="G267" t="s">
        <v>1371</v>
      </c>
      <c r="H267" t="s">
        <v>1354</v>
      </c>
    </row>
    <row r="268" spans="7:12" x14ac:dyDescent="0.3">
      <c r="G268" t="s">
        <v>1372</v>
      </c>
      <c r="H268" t="s">
        <v>1355</v>
      </c>
    </row>
    <row r="269" spans="7:12" x14ac:dyDescent="0.3">
      <c r="G269" t="s">
        <v>1373</v>
      </c>
      <c r="H269" t="s">
        <v>1356</v>
      </c>
    </row>
    <row r="270" spans="7:12" x14ac:dyDescent="0.3">
      <c r="G270" t="s">
        <v>1374</v>
      </c>
      <c r="H270" t="s">
        <v>1357</v>
      </c>
    </row>
    <row r="271" spans="7:12" x14ac:dyDescent="0.3">
      <c r="G271" t="s">
        <v>1375</v>
      </c>
      <c r="H271" t="s">
        <v>1358</v>
      </c>
    </row>
    <row r="272" spans="7:12" x14ac:dyDescent="0.3">
      <c r="G272" t="s">
        <v>1382</v>
      </c>
      <c r="H272" t="s">
        <v>1380</v>
      </c>
    </row>
    <row r="273" spans="7:12" x14ac:dyDescent="0.3">
      <c r="G273" t="s">
        <v>1376</v>
      </c>
      <c r="H273" t="s">
        <v>1359</v>
      </c>
    </row>
    <row r="274" spans="7:12" x14ac:dyDescent="0.3">
      <c r="G274" t="s">
        <v>1377</v>
      </c>
      <c r="H274" t="s">
        <v>1360</v>
      </c>
    </row>
    <row r="275" spans="7:12" x14ac:dyDescent="0.3">
      <c r="G275" t="s">
        <v>1384</v>
      </c>
      <c r="H275" t="s">
        <v>1361</v>
      </c>
      <c r="L275" s="5"/>
    </row>
    <row r="276" spans="7:12" x14ac:dyDescent="0.3">
      <c r="G276" s="4" t="s">
        <v>955</v>
      </c>
      <c r="H276" s="4" t="s">
        <v>191</v>
      </c>
      <c r="L276" s="5"/>
    </row>
    <row r="277" spans="7:12" x14ac:dyDescent="0.3">
      <c r="G277" s="4" t="s">
        <v>956</v>
      </c>
      <c r="H277" s="4" t="s">
        <v>190</v>
      </c>
      <c r="L277" s="5"/>
    </row>
    <row r="278" spans="7:12" x14ac:dyDescent="0.3">
      <c r="G278" s="4" t="s">
        <v>1109</v>
      </c>
      <c r="H278" s="4" t="s">
        <v>1053</v>
      </c>
      <c r="L278" s="5"/>
    </row>
    <row r="279" spans="7:12" x14ac:dyDescent="0.3">
      <c r="G279" s="4" t="s">
        <v>1019</v>
      </c>
      <c r="H279" s="4" t="s">
        <v>1036</v>
      </c>
      <c r="L279" s="5"/>
    </row>
    <row r="280" spans="7:12" x14ac:dyDescent="0.3">
      <c r="G280" s="4" t="s">
        <v>1020</v>
      </c>
      <c r="H280" s="4" t="s">
        <v>1037</v>
      </c>
      <c r="L280" s="5"/>
    </row>
    <row r="281" spans="7:12" x14ac:dyDescent="0.3">
      <c r="G281" s="4" t="s">
        <v>1021</v>
      </c>
      <c r="H281" s="4" t="s">
        <v>1038</v>
      </c>
      <c r="L281" s="5"/>
    </row>
    <row r="282" spans="7:12" x14ac:dyDescent="0.3">
      <c r="G282" s="4" t="s">
        <v>1022</v>
      </c>
      <c r="H282" s="4" t="s">
        <v>1039</v>
      </c>
      <c r="L282" s="5"/>
    </row>
    <row r="283" spans="7:12" x14ac:dyDescent="0.3">
      <c r="G283" s="4" t="s">
        <v>1023</v>
      </c>
      <c r="H283" s="4" t="s">
        <v>1040</v>
      </c>
    </row>
    <row r="284" spans="7:12" x14ac:dyDescent="0.3">
      <c r="G284" s="4" t="s">
        <v>1024</v>
      </c>
      <c r="H284" s="4" t="s">
        <v>1041</v>
      </c>
    </row>
    <row r="285" spans="7:12" x14ac:dyDescent="0.3">
      <c r="G285" s="4" t="s">
        <v>1025</v>
      </c>
      <c r="H285" s="4" t="s">
        <v>1042</v>
      </c>
    </row>
    <row r="286" spans="7:12" x14ac:dyDescent="0.3">
      <c r="G286" s="4" t="s">
        <v>1026</v>
      </c>
      <c r="H286" s="4" t="s">
        <v>1043</v>
      </c>
    </row>
    <row r="287" spans="7:12" x14ac:dyDescent="0.3">
      <c r="G287" s="4" t="s">
        <v>1027</v>
      </c>
      <c r="H287" s="4" t="s">
        <v>1044</v>
      </c>
    </row>
    <row r="288" spans="7:12" x14ac:dyDescent="0.3">
      <c r="G288" s="4" t="s">
        <v>1028</v>
      </c>
      <c r="H288" s="4" t="s">
        <v>1045</v>
      </c>
    </row>
    <row r="289" spans="7:8" x14ac:dyDescent="0.3">
      <c r="G289" s="4" t="s">
        <v>1029</v>
      </c>
      <c r="H289" s="4" t="s">
        <v>1046</v>
      </c>
    </row>
    <row r="290" spans="7:8" x14ac:dyDescent="0.3">
      <c r="G290" s="4" t="s">
        <v>1030</v>
      </c>
      <c r="H290" s="4" t="s">
        <v>1047</v>
      </c>
    </row>
    <row r="291" spans="7:8" x14ac:dyDescent="0.3">
      <c r="G291" s="4" t="s">
        <v>1031</v>
      </c>
      <c r="H291" s="4" t="s">
        <v>1048</v>
      </c>
    </row>
    <row r="292" spans="7:8" x14ac:dyDescent="0.3">
      <c r="G292" s="4" t="s">
        <v>1032</v>
      </c>
      <c r="H292" s="4" t="s">
        <v>1049</v>
      </c>
    </row>
    <row r="293" spans="7:8" x14ac:dyDescent="0.3">
      <c r="G293" s="4" t="s">
        <v>1033</v>
      </c>
      <c r="H293" s="4" t="s">
        <v>1050</v>
      </c>
    </row>
    <row r="294" spans="7:8" x14ac:dyDescent="0.3">
      <c r="G294" s="4" t="s">
        <v>1034</v>
      </c>
      <c r="H294" s="4" t="s">
        <v>1051</v>
      </c>
    </row>
    <row r="295" spans="7:8" x14ac:dyDescent="0.3">
      <c r="G295" s="4" t="s">
        <v>1035</v>
      </c>
      <c r="H295" s="4" t="s">
        <v>1052</v>
      </c>
    </row>
    <row r="296" spans="7:8" x14ac:dyDescent="0.3">
      <c r="G296" t="s">
        <v>1241</v>
      </c>
      <c r="H296" t="s">
        <v>1198</v>
      </c>
    </row>
    <row r="297" spans="7:8" x14ac:dyDescent="0.3">
      <c r="G297" s="4" t="s">
        <v>957</v>
      </c>
      <c r="H297" s="4" t="s">
        <v>192</v>
      </c>
    </row>
    <row r="298" spans="7:8" x14ac:dyDescent="0.3">
      <c r="G298" s="4" t="s">
        <v>1146</v>
      </c>
      <c r="H298" s="4" t="s">
        <v>1142</v>
      </c>
    </row>
    <row r="299" spans="7:8" x14ac:dyDescent="0.3">
      <c r="G299" s="4" t="s">
        <v>1147</v>
      </c>
      <c r="H299" s="4" t="s">
        <v>1143</v>
      </c>
    </row>
    <row r="300" spans="7:8" x14ac:dyDescent="0.3">
      <c r="G300" s="4" t="s">
        <v>1148</v>
      </c>
      <c r="H300" s="4" t="s">
        <v>1144</v>
      </c>
    </row>
    <row r="301" spans="7:8" x14ac:dyDescent="0.3">
      <c r="G301" s="4" t="s">
        <v>1149</v>
      </c>
      <c r="H301" s="4" t="s">
        <v>1145</v>
      </c>
    </row>
    <row r="302" spans="7:8" x14ac:dyDescent="0.3">
      <c r="G302" s="4" t="s">
        <v>958</v>
      </c>
      <c r="H302" s="4" t="s">
        <v>940</v>
      </c>
    </row>
    <row r="303" spans="7:8" x14ac:dyDescent="0.3">
      <c r="G303" s="4" t="s">
        <v>959</v>
      </c>
      <c r="H303" s="4" t="s">
        <v>941</v>
      </c>
    </row>
    <row r="304" spans="7:8" x14ac:dyDescent="0.3">
      <c r="G304" s="4" t="s">
        <v>960</v>
      </c>
      <c r="H304" s="4" t="s">
        <v>948</v>
      </c>
    </row>
    <row r="305" spans="7:12" x14ac:dyDescent="0.3">
      <c r="G305" s="4" t="s">
        <v>961</v>
      </c>
      <c r="H305" s="4" t="s">
        <v>949</v>
      </c>
    </row>
    <row r="306" spans="7:12" x14ac:dyDescent="0.3">
      <c r="G306" s="4" t="s">
        <v>962</v>
      </c>
      <c r="H306" s="4" t="s">
        <v>942</v>
      </c>
    </row>
    <row r="307" spans="7:12" x14ac:dyDescent="0.3">
      <c r="G307" t="s">
        <v>630</v>
      </c>
      <c r="H307" t="s">
        <v>240</v>
      </c>
    </row>
    <row r="308" spans="7:12" x14ac:dyDescent="0.3">
      <c r="G308" t="s">
        <v>631</v>
      </c>
      <c r="H308" t="s">
        <v>171</v>
      </c>
    </row>
    <row r="310" spans="7:12" x14ac:dyDescent="0.3">
      <c r="L310" s="5"/>
    </row>
    <row r="311" spans="7:12" x14ac:dyDescent="0.3">
      <c r="L311" s="5"/>
    </row>
    <row r="312" spans="7:12" x14ac:dyDescent="0.3">
      <c r="L312" s="5"/>
    </row>
    <row r="313" spans="7:12" x14ac:dyDescent="0.3">
      <c r="L313" s="5"/>
    </row>
    <row r="380" spans="6:9" x14ac:dyDescent="0.3">
      <c r="F380" s="3"/>
      <c r="I380" s="3"/>
    </row>
    <row r="381" spans="6:9" x14ac:dyDescent="0.3">
      <c r="F381" s="3"/>
      <c r="I381" s="3"/>
    </row>
    <row r="382" spans="6:9" x14ac:dyDescent="0.3">
      <c r="F382" s="3"/>
      <c r="I382" s="3"/>
    </row>
    <row r="383" spans="6:9" x14ac:dyDescent="0.3">
      <c r="F383" s="3"/>
      <c r="I383" s="3"/>
    </row>
    <row r="384" spans="6:9" x14ac:dyDescent="0.3">
      <c r="F384" s="3"/>
      <c r="I384" s="3"/>
    </row>
    <row r="385" spans="6:9" x14ac:dyDescent="0.3">
      <c r="F385" s="3"/>
      <c r="I385" s="3"/>
    </row>
    <row r="386" spans="6:9" x14ac:dyDescent="0.3">
      <c r="F386" s="3"/>
      <c r="I386" s="3"/>
    </row>
    <row r="387" spans="6:9" x14ac:dyDescent="0.3">
      <c r="F387" s="3"/>
      <c r="I387" s="3"/>
    </row>
    <row r="388" spans="6:9" x14ac:dyDescent="0.3">
      <c r="F388" s="3"/>
      <c r="I388" s="3"/>
    </row>
    <row r="389" spans="6:9" x14ac:dyDescent="0.3">
      <c r="F389" s="3"/>
      <c r="I389" s="3"/>
    </row>
    <row r="390" spans="6:9" x14ac:dyDescent="0.3">
      <c r="F390" s="3"/>
      <c r="I390" s="3"/>
    </row>
    <row r="391" spans="6:9" x14ac:dyDescent="0.3">
      <c r="F391" s="3"/>
      <c r="I391" s="3"/>
    </row>
    <row r="392" spans="6:9" x14ac:dyDescent="0.3">
      <c r="F392" s="3"/>
      <c r="I392" s="3"/>
    </row>
    <row r="393" spans="6:9" x14ac:dyDescent="0.3">
      <c r="F393" s="3"/>
      <c r="I393" s="3"/>
    </row>
    <row r="394" spans="6:9" x14ac:dyDescent="0.3">
      <c r="F394" s="3"/>
      <c r="I394" s="3"/>
    </row>
    <row r="395" spans="6:9" x14ac:dyDescent="0.3">
      <c r="F395" s="3"/>
      <c r="I395" s="3"/>
    </row>
    <row r="396" spans="6:9" x14ac:dyDescent="0.3">
      <c r="F396" s="3"/>
      <c r="I396" s="3"/>
    </row>
    <row r="397" spans="6:9" x14ac:dyDescent="0.3">
      <c r="F397" s="3"/>
      <c r="I397" s="3"/>
    </row>
  </sheetData>
  <phoneticPr fontId="9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baseColWidth="10" defaultColWidth="10.88671875" defaultRowHeight="14.4" x14ac:dyDescent="0.3"/>
  <sheetData>
    <row r="1" spans="1:5" x14ac:dyDescent="0.3">
      <c r="B1" t="s">
        <v>39</v>
      </c>
      <c r="C1" t="s">
        <v>93</v>
      </c>
      <c r="D1" t="s">
        <v>40</v>
      </c>
      <c r="E1" t="s">
        <v>41</v>
      </c>
    </row>
    <row r="2" spans="1:5" x14ac:dyDescent="0.3">
      <c r="A2" t="s">
        <v>136</v>
      </c>
      <c r="B2" t="s">
        <v>355</v>
      </c>
    </row>
    <row r="3" spans="1:5" x14ac:dyDescent="0.3">
      <c r="A3" t="s">
        <v>357</v>
      </c>
    </row>
    <row r="4" spans="1:5" x14ac:dyDescent="0.3">
      <c r="A4" t="s">
        <v>232</v>
      </c>
    </row>
    <row r="5" spans="1:5" x14ac:dyDescent="0.3">
      <c r="A5" t="s">
        <v>356</v>
      </c>
    </row>
    <row r="11" spans="1:5" x14ac:dyDescent="0.3">
      <c r="B11" t="s">
        <v>39</v>
      </c>
      <c r="C11" t="s">
        <v>93</v>
      </c>
      <c r="D11" t="s">
        <v>40</v>
      </c>
    </row>
    <row r="12" spans="1:5" x14ac:dyDescent="0.3">
      <c r="A12" t="s">
        <v>295</v>
      </c>
      <c r="B12" t="s">
        <v>355</v>
      </c>
    </row>
    <row r="13" spans="1:5" x14ac:dyDescent="0.3">
      <c r="A13" t="s">
        <v>231</v>
      </c>
    </row>
    <row r="14" spans="1:5" x14ac:dyDescent="0.3">
      <c r="A14" t="s">
        <v>233</v>
      </c>
    </row>
    <row r="15" spans="1:5" x14ac:dyDescent="0.3">
      <c r="A15" t="s">
        <v>296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5"/>
  <sheetViews>
    <sheetView topLeftCell="A31" workbookViewId="0">
      <selection activeCell="A34" sqref="A34:XFD34"/>
    </sheetView>
  </sheetViews>
  <sheetFormatPr baseColWidth="10" defaultColWidth="10.88671875" defaultRowHeight="14.4" x14ac:dyDescent="0.3"/>
  <cols>
    <col min="3" max="7" width="11.5546875" customWidth="1"/>
  </cols>
  <sheetData>
    <row r="2" spans="2:18" x14ac:dyDescent="0.3">
      <c r="C2" s="5" t="s">
        <v>1123</v>
      </c>
      <c r="D2" s="53" t="s">
        <v>981</v>
      </c>
      <c r="E2" s="58" t="s">
        <v>982</v>
      </c>
      <c r="F2" s="54" t="s">
        <v>1124</v>
      </c>
      <c r="G2" s="47" t="s">
        <v>128</v>
      </c>
      <c r="H2" s="61" t="s">
        <v>1129</v>
      </c>
      <c r="I2" s="117" t="s">
        <v>1633</v>
      </c>
      <c r="J2" s="62" t="s">
        <v>130</v>
      </c>
      <c r="K2" s="59" t="s">
        <v>1322</v>
      </c>
      <c r="L2" s="75" t="s">
        <v>1323</v>
      </c>
      <c r="M2" s="63" t="s">
        <v>1324</v>
      </c>
      <c r="N2" s="106" t="s">
        <v>1321</v>
      </c>
      <c r="O2" s="99" t="s">
        <v>1184</v>
      </c>
      <c r="P2" s="72" t="s">
        <v>1128</v>
      </c>
      <c r="Q2" s="81" t="s">
        <v>1126</v>
      </c>
      <c r="R2" s="49" t="s">
        <v>1185</v>
      </c>
    </row>
    <row r="3" spans="2:18" x14ac:dyDescent="0.3">
      <c r="C3" s="5">
        <v>0.5</v>
      </c>
      <c r="D3" s="53">
        <v>0.25</v>
      </c>
      <c r="E3" s="58">
        <v>0.25</v>
      </c>
      <c r="F3" s="54">
        <v>0.25</v>
      </c>
      <c r="G3" s="47">
        <v>0.25</v>
      </c>
      <c r="H3" s="61">
        <v>0.2</v>
      </c>
      <c r="I3" s="117">
        <v>2</v>
      </c>
      <c r="J3" s="62">
        <v>0.25</v>
      </c>
      <c r="K3" s="59">
        <v>0.1</v>
      </c>
      <c r="L3" s="75" t="s">
        <v>111</v>
      </c>
      <c r="M3" s="63">
        <v>0.1</v>
      </c>
      <c r="N3" s="106">
        <v>0.25</v>
      </c>
      <c r="O3" s="99">
        <v>0.1</v>
      </c>
      <c r="P3" s="72">
        <v>0.25</v>
      </c>
      <c r="Q3" s="81">
        <v>0.1</v>
      </c>
      <c r="R3" s="49">
        <v>0.25</v>
      </c>
    </row>
    <row r="4" spans="2:18" x14ac:dyDescent="0.3">
      <c r="B4" s="45"/>
      <c r="C4" s="5"/>
      <c r="D4" s="53"/>
      <c r="E4" s="58"/>
      <c r="F4" s="54"/>
      <c r="G4" s="47"/>
      <c r="H4" s="61"/>
      <c r="I4" s="117"/>
      <c r="J4" s="62"/>
      <c r="K4" s="59"/>
      <c r="L4" s="75"/>
      <c r="M4" s="63"/>
      <c r="N4" s="106"/>
      <c r="O4" s="99"/>
      <c r="P4" s="72"/>
      <c r="Q4" s="81"/>
      <c r="R4" s="49"/>
    </row>
    <row r="5" spans="2:18" x14ac:dyDescent="0.3">
      <c r="C5" s="5" t="s">
        <v>1123</v>
      </c>
      <c r="D5" s="53" t="s">
        <v>981</v>
      </c>
      <c r="E5" s="58" t="s">
        <v>982</v>
      </c>
      <c r="F5" s="54" t="s">
        <v>1124</v>
      </c>
      <c r="G5" s="47" t="s">
        <v>128</v>
      </c>
      <c r="H5" s="61" t="s">
        <v>1129</v>
      </c>
      <c r="I5" s="117" t="s">
        <v>1633</v>
      </c>
      <c r="J5" s="62" t="s">
        <v>130</v>
      </c>
      <c r="K5" s="59" t="s">
        <v>1322</v>
      </c>
      <c r="L5" s="75" t="s">
        <v>1323</v>
      </c>
      <c r="M5" s="63" t="s">
        <v>1324</v>
      </c>
      <c r="N5" s="106" t="s">
        <v>1321</v>
      </c>
      <c r="O5" s="99" t="s">
        <v>1184</v>
      </c>
      <c r="P5" s="72" t="s">
        <v>1128</v>
      </c>
      <c r="Q5" s="81" t="s">
        <v>1127</v>
      </c>
      <c r="R5" s="49" t="s">
        <v>1185</v>
      </c>
    </row>
    <row r="6" spans="2:18" x14ac:dyDescent="0.3">
      <c r="B6" s="50" t="s">
        <v>673</v>
      </c>
      <c r="C6" s="51">
        <v>1</v>
      </c>
      <c r="D6" s="52"/>
      <c r="E6" s="77"/>
      <c r="F6" s="55"/>
      <c r="G6" s="47"/>
      <c r="H6" s="60"/>
      <c r="I6" s="91"/>
      <c r="J6" s="62"/>
      <c r="K6" s="59"/>
      <c r="L6" s="75"/>
      <c r="M6" s="63"/>
      <c r="N6" s="106"/>
      <c r="O6" s="99"/>
      <c r="P6" s="72"/>
      <c r="Q6" s="81"/>
      <c r="R6" s="49"/>
    </row>
    <row r="7" spans="2:18" x14ac:dyDescent="0.3">
      <c r="B7" s="50" t="s">
        <v>674</v>
      </c>
      <c r="C7" s="51">
        <v>1</v>
      </c>
      <c r="D7" s="52"/>
      <c r="E7" s="77"/>
      <c r="F7" s="55"/>
      <c r="G7" s="47"/>
      <c r="H7" s="60"/>
      <c r="I7" s="91"/>
      <c r="J7" s="62"/>
      <c r="K7" s="59"/>
      <c r="L7" s="75"/>
      <c r="M7" s="63"/>
      <c r="N7" s="106"/>
      <c r="O7" s="99"/>
      <c r="P7" s="72"/>
      <c r="Q7" s="81"/>
      <c r="R7" s="49"/>
    </row>
    <row r="8" spans="2:18" x14ac:dyDescent="0.3">
      <c r="B8" s="50" t="s">
        <v>675</v>
      </c>
      <c r="C8" s="51">
        <v>1</v>
      </c>
      <c r="D8" s="52"/>
      <c r="E8" s="77"/>
      <c r="F8" s="55"/>
      <c r="G8" s="47"/>
      <c r="H8" s="60"/>
      <c r="I8" s="91"/>
      <c r="J8" s="62"/>
      <c r="K8" s="59"/>
      <c r="L8" s="75"/>
      <c r="M8" s="63"/>
      <c r="N8" s="106"/>
      <c r="O8" s="99"/>
      <c r="P8" s="72"/>
      <c r="Q8" s="81"/>
      <c r="R8" s="49"/>
    </row>
    <row r="9" spans="2:18" x14ac:dyDescent="0.3">
      <c r="B9" s="50" t="s">
        <v>676</v>
      </c>
      <c r="C9" s="51">
        <v>1</v>
      </c>
      <c r="D9" s="52"/>
      <c r="E9" s="77"/>
      <c r="F9" s="55"/>
      <c r="G9" s="47"/>
      <c r="H9" s="60"/>
      <c r="I9" s="91"/>
      <c r="J9" s="62"/>
      <c r="K9" s="59"/>
      <c r="L9" s="75"/>
      <c r="M9" s="63"/>
      <c r="N9" s="106"/>
      <c r="O9" s="99"/>
      <c r="P9" s="72"/>
      <c r="Q9" s="81"/>
      <c r="R9" s="49"/>
    </row>
    <row r="10" spans="2:18" x14ac:dyDescent="0.3">
      <c r="B10" s="50" t="s">
        <v>677</v>
      </c>
      <c r="C10" s="51">
        <v>1</v>
      </c>
      <c r="D10" s="52"/>
      <c r="E10" s="77"/>
      <c r="F10" s="55"/>
      <c r="G10" s="47"/>
      <c r="H10" s="60"/>
      <c r="I10" s="91"/>
      <c r="J10" s="62"/>
      <c r="K10" s="59"/>
      <c r="L10" s="75"/>
      <c r="M10" s="63"/>
      <c r="N10" s="106"/>
      <c r="O10" s="99"/>
      <c r="P10" s="72"/>
      <c r="Q10" s="81"/>
      <c r="R10" s="49"/>
    </row>
    <row r="11" spans="2:18" x14ac:dyDescent="0.3">
      <c r="B11" s="50" t="s">
        <v>678</v>
      </c>
      <c r="C11" s="51">
        <v>1</v>
      </c>
      <c r="D11" s="52"/>
      <c r="E11" s="77"/>
      <c r="F11" s="55"/>
      <c r="G11" s="47"/>
      <c r="H11" s="60"/>
      <c r="I11" s="91"/>
      <c r="J11" s="62"/>
      <c r="K11" s="59"/>
      <c r="L11" s="75"/>
      <c r="M11" s="63"/>
      <c r="N11" s="106"/>
      <c r="O11" s="99"/>
      <c r="P11" s="72"/>
      <c r="Q11" s="81"/>
      <c r="R11" s="49"/>
    </row>
    <row r="12" spans="2:18" x14ac:dyDescent="0.3">
      <c r="B12" s="50" t="s">
        <v>680</v>
      </c>
      <c r="C12" s="50">
        <v>1</v>
      </c>
      <c r="D12" s="52"/>
      <c r="E12" s="77"/>
      <c r="F12" s="55"/>
      <c r="G12" s="47"/>
      <c r="H12" s="60"/>
      <c r="I12" s="91"/>
      <c r="J12" s="62"/>
      <c r="K12" s="59"/>
      <c r="L12" s="75"/>
      <c r="M12" s="63"/>
      <c r="N12" s="106"/>
      <c r="O12" s="99"/>
      <c r="P12" s="72"/>
      <c r="Q12" s="81"/>
      <c r="R12" s="49"/>
    </row>
    <row r="13" spans="2:18" x14ac:dyDescent="0.3">
      <c r="B13" s="53" t="s">
        <v>681</v>
      </c>
      <c r="C13" s="53"/>
      <c r="D13" s="53">
        <v>1</v>
      </c>
      <c r="E13" s="77"/>
      <c r="F13" s="55"/>
      <c r="G13" s="47"/>
      <c r="H13" s="60"/>
      <c r="I13" s="91"/>
      <c r="J13" s="62"/>
      <c r="K13" s="59"/>
      <c r="L13" s="75"/>
      <c r="M13" s="63"/>
      <c r="N13" s="106"/>
      <c r="O13" s="99"/>
      <c r="P13" s="72"/>
      <c r="Q13" s="81"/>
      <c r="R13" s="49"/>
    </row>
    <row r="14" spans="2:18" x14ac:dyDescent="0.3">
      <c r="B14" s="53" t="s">
        <v>1169</v>
      </c>
      <c r="C14" s="53"/>
      <c r="D14" s="53">
        <v>1</v>
      </c>
      <c r="E14" s="77"/>
      <c r="F14" s="55"/>
      <c r="G14" s="47"/>
      <c r="H14" s="60"/>
      <c r="I14" s="91"/>
      <c r="J14" s="62"/>
      <c r="K14" s="59"/>
      <c r="L14" s="75"/>
      <c r="M14" s="63"/>
      <c r="N14" s="106"/>
      <c r="O14" s="99"/>
      <c r="P14" s="72"/>
      <c r="Q14" s="81"/>
      <c r="R14" s="49"/>
    </row>
    <row r="15" spans="2:18" x14ac:dyDescent="0.3">
      <c r="B15" s="53" t="s">
        <v>682</v>
      </c>
      <c r="C15" s="53"/>
      <c r="D15" s="53">
        <v>1</v>
      </c>
      <c r="E15" s="77"/>
      <c r="F15" s="55"/>
      <c r="G15" s="47"/>
      <c r="H15" s="60"/>
      <c r="I15" s="91"/>
      <c r="J15" s="62"/>
      <c r="K15" s="59"/>
      <c r="L15" s="75"/>
      <c r="M15" s="63"/>
      <c r="N15" s="106"/>
      <c r="O15" s="99"/>
      <c r="P15" s="72"/>
      <c r="Q15" s="81"/>
      <c r="R15" s="49"/>
    </row>
    <row r="16" spans="2:18" x14ac:dyDescent="0.3">
      <c r="B16" s="53" t="s">
        <v>683</v>
      </c>
      <c r="C16" s="53"/>
      <c r="D16" s="53">
        <v>1</v>
      </c>
      <c r="E16" s="77"/>
      <c r="F16" s="55"/>
      <c r="G16" s="47"/>
      <c r="H16" s="60"/>
      <c r="I16" s="91"/>
      <c r="J16" s="62"/>
      <c r="K16" s="59"/>
      <c r="L16" s="75"/>
      <c r="M16" s="63"/>
      <c r="N16" s="106"/>
      <c r="O16" s="99"/>
      <c r="P16" s="72"/>
      <c r="Q16" s="81"/>
      <c r="R16" s="49"/>
    </row>
    <row r="17" spans="2:18" x14ac:dyDescent="0.3">
      <c r="B17" s="53" t="s">
        <v>685</v>
      </c>
      <c r="C17" s="53"/>
      <c r="D17" s="53">
        <v>1</v>
      </c>
      <c r="E17" s="77"/>
      <c r="F17" s="55"/>
      <c r="G17" s="47"/>
      <c r="H17" s="60"/>
      <c r="I17" s="91"/>
      <c r="J17" s="62"/>
      <c r="K17" s="59"/>
      <c r="L17" s="75"/>
      <c r="M17" s="63"/>
      <c r="N17" s="106"/>
      <c r="O17" s="99"/>
      <c r="P17" s="72"/>
      <c r="Q17" s="81"/>
      <c r="R17" s="49"/>
    </row>
    <row r="18" spans="2:18" x14ac:dyDescent="0.3">
      <c r="B18" s="53" t="s">
        <v>686</v>
      </c>
      <c r="C18" s="53"/>
      <c r="D18" s="53">
        <v>1</v>
      </c>
      <c r="E18" s="77"/>
      <c r="F18" s="55"/>
      <c r="G18" s="47"/>
      <c r="H18" s="60"/>
      <c r="I18" s="91"/>
      <c r="J18" s="62"/>
      <c r="K18" s="59"/>
      <c r="L18" s="75"/>
      <c r="M18" s="63"/>
      <c r="N18" s="106"/>
      <c r="O18" s="99"/>
      <c r="P18" s="79"/>
      <c r="Q18" s="81"/>
      <c r="R18" s="49"/>
    </row>
    <row r="19" spans="2:18" x14ac:dyDescent="0.3">
      <c r="B19" s="53" t="s">
        <v>687</v>
      </c>
      <c r="C19" s="53"/>
      <c r="D19" s="53">
        <v>1</v>
      </c>
      <c r="E19" s="77"/>
      <c r="F19" s="55"/>
      <c r="G19" s="47"/>
      <c r="H19" s="60"/>
      <c r="I19" s="91"/>
      <c r="J19" s="62"/>
      <c r="K19" s="59"/>
      <c r="L19" s="75"/>
      <c r="M19" s="63"/>
      <c r="N19" s="106"/>
      <c r="O19" s="99"/>
      <c r="P19" s="79"/>
      <c r="Q19" s="81"/>
      <c r="R19" s="49"/>
    </row>
    <row r="20" spans="2:18" x14ac:dyDescent="0.3">
      <c r="B20" s="53" t="s">
        <v>689</v>
      </c>
      <c r="C20" s="53"/>
      <c r="D20" s="53">
        <v>1</v>
      </c>
      <c r="E20" s="77"/>
      <c r="F20" s="55"/>
      <c r="G20" s="47"/>
      <c r="H20" s="60"/>
      <c r="I20" s="91"/>
      <c r="J20" s="62"/>
      <c r="K20" s="59"/>
      <c r="L20" s="75"/>
      <c r="M20" s="63"/>
      <c r="N20" s="106"/>
      <c r="O20" s="99"/>
      <c r="P20" s="79"/>
      <c r="Q20" s="81"/>
      <c r="R20" s="49"/>
    </row>
    <row r="21" spans="2:18" x14ac:dyDescent="0.3">
      <c r="B21" s="103" t="s">
        <v>154</v>
      </c>
      <c r="C21" s="103"/>
      <c r="D21" s="103">
        <v>0.05</v>
      </c>
      <c r="E21" s="58">
        <v>0.1</v>
      </c>
      <c r="F21" s="54">
        <v>0.1</v>
      </c>
      <c r="G21" s="47">
        <v>0.05</v>
      </c>
      <c r="H21" s="60">
        <v>0.6</v>
      </c>
      <c r="I21" s="91"/>
      <c r="J21" s="62"/>
      <c r="K21" s="59"/>
      <c r="L21" s="75"/>
      <c r="M21" s="63">
        <v>0.1</v>
      </c>
      <c r="N21" s="106"/>
      <c r="O21" s="99"/>
      <c r="P21" s="79"/>
      <c r="Q21" s="81"/>
      <c r="R21" s="49"/>
    </row>
    <row r="22" spans="2:18" x14ac:dyDescent="0.3">
      <c r="B22" s="58" t="s">
        <v>688</v>
      </c>
      <c r="C22" s="58"/>
      <c r="D22" s="58"/>
      <c r="E22" s="78">
        <v>1</v>
      </c>
      <c r="F22" s="55"/>
      <c r="G22" s="47"/>
      <c r="H22" s="60"/>
      <c r="I22" s="91"/>
      <c r="J22" s="62"/>
      <c r="K22" s="59"/>
      <c r="L22" s="75"/>
      <c r="M22" s="63"/>
      <c r="N22" s="106"/>
      <c r="O22" s="99"/>
      <c r="P22" s="79"/>
      <c r="Q22" s="81"/>
      <c r="R22" s="49"/>
    </row>
    <row r="23" spans="2:18" x14ac:dyDescent="0.3">
      <c r="B23" s="58" t="s">
        <v>690</v>
      </c>
      <c r="C23" s="58"/>
      <c r="D23" s="58"/>
      <c r="E23" s="58">
        <v>1</v>
      </c>
      <c r="F23" s="55"/>
      <c r="G23" s="47"/>
      <c r="H23" s="60"/>
      <c r="I23" s="91"/>
      <c r="J23" s="62"/>
      <c r="K23" s="59"/>
      <c r="L23" s="75"/>
      <c r="M23" s="63"/>
      <c r="N23" s="106"/>
      <c r="O23" s="99"/>
      <c r="P23" s="79"/>
      <c r="Q23" s="81"/>
      <c r="R23" s="49"/>
    </row>
    <row r="24" spans="2:18" x14ac:dyDescent="0.3">
      <c r="B24" s="58" t="s">
        <v>691</v>
      </c>
      <c r="C24" s="58"/>
      <c r="D24" s="58"/>
      <c r="E24" s="58">
        <v>1</v>
      </c>
      <c r="F24" s="55"/>
      <c r="G24" s="47"/>
      <c r="H24" s="60"/>
      <c r="I24" s="91"/>
      <c r="J24" s="62"/>
      <c r="K24" s="59"/>
      <c r="L24" s="75"/>
      <c r="M24" s="63"/>
      <c r="N24" s="106"/>
      <c r="O24" s="99"/>
      <c r="P24" s="79"/>
      <c r="Q24" s="81"/>
      <c r="R24" s="49"/>
    </row>
    <row r="25" spans="2:18" x14ac:dyDescent="0.3">
      <c r="B25" s="58" t="s">
        <v>692</v>
      </c>
      <c r="C25" s="58"/>
      <c r="D25" s="58"/>
      <c r="E25" s="58">
        <v>1</v>
      </c>
      <c r="F25" s="55"/>
      <c r="G25" s="47"/>
      <c r="H25" s="60"/>
      <c r="I25" s="91"/>
      <c r="J25" s="62"/>
      <c r="K25" s="59"/>
      <c r="L25" s="75"/>
      <c r="M25" s="63"/>
      <c r="N25" s="106"/>
      <c r="O25" s="99"/>
      <c r="P25" s="79"/>
      <c r="Q25" s="81"/>
      <c r="R25" s="49"/>
    </row>
    <row r="26" spans="2:18" x14ac:dyDescent="0.3">
      <c r="B26" s="58" t="s">
        <v>145</v>
      </c>
      <c r="C26" s="58"/>
      <c r="D26" s="58"/>
      <c r="E26" s="58">
        <v>1</v>
      </c>
      <c r="F26" s="55"/>
      <c r="G26" s="47"/>
      <c r="H26" s="60"/>
      <c r="I26" s="91"/>
      <c r="J26" s="62"/>
      <c r="K26" s="59"/>
      <c r="L26" s="75"/>
      <c r="M26" s="63"/>
      <c r="N26" s="106"/>
      <c r="O26" s="99"/>
      <c r="P26" s="79"/>
      <c r="Q26" s="81"/>
      <c r="R26" s="49"/>
    </row>
    <row r="27" spans="2:18" x14ac:dyDescent="0.3">
      <c r="B27" s="54" t="s">
        <v>679</v>
      </c>
      <c r="C27" s="54" t="s">
        <v>473</v>
      </c>
      <c r="D27" s="54"/>
      <c r="E27" s="54" t="s">
        <v>473</v>
      </c>
      <c r="F27" s="54">
        <v>1</v>
      </c>
      <c r="G27" s="47"/>
      <c r="H27" s="60"/>
      <c r="I27" s="91"/>
      <c r="J27" s="62"/>
      <c r="K27" s="59"/>
      <c r="L27" s="75"/>
      <c r="M27" s="63"/>
      <c r="N27" s="106"/>
      <c r="O27" s="99"/>
      <c r="P27" s="72"/>
      <c r="Q27" s="81"/>
      <c r="R27" s="49"/>
    </row>
    <row r="28" spans="2:18" x14ac:dyDescent="0.3">
      <c r="B28" s="48" t="s">
        <v>684</v>
      </c>
      <c r="C28" s="48"/>
      <c r="D28" s="56" t="s">
        <v>473</v>
      </c>
      <c r="E28" s="57"/>
      <c r="F28" s="54">
        <v>1</v>
      </c>
      <c r="G28" s="47"/>
      <c r="H28" s="60"/>
      <c r="I28" s="91"/>
      <c r="J28" s="62"/>
      <c r="K28" s="59"/>
      <c r="L28" s="75"/>
      <c r="M28" s="63"/>
      <c r="N28" s="106"/>
      <c r="O28" s="99"/>
      <c r="P28" s="72"/>
      <c r="Q28" s="81"/>
      <c r="R28" s="49"/>
    </row>
    <row r="29" spans="2:18" x14ac:dyDescent="0.3">
      <c r="B29" s="54" t="s">
        <v>146</v>
      </c>
      <c r="C29" s="54"/>
      <c r="D29" s="54"/>
      <c r="E29" s="54"/>
      <c r="F29" s="54">
        <v>1</v>
      </c>
      <c r="G29" s="47" t="s">
        <v>473</v>
      </c>
      <c r="H29" s="60"/>
      <c r="I29" s="91"/>
      <c r="J29" s="62"/>
      <c r="K29" s="59"/>
      <c r="L29" s="75"/>
      <c r="M29" s="63"/>
      <c r="N29" s="106"/>
      <c r="O29" s="99"/>
      <c r="P29" s="79"/>
      <c r="Q29" s="81"/>
      <c r="R29" s="49"/>
    </row>
    <row r="30" spans="2:18" x14ac:dyDescent="0.3">
      <c r="B30" s="54" t="s">
        <v>694</v>
      </c>
      <c r="C30" s="54"/>
      <c r="D30" s="54"/>
      <c r="E30" s="54"/>
      <c r="F30" s="54">
        <v>1</v>
      </c>
      <c r="G30" s="47" t="s">
        <v>473</v>
      </c>
      <c r="H30" s="60"/>
      <c r="I30" s="91"/>
      <c r="J30" s="62"/>
      <c r="K30" s="59"/>
      <c r="L30" s="75"/>
      <c r="M30" s="63"/>
      <c r="N30" s="106"/>
      <c r="O30" s="99"/>
      <c r="P30" s="79"/>
      <c r="Q30" s="81"/>
      <c r="R30" s="49"/>
    </row>
    <row r="31" spans="2:18" x14ac:dyDescent="0.3">
      <c r="B31" s="54" t="s">
        <v>693</v>
      </c>
      <c r="C31" s="54"/>
      <c r="D31" s="54"/>
      <c r="E31" s="54"/>
      <c r="F31" s="54">
        <v>1</v>
      </c>
      <c r="G31" s="47" t="s">
        <v>473</v>
      </c>
      <c r="H31" s="60"/>
      <c r="I31" s="91"/>
      <c r="J31" s="62"/>
      <c r="K31" s="59"/>
      <c r="L31" s="75"/>
      <c r="M31" s="63"/>
      <c r="N31" s="106"/>
      <c r="O31" s="99"/>
      <c r="P31" s="79"/>
      <c r="Q31" s="81"/>
      <c r="R31" s="49"/>
    </row>
    <row r="32" spans="2:18" x14ac:dyDescent="0.3">
      <c r="B32" s="91" t="s">
        <v>1634</v>
      </c>
      <c r="C32" s="91"/>
      <c r="D32" s="91"/>
      <c r="E32" s="91"/>
      <c r="F32" s="91"/>
      <c r="G32" s="91"/>
      <c r="H32" s="91"/>
      <c r="I32" s="91">
        <v>1</v>
      </c>
      <c r="J32" s="62"/>
      <c r="K32" s="59"/>
      <c r="L32" s="75"/>
      <c r="M32" s="63"/>
      <c r="N32" s="106"/>
      <c r="O32" s="99"/>
      <c r="P32" s="79"/>
      <c r="Q32" s="81"/>
      <c r="R32" s="49"/>
    </row>
    <row r="33" spans="2:18" x14ac:dyDescent="0.3">
      <c r="B33" s="91" t="s">
        <v>164</v>
      </c>
      <c r="C33" s="91"/>
      <c r="D33" s="91"/>
      <c r="E33" s="91"/>
      <c r="F33" s="91"/>
      <c r="G33" s="91"/>
      <c r="H33" s="91"/>
      <c r="I33" s="91">
        <v>1</v>
      </c>
      <c r="J33" s="62"/>
      <c r="K33" s="59"/>
      <c r="L33" s="75"/>
      <c r="M33" s="63"/>
      <c r="N33" s="106"/>
      <c r="O33" s="99"/>
      <c r="P33" s="79"/>
      <c r="Q33" s="81"/>
      <c r="R33" s="49"/>
    </row>
    <row r="34" spans="2:18" x14ac:dyDescent="0.3">
      <c r="B34" s="47" t="s">
        <v>142</v>
      </c>
      <c r="C34" s="47"/>
      <c r="D34" s="47"/>
      <c r="E34" s="64"/>
      <c r="F34" s="65"/>
      <c r="G34" s="47">
        <v>0.5</v>
      </c>
      <c r="H34" s="60"/>
      <c r="J34" s="62"/>
      <c r="K34" s="59"/>
      <c r="L34" s="75"/>
      <c r="M34" s="63"/>
      <c r="N34" s="106"/>
      <c r="O34" s="99"/>
      <c r="P34" s="72"/>
      <c r="Q34" s="81"/>
      <c r="R34" s="49">
        <v>0.5</v>
      </c>
    </row>
    <row r="35" spans="2:18" x14ac:dyDescent="0.3">
      <c r="B35" s="47" t="s">
        <v>1525</v>
      </c>
      <c r="C35" s="47"/>
      <c r="D35" s="47"/>
      <c r="E35" s="64"/>
      <c r="F35" s="65"/>
      <c r="G35" s="47">
        <v>1</v>
      </c>
      <c r="H35" s="60"/>
      <c r="J35" s="62"/>
      <c r="K35" s="59"/>
      <c r="L35" s="75"/>
      <c r="M35" s="63"/>
      <c r="N35" s="106"/>
      <c r="O35" s="99"/>
      <c r="P35" s="72"/>
      <c r="Q35" s="81"/>
      <c r="R35" s="49"/>
    </row>
    <row r="36" spans="2:18" x14ac:dyDescent="0.3">
      <c r="B36" s="47" t="s">
        <v>1455</v>
      </c>
      <c r="C36" s="47"/>
      <c r="D36" s="47"/>
      <c r="E36" s="64"/>
      <c r="F36" s="65"/>
      <c r="G36" s="47">
        <v>1</v>
      </c>
      <c r="H36" s="60"/>
      <c r="J36" s="62"/>
      <c r="K36" s="59"/>
      <c r="L36" s="75"/>
      <c r="M36" s="63"/>
      <c r="N36" s="106"/>
      <c r="O36" s="99"/>
      <c r="P36" s="72"/>
      <c r="Q36" s="81"/>
      <c r="R36" s="49"/>
    </row>
    <row r="37" spans="2:18" x14ac:dyDescent="0.3">
      <c r="B37" s="47" t="s">
        <v>1456</v>
      </c>
      <c r="C37" s="47"/>
      <c r="D37" s="47"/>
      <c r="E37" s="64"/>
      <c r="F37" s="65"/>
      <c r="G37" s="47">
        <v>1</v>
      </c>
      <c r="H37" s="60"/>
      <c r="J37" s="62"/>
      <c r="K37" s="59"/>
      <c r="L37" s="75"/>
      <c r="M37" s="63"/>
      <c r="N37" s="106"/>
      <c r="O37" s="99"/>
      <c r="P37" s="72"/>
      <c r="Q37" s="81"/>
      <c r="R37" s="49"/>
    </row>
    <row r="38" spans="2:18" x14ac:dyDescent="0.3">
      <c r="B38" s="47" t="s">
        <v>1458</v>
      </c>
      <c r="C38" s="47"/>
      <c r="D38" s="47"/>
      <c r="E38" s="64"/>
      <c r="F38" s="65"/>
      <c r="G38" s="47">
        <v>1</v>
      </c>
      <c r="H38" s="60"/>
      <c r="J38" s="62"/>
      <c r="K38" s="59"/>
      <c r="L38" s="75"/>
      <c r="M38" s="63"/>
      <c r="N38" s="106"/>
      <c r="O38" s="99"/>
      <c r="P38" s="72"/>
      <c r="Q38" s="81"/>
      <c r="R38" s="49"/>
    </row>
    <row r="39" spans="2:18" x14ac:dyDescent="0.3">
      <c r="B39" s="47" t="s">
        <v>1457</v>
      </c>
      <c r="C39" s="47"/>
      <c r="D39" s="47"/>
      <c r="E39" s="64"/>
      <c r="F39" s="65"/>
      <c r="G39" s="47">
        <v>1</v>
      </c>
      <c r="H39" s="60"/>
      <c r="J39" s="62"/>
      <c r="K39" s="59"/>
      <c r="L39" s="75"/>
      <c r="M39" s="63"/>
      <c r="N39" s="106"/>
      <c r="O39" s="99"/>
      <c r="P39" s="72"/>
      <c r="Q39" s="81"/>
      <c r="R39" s="49"/>
    </row>
    <row r="40" spans="2:18" x14ac:dyDescent="0.3">
      <c r="B40" s="47" t="s">
        <v>695</v>
      </c>
      <c r="C40" s="47"/>
      <c r="D40" s="47"/>
      <c r="E40" s="47"/>
      <c r="F40" s="65"/>
      <c r="G40" s="47">
        <v>1</v>
      </c>
      <c r="H40" s="60"/>
      <c r="J40" s="62"/>
      <c r="K40" s="59"/>
      <c r="L40" s="75"/>
      <c r="M40" s="63"/>
      <c r="N40" s="106"/>
      <c r="O40" s="99"/>
      <c r="P40" s="79"/>
      <c r="Q40" s="81"/>
      <c r="R40" s="49"/>
    </row>
    <row r="41" spans="2:18" x14ac:dyDescent="0.3">
      <c r="B41" s="47" t="s">
        <v>149</v>
      </c>
      <c r="C41" s="47"/>
      <c r="D41" s="47"/>
      <c r="E41" s="47"/>
      <c r="F41" s="47"/>
      <c r="G41" s="47">
        <v>1</v>
      </c>
      <c r="H41" s="60"/>
      <c r="J41" s="62"/>
      <c r="K41" s="59"/>
      <c r="L41" s="75"/>
      <c r="M41" s="63"/>
      <c r="N41" s="106"/>
      <c r="O41" s="99"/>
      <c r="P41" s="79"/>
      <c r="Q41" s="81"/>
      <c r="R41" s="49"/>
    </row>
    <row r="42" spans="2:18" x14ac:dyDescent="0.3">
      <c r="B42" s="47" t="s">
        <v>1459</v>
      </c>
      <c r="C42" s="47"/>
      <c r="D42" s="47"/>
      <c r="E42" s="47"/>
      <c r="F42" s="47"/>
      <c r="G42" s="47">
        <v>1</v>
      </c>
      <c r="H42" s="60"/>
      <c r="J42" s="62"/>
      <c r="K42" s="59"/>
      <c r="L42" s="75"/>
      <c r="M42" s="63"/>
      <c r="N42" s="106"/>
      <c r="O42" s="99"/>
      <c r="P42" s="79"/>
      <c r="Q42" s="81"/>
      <c r="R42" s="49"/>
    </row>
    <row r="43" spans="2:18" x14ac:dyDescent="0.3">
      <c r="B43" s="47" t="s">
        <v>1460</v>
      </c>
      <c r="C43" s="47"/>
      <c r="D43" s="47"/>
      <c r="E43" s="47"/>
      <c r="F43" s="47"/>
      <c r="G43" s="47">
        <v>1</v>
      </c>
      <c r="H43" s="60"/>
      <c r="J43" s="62"/>
      <c r="K43" s="59"/>
      <c r="L43" s="75"/>
      <c r="M43" s="63"/>
      <c r="N43" s="106"/>
      <c r="O43" s="99"/>
      <c r="P43" s="79"/>
      <c r="Q43" s="81"/>
      <c r="R43" s="49"/>
    </row>
    <row r="44" spans="2:18" x14ac:dyDescent="0.3">
      <c r="B44" s="47" t="s">
        <v>273</v>
      </c>
      <c r="C44" s="47"/>
      <c r="D44" s="47"/>
      <c r="E44" s="47"/>
      <c r="F44" s="47"/>
      <c r="G44" s="47">
        <v>1</v>
      </c>
      <c r="H44" s="60"/>
      <c r="J44" s="62"/>
      <c r="K44" s="59"/>
      <c r="L44" s="75"/>
      <c r="M44" s="63"/>
      <c r="N44" s="106"/>
      <c r="O44" s="99"/>
      <c r="P44" s="79"/>
      <c r="Q44" s="81"/>
      <c r="R44" s="49"/>
    </row>
    <row r="45" spans="2:18" x14ac:dyDescent="0.3">
      <c r="B45" s="47" t="s">
        <v>1610</v>
      </c>
      <c r="C45" s="47"/>
      <c r="D45" s="47"/>
      <c r="E45" s="47"/>
      <c r="F45" s="47"/>
      <c r="G45" s="47">
        <v>1</v>
      </c>
      <c r="H45" s="60"/>
      <c r="J45" s="62"/>
      <c r="K45" s="59"/>
      <c r="L45" s="75"/>
      <c r="M45" s="63"/>
      <c r="N45" s="106"/>
      <c r="O45" s="99"/>
      <c r="P45" s="79"/>
      <c r="Q45" s="81"/>
      <c r="R45" s="49"/>
    </row>
    <row r="46" spans="2:18" x14ac:dyDescent="0.3">
      <c r="B46" s="47" t="s">
        <v>1611</v>
      </c>
      <c r="C46" s="47"/>
      <c r="D46" s="47"/>
      <c r="E46" s="47"/>
      <c r="F46" s="47"/>
      <c r="G46" s="47">
        <v>1</v>
      </c>
      <c r="H46" s="60"/>
      <c r="J46" s="62"/>
      <c r="K46" s="59"/>
      <c r="L46" s="75"/>
      <c r="M46" s="63"/>
      <c r="N46" s="106"/>
      <c r="O46" s="99"/>
      <c r="P46" s="79"/>
      <c r="Q46" s="81"/>
      <c r="R46" s="49"/>
    </row>
    <row r="47" spans="2:18" x14ac:dyDescent="0.3">
      <c r="B47" s="47" t="s">
        <v>1612</v>
      </c>
      <c r="C47" s="47"/>
      <c r="D47" s="47"/>
      <c r="E47" s="47"/>
      <c r="F47" s="47"/>
      <c r="G47" s="47">
        <v>1</v>
      </c>
      <c r="H47" s="60"/>
      <c r="J47" s="62"/>
      <c r="K47" s="59"/>
      <c r="L47" s="75"/>
      <c r="M47" s="63"/>
      <c r="N47" s="106"/>
      <c r="O47" s="99"/>
      <c r="P47" s="79"/>
      <c r="Q47" s="81"/>
      <c r="R47" s="49"/>
    </row>
    <row r="48" spans="2:18" x14ac:dyDescent="0.3">
      <c r="B48" s="47" t="s">
        <v>1461</v>
      </c>
      <c r="C48" s="47"/>
      <c r="D48" s="47"/>
      <c r="E48" s="47"/>
      <c r="F48" s="47"/>
      <c r="G48" s="47">
        <v>1</v>
      </c>
      <c r="H48" s="60"/>
      <c r="J48" s="62"/>
      <c r="K48" s="59"/>
      <c r="L48" s="75"/>
      <c r="M48" s="63"/>
      <c r="N48" s="106"/>
      <c r="O48" s="99"/>
      <c r="P48" s="79"/>
      <c r="Q48" s="81"/>
      <c r="R48" s="49"/>
    </row>
    <row r="49" spans="2:18" x14ac:dyDescent="0.3">
      <c r="B49" s="47" t="s">
        <v>277</v>
      </c>
      <c r="C49" s="47"/>
      <c r="D49" s="47"/>
      <c r="E49" s="47"/>
      <c r="F49" s="47"/>
      <c r="G49" s="47">
        <v>1</v>
      </c>
      <c r="H49" s="60"/>
      <c r="J49" s="62"/>
      <c r="K49" s="59"/>
      <c r="L49" s="75"/>
      <c r="M49" s="63"/>
      <c r="N49" s="106"/>
      <c r="O49" s="99"/>
      <c r="P49" s="79"/>
      <c r="Q49" s="81"/>
      <c r="R49" s="49"/>
    </row>
    <row r="50" spans="2:18" x14ac:dyDescent="0.3">
      <c r="B50" s="47" t="s">
        <v>279</v>
      </c>
      <c r="C50" s="47"/>
      <c r="D50" s="47"/>
      <c r="E50" s="47"/>
      <c r="F50" s="47"/>
      <c r="G50" s="47">
        <v>1</v>
      </c>
      <c r="H50" s="60"/>
      <c r="J50" s="62"/>
      <c r="K50" s="59"/>
      <c r="L50" s="75"/>
      <c r="M50" s="63"/>
      <c r="N50" s="106"/>
      <c r="O50" s="99"/>
      <c r="P50" s="79"/>
      <c r="Q50" s="81"/>
      <c r="R50" s="49"/>
    </row>
    <row r="51" spans="2:18" x14ac:dyDescent="0.3">
      <c r="B51" s="47" t="s">
        <v>150</v>
      </c>
      <c r="C51" s="47"/>
      <c r="D51" s="47"/>
      <c r="E51" s="47"/>
      <c r="F51" s="47"/>
      <c r="G51" s="47">
        <v>1</v>
      </c>
      <c r="H51" s="60"/>
      <c r="J51" s="62"/>
      <c r="K51" s="59"/>
      <c r="L51" s="75"/>
      <c r="M51" s="63"/>
      <c r="N51" s="106"/>
      <c r="O51" s="99"/>
      <c r="P51" s="79"/>
      <c r="Q51" s="81"/>
      <c r="R51" s="49"/>
    </row>
    <row r="52" spans="2:18" x14ac:dyDescent="0.3">
      <c r="B52" s="47" t="s">
        <v>696</v>
      </c>
      <c r="C52" s="47"/>
      <c r="D52" s="47"/>
      <c r="E52" s="47"/>
      <c r="F52" s="47"/>
      <c r="G52" s="47">
        <v>1</v>
      </c>
      <c r="H52" s="60"/>
      <c r="J52" s="62"/>
      <c r="K52" s="59"/>
      <c r="L52" s="75"/>
      <c r="M52" s="63"/>
      <c r="N52" s="106"/>
      <c r="O52" s="99"/>
      <c r="P52" s="79"/>
      <c r="Q52" s="81"/>
      <c r="R52" s="49"/>
    </row>
    <row r="53" spans="2:18" x14ac:dyDescent="0.3">
      <c r="B53" s="47" t="s">
        <v>697</v>
      </c>
      <c r="C53" s="47"/>
      <c r="D53" s="47"/>
      <c r="E53" s="47"/>
      <c r="F53" s="47"/>
      <c r="G53" s="47">
        <v>1</v>
      </c>
      <c r="H53" s="60"/>
      <c r="J53" s="62"/>
      <c r="K53" s="59"/>
      <c r="L53" s="75"/>
      <c r="M53" s="63"/>
      <c r="N53" s="106"/>
      <c r="O53" s="99"/>
      <c r="P53" s="79"/>
      <c r="Q53" s="81"/>
      <c r="R53" s="49"/>
    </row>
    <row r="54" spans="2:18" x14ac:dyDescent="0.3">
      <c r="B54" s="47" t="s">
        <v>1462</v>
      </c>
      <c r="C54" s="47"/>
      <c r="D54" s="47"/>
      <c r="E54" s="47"/>
      <c r="F54" s="47"/>
      <c r="G54" s="47">
        <v>1</v>
      </c>
      <c r="H54" s="60"/>
      <c r="J54" s="62"/>
      <c r="K54" s="59"/>
      <c r="L54" s="75"/>
      <c r="M54" s="63"/>
      <c r="N54" s="106"/>
      <c r="O54" s="99"/>
      <c r="P54" s="79"/>
      <c r="Q54" s="81"/>
      <c r="R54" s="49"/>
    </row>
    <row r="55" spans="2:18" x14ac:dyDescent="0.3">
      <c r="B55" s="47" t="s">
        <v>1463</v>
      </c>
      <c r="C55" s="47"/>
      <c r="D55" s="47"/>
      <c r="E55" s="47"/>
      <c r="F55" s="47"/>
      <c r="G55" s="47">
        <v>1</v>
      </c>
      <c r="H55" s="60"/>
      <c r="J55" s="62"/>
      <c r="K55" s="59"/>
      <c r="L55" s="75"/>
      <c r="M55" s="63"/>
      <c r="N55" s="106"/>
      <c r="O55" s="99"/>
      <c r="P55" s="79"/>
      <c r="Q55" s="81"/>
      <c r="R55" s="49"/>
    </row>
    <row r="56" spans="2:18" x14ac:dyDescent="0.3">
      <c r="B56" s="47" t="s">
        <v>1464</v>
      </c>
      <c r="C56" s="47"/>
      <c r="D56" s="47"/>
      <c r="E56" s="47"/>
      <c r="F56" s="47"/>
      <c r="G56" s="47">
        <v>1</v>
      </c>
      <c r="H56" s="60"/>
      <c r="J56" s="62"/>
      <c r="K56" s="59"/>
      <c r="L56" s="75"/>
      <c r="M56" s="63"/>
      <c r="N56" s="106"/>
      <c r="O56" s="99"/>
      <c r="P56" s="79"/>
      <c r="Q56" s="81"/>
      <c r="R56" s="49"/>
    </row>
    <row r="57" spans="2:18" x14ac:dyDescent="0.3">
      <c r="B57" s="47" t="s">
        <v>1465</v>
      </c>
      <c r="C57" s="47"/>
      <c r="D57" s="47"/>
      <c r="E57" s="47"/>
      <c r="F57" s="47"/>
      <c r="G57" s="47">
        <v>1</v>
      </c>
      <c r="H57" s="60"/>
      <c r="J57" s="62"/>
      <c r="K57" s="59"/>
      <c r="L57" s="75"/>
      <c r="M57" s="63"/>
      <c r="N57" s="106"/>
      <c r="O57" s="99"/>
      <c r="P57" s="79"/>
      <c r="Q57" s="81"/>
      <c r="R57" s="49"/>
    </row>
    <row r="58" spans="2:18" x14ac:dyDescent="0.3">
      <c r="B58" s="47" t="s">
        <v>1466</v>
      </c>
      <c r="C58" s="47"/>
      <c r="D58" s="47"/>
      <c r="E58" s="47"/>
      <c r="F58" s="47"/>
      <c r="G58" s="47">
        <v>1</v>
      </c>
      <c r="H58" s="60"/>
      <c r="J58" s="62"/>
      <c r="K58" s="59"/>
      <c r="L58" s="75"/>
      <c r="M58" s="63"/>
      <c r="N58" s="106"/>
      <c r="O58" s="99"/>
      <c r="P58" s="79"/>
      <c r="Q58" s="81"/>
      <c r="R58" s="49"/>
    </row>
    <row r="59" spans="2:18" x14ac:dyDescent="0.3">
      <c r="B59" s="47" t="s">
        <v>1618</v>
      </c>
      <c r="C59" s="47"/>
      <c r="D59" s="47"/>
      <c r="E59" s="47"/>
      <c r="F59" s="47"/>
      <c r="G59" s="47">
        <v>1</v>
      </c>
      <c r="H59" s="60"/>
      <c r="J59" s="62"/>
      <c r="K59" s="59"/>
      <c r="L59" s="75"/>
      <c r="M59" s="63"/>
      <c r="N59" s="106"/>
      <c r="O59" s="99"/>
      <c r="P59" s="79"/>
      <c r="Q59" s="81"/>
      <c r="R59" s="49"/>
    </row>
    <row r="60" spans="2:18" x14ac:dyDescent="0.3">
      <c r="B60" s="47" t="s">
        <v>698</v>
      </c>
      <c r="C60" s="47"/>
      <c r="D60" s="47"/>
      <c r="E60" s="47"/>
      <c r="F60" s="47"/>
      <c r="G60" s="47">
        <v>1</v>
      </c>
      <c r="H60" s="60"/>
      <c r="J60" s="62"/>
      <c r="K60" s="59"/>
      <c r="L60" s="75"/>
      <c r="M60" s="63"/>
      <c r="N60" s="106"/>
      <c r="O60" s="99"/>
      <c r="P60" s="79"/>
      <c r="Q60" s="81"/>
      <c r="R60" s="49"/>
    </row>
    <row r="61" spans="2:18" x14ac:dyDescent="0.3">
      <c r="B61" s="47" t="s">
        <v>152</v>
      </c>
      <c r="C61" s="47"/>
      <c r="D61" s="47"/>
      <c r="E61" s="47"/>
      <c r="F61" s="47"/>
      <c r="G61" s="47">
        <v>1</v>
      </c>
      <c r="H61" s="60"/>
      <c r="J61" s="62"/>
      <c r="K61" s="59"/>
      <c r="L61" s="75"/>
      <c r="M61" s="63"/>
      <c r="N61" s="106"/>
      <c r="O61" s="99"/>
      <c r="P61" s="79"/>
      <c r="Q61" s="81"/>
      <c r="R61" s="49"/>
    </row>
    <row r="62" spans="2:18" x14ac:dyDescent="0.3">
      <c r="B62" s="47" t="s">
        <v>153</v>
      </c>
      <c r="C62" s="47"/>
      <c r="D62" s="47"/>
      <c r="E62" s="47"/>
      <c r="F62" s="47"/>
      <c r="G62" s="47">
        <v>1</v>
      </c>
      <c r="H62" s="60"/>
      <c r="J62" s="62"/>
      <c r="K62" s="59"/>
      <c r="L62" s="75"/>
      <c r="M62" s="63"/>
      <c r="N62" s="106"/>
      <c r="O62" s="99"/>
      <c r="P62" s="79"/>
      <c r="Q62" s="81"/>
      <c r="R62" s="49"/>
    </row>
    <row r="63" spans="2:18" x14ac:dyDescent="0.3">
      <c r="B63" s="60" t="s">
        <v>700</v>
      </c>
      <c r="C63" s="60"/>
      <c r="D63" s="60"/>
      <c r="E63" s="60"/>
      <c r="F63" s="60"/>
      <c r="G63" s="60" t="s">
        <v>473</v>
      </c>
      <c r="H63" s="60">
        <v>1</v>
      </c>
      <c r="I63" s="91"/>
      <c r="J63" s="62"/>
      <c r="K63" s="59"/>
      <c r="L63" s="75"/>
      <c r="M63" s="63"/>
      <c r="N63" s="106"/>
      <c r="O63" s="99"/>
      <c r="P63" s="79"/>
      <c r="Q63" s="81"/>
      <c r="R63" s="49"/>
    </row>
    <row r="64" spans="2:18" x14ac:dyDescent="0.3">
      <c r="B64" s="60" t="s">
        <v>155</v>
      </c>
      <c r="C64" s="60"/>
      <c r="D64" s="60"/>
      <c r="E64" s="60"/>
      <c r="F64" s="60"/>
      <c r="G64" s="60"/>
      <c r="H64" s="60">
        <v>1</v>
      </c>
      <c r="I64" s="91"/>
      <c r="J64" s="62"/>
      <c r="K64" s="59"/>
      <c r="L64" s="75"/>
      <c r="M64" s="63"/>
      <c r="N64" s="106"/>
      <c r="O64" s="99"/>
      <c r="P64" s="79"/>
      <c r="Q64" s="81"/>
    </row>
    <row r="65" spans="2:17" x14ac:dyDescent="0.3">
      <c r="B65" s="62" t="s">
        <v>1633</v>
      </c>
      <c r="C65" s="62"/>
      <c r="D65" s="62"/>
      <c r="E65" s="62"/>
      <c r="F65" s="62"/>
      <c r="G65" s="62"/>
      <c r="H65" s="62"/>
      <c r="I65" s="62" t="s">
        <v>473</v>
      </c>
      <c r="J65" s="62">
        <v>1</v>
      </c>
      <c r="K65" s="59"/>
      <c r="L65" s="75"/>
      <c r="M65" s="63"/>
      <c r="N65" s="106"/>
      <c r="O65" s="99"/>
      <c r="P65" s="79"/>
      <c r="Q65" s="81"/>
    </row>
    <row r="66" spans="2:17" x14ac:dyDescent="0.3">
      <c r="B66" s="62" t="s">
        <v>163</v>
      </c>
      <c r="C66" s="62"/>
      <c r="D66" s="62"/>
      <c r="E66" s="62"/>
      <c r="F66" s="62"/>
      <c r="G66" s="62"/>
      <c r="H66" s="62"/>
      <c r="I66" s="62" t="s">
        <v>473</v>
      </c>
      <c r="J66" s="62">
        <v>1</v>
      </c>
      <c r="K66" s="59"/>
      <c r="L66" s="75"/>
      <c r="M66" s="63"/>
      <c r="N66" s="106"/>
      <c r="O66" s="99"/>
      <c r="P66" s="79"/>
      <c r="Q66" s="81"/>
    </row>
    <row r="67" spans="2:17" x14ac:dyDescent="0.3">
      <c r="B67" s="62" t="s">
        <v>159</v>
      </c>
      <c r="C67" s="62"/>
      <c r="D67" s="62"/>
      <c r="E67" s="62"/>
      <c r="F67" s="62"/>
      <c r="G67" s="62"/>
      <c r="H67" s="62"/>
      <c r="I67" s="62"/>
      <c r="J67" s="62">
        <v>1</v>
      </c>
      <c r="K67" s="59"/>
      <c r="L67" s="75"/>
      <c r="M67" s="63"/>
      <c r="N67" s="106"/>
      <c r="O67" s="99"/>
      <c r="P67" s="79"/>
      <c r="Q67" s="81"/>
    </row>
    <row r="68" spans="2:17" x14ac:dyDescent="0.3">
      <c r="B68" s="62" t="s">
        <v>160</v>
      </c>
      <c r="C68" s="62"/>
      <c r="D68" s="62"/>
      <c r="E68" s="62"/>
      <c r="F68" s="62"/>
      <c r="G68" s="62"/>
      <c r="H68" s="62"/>
      <c r="I68" s="62"/>
      <c r="J68" s="62">
        <v>1</v>
      </c>
      <c r="K68" s="59"/>
      <c r="L68" s="75"/>
      <c r="M68" s="63"/>
      <c r="N68" s="106"/>
      <c r="O68" s="99"/>
      <c r="P68" s="79"/>
      <c r="Q68" s="81"/>
    </row>
    <row r="69" spans="2:17" x14ac:dyDescent="0.3">
      <c r="B69" s="62" t="s">
        <v>161</v>
      </c>
      <c r="C69" s="62"/>
      <c r="D69" s="62"/>
      <c r="E69" s="62"/>
      <c r="F69" s="62"/>
      <c r="G69" s="62"/>
      <c r="H69" s="62"/>
      <c r="I69" s="62"/>
      <c r="J69" s="62">
        <v>0.8</v>
      </c>
      <c r="K69" s="59"/>
      <c r="L69" s="75"/>
      <c r="M69" s="63">
        <v>0.2</v>
      </c>
      <c r="N69" s="106"/>
      <c r="O69" s="99"/>
      <c r="P69" s="79"/>
      <c r="Q69" s="81"/>
    </row>
    <row r="70" spans="2:17" x14ac:dyDescent="0.3">
      <c r="B70" s="62" t="s">
        <v>175</v>
      </c>
      <c r="C70" s="62"/>
      <c r="D70" s="62"/>
      <c r="E70" s="62"/>
      <c r="F70" s="62"/>
      <c r="G70" s="62"/>
      <c r="H70" s="62"/>
      <c r="I70" s="62"/>
      <c r="J70" s="62">
        <v>1</v>
      </c>
      <c r="K70" s="59"/>
      <c r="L70" s="75"/>
      <c r="M70" s="63"/>
      <c r="N70" s="106"/>
      <c r="O70" s="99"/>
      <c r="P70" s="79"/>
      <c r="Q70" s="81"/>
    </row>
    <row r="71" spans="2:17" x14ac:dyDescent="0.3">
      <c r="B71" s="62" t="s">
        <v>162</v>
      </c>
      <c r="C71" s="62"/>
      <c r="D71" s="62"/>
      <c r="E71" s="62"/>
      <c r="F71" s="62"/>
      <c r="G71" s="62"/>
      <c r="H71" s="62"/>
      <c r="I71" s="62"/>
      <c r="J71" s="62">
        <v>1</v>
      </c>
      <c r="K71" s="59"/>
      <c r="L71" s="75"/>
      <c r="M71" s="63"/>
      <c r="N71" s="106"/>
      <c r="O71" s="99"/>
      <c r="P71" s="79"/>
      <c r="Q71" s="81"/>
    </row>
    <row r="72" spans="2:17" x14ac:dyDescent="0.3">
      <c r="B72" s="62" t="s">
        <v>703</v>
      </c>
      <c r="C72" s="62"/>
      <c r="D72" s="62"/>
      <c r="E72" s="62"/>
      <c r="F72" s="62"/>
      <c r="G72" s="62"/>
      <c r="H72" s="62"/>
      <c r="I72" s="62"/>
      <c r="J72" s="62">
        <v>1</v>
      </c>
      <c r="K72" s="59"/>
      <c r="L72" s="75"/>
      <c r="M72" s="63"/>
      <c r="N72" s="106"/>
      <c r="O72" s="99"/>
      <c r="P72" s="79"/>
      <c r="Q72" s="81"/>
    </row>
    <row r="73" spans="2:17" x14ac:dyDescent="0.3">
      <c r="B73" s="62" t="s">
        <v>702</v>
      </c>
      <c r="C73" s="62"/>
      <c r="D73" s="62"/>
      <c r="E73" s="62"/>
      <c r="F73" s="62"/>
      <c r="G73" s="62"/>
      <c r="H73" s="62"/>
      <c r="I73" s="62"/>
      <c r="J73" s="62">
        <v>1</v>
      </c>
      <c r="K73" s="59"/>
      <c r="L73" s="75"/>
      <c r="M73" s="63"/>
      <c r="N73" s="106"/>
      <c r="O73" s="99"/>
      <c r="P73" s="79"/>
      <c r="Q73" s="81"/>
    </row>
    <row r="74" spans="2:17" x14ac:dyDescent="0.3">
      <c r="B74" s="62" t="s">
        <v>704</v>
      </c>
      <c r="C74" s="62"/>
      <c r="D74" s="62"/>
      <c r="E74" s="62"/>
      <c r="F74" s="62"/>
      <c r="G74" s="62"/>
      <c r="H74" s="62"/>
      <c r="I74" s="62"/>
      <c r="J74" s="62">
        <v>1</v>
      </c>
      <c r="K74" s="59"/>
      <c r="L74" s="75"/>
      <c r="M74" s="63"/>
      <c r="N74" s="106"/>
      <c r="O74" s="99"/>
      <c r="P74" s="79"/>
      <c r="Q74" s="81"/>
    </row>
    <row r="75" spans="2:17" x14ac:dyDescent="0.3">
      <c r="B75" s="62" t="s">
        <v>701</v>
      </c>
      <c r="C75" s="62"/>
      <c r="D75" s="62"/>
      <c r="E75" s="62"/>
      <c r="F75" s="62"/>
      <c r="G75" s="62"/>
      <c r="H75" s="62"/>
      <c r="I75" s="62"/>
      <c r="J75" s="62">
        <v>1</v>
      </c>
      <c r="K75" s="59"/>
      <c r="L75" s="75"/>
      <c r="M75" s="63"/>
      <c r="N75" s="106"/>
      <c r="O75" s="99"/>
      <c r="P75" s="79"/>
      <c r="Q75" s="81"/>
    </row>
    <row r="76" spans="2:17" x14ac:dyDescent="0.3">
      <c r="B76" s="62" t="s">
        <v>1120</v>
      </c>
      <c r="C76" s="62"/>
      <c r="D76" s="62"/>
      <c r="E76" s="62"/>
      <c r="F76" s="62"/>
      <c r="G76" s="62"/>
      <c r="H76" s="62"/>
      <c r="I76" s="62"/>
      <c r="J76" s="62">
        <v>1</v>
      </c>
      <c r="K76" s="59"/>
      <c r="L76" s="75"/>
      <c r="M76" s="63"/>
      <c r="N76" s="106"/>
      <c r="O76" s="99"/>
      <c r="P76" s="79"/>
      <c r="Q76" s="81"/>
    </row>
    <row r="77" spans="2:17" x14ac:dyDescent="0.3">
      <c r="B77" s="59" t="s">
        <v>1323</v>
      </c>
      <c r="C77" s="59"/>
      <c r="D77" s="69"/>
      <c r="E77" s="70"/>
      <c r="F77" s="71"/>
      <c r="G77" s="59"/>
      <c r="H77" s="59"/>
      <c r="I77" s="59"/>
      <c r="J77" s="59"/>
      <c r="K77" s="59">
        <v>1</v>
      </c>
      <c r="L77" s="75"/>
      <c r="M77" s="63"/>
      <c r="N77" s="106"/>
      <c r="O77" s="99"/>
      <c r="P77" s="79"/>
      <c r="Q77" s="81"/>
    </row>
    <row r="78" spans="2:17" x14ac:dyDescent="0.3">
      <c r="B78" s="59" t="s">
        <v>1324</v>
      </c>
      <c r="C78" s="59"/>
      <c r="D78" s="69"/>
      <c r="E78" s="70"/>
      <c r="F78" s="71"/>
      <c r="G78" s="59"/>
      <c r="H78" s="59"/>
      <c r="I78" s="59"/>
      <c r="J78" s="59"/>
      <c r="K78" s="59">
        <v>1</v>
      </c>
      <c r="L78" s="75"/>
      <c r="M78" s="63"/>
      <c r="N78" s="106"/>
      <c r="O78" s="99"/>
      <c r="P78" s="79"/>
      <c r="Q78" s="81"/>
    </row>
    <row r="79" spans="2:17" x14ac:dyDescent="0.3">
      <c r="B79" s="76" t="s">
        <v>147</v>
      </c>
      <c r="C79" s="76"/>
      <c r="D79" s="76"/>
      <c r="E79" s="76"/>
      <c r="F79" s="76"/>
      <c r="G79" s="76"/>
      <c r="H79" s="76"/>
      <c r="I79" s="76"/>
      <c r="J79" s="76"/>
      <c r="K79" s="76" t="s">
        <v>473</v>
      </c>
      <c r="L79" s="75">
        <v>0.5</v>
      </c>
      <c r="M79" s="63"/>
      <c r="N79" s="106"/>
      <c r="O79" s="99"/>
      <c r="P79" s="80">
        <v>0.5</v>
      </c>
      <c r="Q79" s="81"/>
    </row>
    <row r="80" spans="2:17" x14ac:dyDescent="0.3">
      <c r="B80" s="63" t="s">
        <v>156</v>
      </c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>
        <v>1</v>
      </c>
      <c r="N80" s="106"/>
      <c r="O80" s="99"/>
      <c r="P80" s="79"/>
      <c r="Q80" s="81"/>
    </row>
    <row r="81" spans="2:18" x14ac:dyDescent="0.3">
      <c r="B81" s="63" t="s">
        <v>281</v>
      </c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>
        <v>1</v>
      </c>
      <c r="N81" s="106"/>
      <c r="O81" s="99"/>
      <c r="P81" s="79"/>
      <c r="Q81" s="81"/>
    </row>
    <row r="82" spans="2:18" x14ac:dyDescent="0.3">
      <c r="B82" s="63" t="s">
        <v>699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>
        <v>1</v>
      </c>
      <c r="N82" s="106"/>
      <c r="O82" s="99"/>
      <c r="P82" s="79"/>
      <c r="Q82" s="81"/>
    </row>
    <row r="83" spans="2:18" x14ac:dyDescent="0.3">
      <c r="B83" s="106" t="s">
        <v>157</v>
      </c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>
        <v>1</v>
      </c>
      <c r="O83" s="99"/>
      <c r="P83" s="79"/>
      <c r="Q83" s="81"/>
    </row>
    <row r="84" spans="2:18" x14ac:dyDescent="0.3">
      <c r="B84" s="106" t="s">
        <v>158</v>
      </c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>
        <v>1</v>
      </c>
      <c r="O84" s="99"/>
      <c r="P84" s="79"/>
      <c r="Q84" s="81"/>
    </row>
    <row r="85" spans="2:18" x14ac:dyDescent="0.3">
      <c r="B85" s="106" t="s">
        <v>1322</v>
      </c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>
        <v>1</v>
      </c>
      <c r="O85" s="99"/>
      <c r="P85" s="79"/>
      <c r="Q85" s="81"/>
    </row>
    <row r="86" spans="2:18" x14ac:dyDescent="0.3">
      <c r="B86" s="99" t="s">
        <v>143</v>
      </c>
      <c r="C86" s="99"/>
      <c r="D86" s="99"/>
      <c r="E86" s="101"/>
      <c r="F86" s="102"/>
      <c r="G86" s="99"/>
      <c r="H86" s="99"/>
      <c r="I86" s="99"/>
      <c r="J86" s="99"/>
      <c r="K86" s="99"/>
      <c r="L86" s="99"/>
      <c r="M86" s="99"/>
      <c r="N86" s="99"/>
      <c r="O86" s="99">
        <v>1</v>
      </c>
      <c r="P86" s="72"/>
      <c r="Q86" s="81"/>
    </row>
    <row r="87" spans="2:18" x14ac:dyDescent="0.3">
      <c r="B87" s="99" t="s">
        <v>151</v>
      </c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>
        <v>1</v>
      </c>
      <c r="P87" s="80"/>
      <c r="Q87" s="81"/>
    </row>
    <row r="88" spans="2:18" x14ac:dyDescent="0.3">
      <c r="B88" s="72" t="s">
        <v>1184</v>
      </c>
      <c r="C88" s="72"/>
      <c r="D88" s="72"/>
      <c r="E88" s="73"/>
      <c r="F88" s="74"/>
      <c r="G88" s="72"/>
      <c r="H88" s="72"/>
      <c r="I88" s="72"/>
      <c r="J88" s="72"/>
      <c r="K88" s="72"/>
      <c r="L88" s="72"/>
      <c r="M88" s="72"/>
      <c r="N88" s="72"/>
      <c r="O88" s="72"/>
      <c r="P88" s="72">
        <v>1</v>
      </c>
      <c r="Q88" s="81"/>
    </row>
    <row r="89" spans="2:18" x14ac:dyDescent="0.3">
      <c r="B89" s="72" t="s">
        <v>239</v>
      </c>
      <c r="C89" s="72"/>
      <c r="D89" s="72"/>
      <c r="E89" s="73"/>
      <c r="F89" s="74"/>
      <c r="G89" s="72"/>
      <c r="H89" s="72"/>
      <c r="I89" s="72"/>
      <c r="J89" s="72"/>
      <c r="K89" s="72"/>
      <c r="L89" s="72"/>
      <c r="M89" s="72"/>
      <c r="N89" s="72"/>
      <c r="O89" s="72"/>
      <c r="P89" s="72">
        <v>1</v>
      </c>
      <c r="Q89" s="81"/>
    </row>
    <row r="90" spans="2:18" x14ac:dyDescent="0.3">
      <c r="B90" s="72" t="s">
        <v>246</v>
      </c>
      <c r="C90" s="72"/>
      <c r="D90" s="72"/>
      <c r="E90" s="73"/>
      <c r="F90" s="74"/>
      <c r="G90" s="72"/>
      <c r="H90" s="72"/>
      <c r="I90" s="72"/>
      <c r="J90" s="72"/>
      <c r="K90" s="72"/>
      <c r="L90" s="72"/>
      <c r="M90" s="72"/>
      <c r="N90" s="72"/>
      <c r="O90" s="72"/>
      <c r="P90" s="72">
        <v>1</v>
      </c>
      <c r="Q90" s="81"/>
    </row>
    <row r="91" spans="2:18" x14ac:dyDescent="0.3">
      <c r="B91" s="81" t="s">
        <v>284</v>
      </c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2"/>
      <c r="Q91" s="81">
        <v>1</v>
      </c>
    </row>
    <row r="92" spans="2:18" x14ac:dyDescent="0.3">
      <c r="B92" s="81" t="s">
        <v>172</v>
      </c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2"/>
      <c r="Q92" s="81">
        <v>1</v>
      </c>
    </row>
    <row r="93" spans="2:18" x14ac:dyDescent="0.3">
      <c r="B93" s="49" t="s">
        <v>1128</v>
      </c>
      <c r="C93" s="49"/>
      <c r="D93" s="66"/>
      <c r="E93" s="67"/>
      <c r="F93" s="68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>
        <v>1</v>
      </c>
    </row>
    <row r="94" spans="2:18" x14ac:dyDescent="0.3">
      <c r="B94" s="49" t="s">
        <v>1126</v>
      </c>
      <c r="C94" s="49"/>
      <c r="D94" s="66"/>
      <c r="E94" s="67"/>
      <c r="F94" s="68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>
        <v>1</v>
      </c>
    </row>
    <row r="105" spans="2:4" x14ac:dyDescent="0.3">
      <c r="B105" s="5"/>
      <c r="C105" s="5"/>
      <c r="D105" s="5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B2:V216"/>
  <sheetViews>
    <sheetView topLeftCell="A159" workbookViewId="0">
      <selection activeCell="B174" sqref="B174"/>
    </sheetView>
  </sheetViews>
  <sheetFormatPr baseColWidth="10" defaultColWidth="8.88671875" defaultRowHeight="14.4" x14ac:dyDescent="0.3"/>
  <cols>
    <col min="3" max="3" width="14.6640625" bestFit="1" customWidth="1"/>
    <col min="6" max="6" width="12.109375" customWidth="1"/>
    <col min="9" max="9" width="15" customWidth="1"/>
    <col min="13" max="13" width="12.6640625" customWidth="1"/>
    <col min="14" max="14" width="11.33203125" customWidth="1"/>
    <col min="17" max="17" width="11.77734375" customWidth="1"/>
    <col min="21" max="21" width="17.109375" customWidth="1"/>
    <col min="22" max="22" width="13.5546875" customWidth="1"/>
  </cols>
  <sheetData>
    <row r="2" spans="2:22" x14ac:dyDescent="0.3">
      <c r="D2" s="85" t="s">
        <v>350</v>
      </c>
      <c r="E2" s="59" t="s">
        <v>349</v>
      </c>
      <c r="F2" s="85" t="s">
        <v>1248</v>
      </c>
      <c r="G2" s="88" t="s">
        <v>727</v>
      </c>
      <c r="H2" s="90" t="s">
        <v>351</v>
      </c>
      <c r="I2" s="91" t="s">
        <v>1247</v>
      </c>
      <c r="J2" s="92" t="s">
        <v>294</v>
      </c>
      <c r="K2" s="94" t="s">
        <v>732</v>
      </c>
      <c r="L2" s="93" t="s">
        <v>733</v>
      </c>
      <c r="M2" s="63" t="s">
        <v>734</v>
      </c>
      <c r="N2" s="84" t="s">
        <v>735</v>
      </c>
      <c r="O2" s="49" t="s">
        <v>1054</v>
      </c>
      <c r="P2" s="93" t="s">
        <v>736</v>
      </c>
      <c r="Q2" s="96" t="s">
        <v>737</v>
      </c>
      <c r="R2" s="98" t="s">
        <v>353</v>
      </c>
      <c r="S2" s="5" t="s">
        <v>352</v>
      </c>
      <c r="T2" s="72" t="s">
        <v>729</v>
      </c>
      <c r="U2" s="105" t="s">
        <v>1316</v>
      </c>
      <c r="V2" s="48" t="s">
        <v>1317</v>
      </c>
    </row>
    <row r="3" spans="2:22" x14ac:dyDescent="0.3">
      <c r="C3" s="3" t="s">
        <v>1173</v>
      </c>
      <c r="D3" s="85">
        <v>0.5</v>
      </c>
      <c r="E3" s="59">
        <v>0.5</v>
      </c>
      <c r="F3" s="85">
        <v>0.25</v>
      </c>
      <c r="G3" s="88">
        <v>0.2</v>
      </c>
      <c r="H3" s="90">
        <v>0.7</v>
      </c>
      <c r="I3" s="91">
        <v>0.25</v>
      </c>
      <c r="J3" s="92">
        <v>0.5</v>
      </c>
      <c r="K3" s="94" t="s">
        <v>111</v>
      </c>
      <c r="L3" s="93" t="s">
        <v>111</v>
      </c>
      <c r="M3" s="63">
        <v>0.7</v>
      </c>
      <c r="N3" s="84">
        <v>0.5</v>
      </c>
      <c r="O3" s="49">
        <v>7.5</v>
      </c>
      <c r="P3" s="93">
        <v>2</v>
      </c>
      <c r="Q3" s="96">
        <v>2</v>
      </c>
      <c r="R3" s="99" t="s">
        <v>111</v>
      </c>
      <c r="S3" s="5" t="s">
        <v>111</v>
      </c>
      <c r="T3" s="72">
        <v>0.5</v>
      </c>
      <c r="U3" s="105">
        <v>0.25</v>
      </c>
      <c r="V3" s="48">
        <v>0.5</v>
      </c>
    </row>
    <row r="4" spans="2:22" x14ac:dyDescent="0.3">
      <c r="C4" s="3" t="s">
        <v>903</v>
      </c>
      <c r="D4" s="85"/>
      <c r="E4" s="59"/>
      <c r="F4" s="85"/>
      <c r="G4" s="88"/>
      <c r="H4" s="90"/>
      <c r="I4" s="91"/>
      <c r="J4" s="92">
        <v>1</v>
      </c>
      <c r="K4" s="94"/>
      <c r="L4" s="93"/>
      <c r="M4" s="63">
        <v>1</v>
      </c>
      <c r="N4" s="84">
        <v>1</v>
      </c>
      <c r="O4" s="49"/>
      <c r="P4" s="93"/>
      <c r="Q4" s="96"/>
      <c r="R4" s="99"/>
      <c r="S4" s="5"/>
      <c r="T4" s="72"/>
      <c r="U4" s="105"/>
      <c r="V4" s="48"/>
    </row>
    <row r="5" spans="2:22" x14ac:dyDescent="0.3">
      <c r="D5" s="85"/>
      <c r="E5" s="59"/>
      <c r="F5" s="85"/>
      <c r="G5" s="88"/>
      <c r="H5" s="90"/>
      <c r="I5" s="91"/>
      <c r="J5" s="92"/>
      <c r="K5" s="94"/>
      <c r="L5" s="93"/>
      <c r="M5" s="63"/>
      <c r="N5" s="84"/>
      <c r="O5" s="49"/>
      <c r="P5" s="93"/>
      <c r="Q5" s="96"/>
      <c r="R5" s="99"/>
      <c r="S5" s="5"/>
      <c r="T5" s="72"/>
      <c r="U5" s="105"/>
      <c r="V5" s="48"/>
    </row>
    <row r="6" spans="2:22" x14ac:dyDescent="0.3">
      <c r="D6" s="85" t="s">
        <v>350</v>
      </c>
      <c r="E6" s="59" t="s">
        <v>349</v>
      </c>
      <c r="F6" s="85" t="s">
        <v>1248</v>
      </c>
      <c r="G6" s="88" t="s">
        <v>727</v>
      </c>
      <c r="H6" s="90" t="s">
        <v>351</v>
      </c>
      <c r="I6" s="91" t="s">
        <v>1247</v>
      </c>
      <c r="J6" s="92" t="s">
        <v>294</v>
      </c>
      <c r="K6" s="94" t="s">
        <v>732</v>
      </c>
      <c r="L6" s="93" t="s">
        <v>733</v>
      </c>
      <c r="M6" s="63" t="s">
        <v>734</v>
      </c>
      <c r="N6" s="84" t="s">
        <v>735</v>
      </c>
      <c r="O6" s="49" t="s">
        <v>1054</v>
      </c>
      <c r="P6" s="93" t="s">
        <v>736</v>
      </c>
      <c r="Q6" s="96" t="s">
        <v>737</v>
      </c>
      <c r="R6" s="98" t="s">
        <v>353</v>
      </c>
      <c r="S6" s="5" t="s">
        <v>352</v>
      </c>
      <c r="T6" s="72" t="s">
        <v>729</v>
      </c>
      <c r="U6" s="105" t="s">
        <v>1316</v>
      </c>
      <c r="V6" s="48" t="s">
        <v>1317</v>
      </c>
    </row>
    <row r="7" spans="2:22" x14ac:dyDescent="0.3">
      <c r="B7" t="s">
        <v>1246</v>
      </c>
      <c r="C7" s="86" t="s">
        <v>711</v>
      </c>
      <c r="D7" s="85">
        <v>1</v>
      </c>
      <c r="E7" s="59"/>
      <c r="F7" s="85"/>
      <c r="G7" s="88"/>
      <c r="H7" s="90"/>
      <c r="I7" s="91"/>
      <c r="J7" s="92"/>
      <c r="K7" s="94"/>
      <c r="L7" s="93"/>
      <c r="M7" s="63"/>
      <c r="N7" s="84"/>
      <c r="O7" s="49"/>
      <c r="P7" s="93"/>
      <c r="Q7" s="96"/>
      <c r="R7" s="99"/>
      <c r="S7" s="5"/>
      <c r="T7" s="72"/>
      <c r="U7" s="105"/>
      <c r="V7" s="48"/>
    </row>
    <row r="8" spans="2:22" x14ac:dyDescent="0.3">
      <c r="B8" t="s">
        <v>1246</v>
      </c>
      <c r="C8" s="86" t="s">
        <v>708</v>
      </c>
      <c r="D8" s="85">
        <v>1</v>
      </c>
      <c r="E8" s="59"/>
      <c r="F8" s="85"/>
      <c r="G8" s="88"/>
      <c r="H8" s="90"/>
      <c r="I8" s="91"/>
      <c r="J8" s="92"/>
      <c r="K8" s="94"/>
      <c r="L8" s="93"/>
      <c r="M8" s="63"/>
      <c r="N8" s="84"/>
      <c r="O8" s="49"/>
      <c r="P8" s="93"/>
      <c r="Q8" s="96"/>
      <c r="R8" s="99"/>
      <c r="S8" s="5"/>
      <c r="T8" s="72"/>
      <c r="U8" s="105"/>
      <c r="V8" s="48"/>
    </row>
    <row r="9" spans="2:22" x14ac:dyDescent="0.3">
      <c r="B9" t="s">
        <v>1246</v>
      </c>
      <c r="C9" s="86" t="s">
        <v>1327</v>
      </c>
      <c r="D9" s="85">
        <v>1</v>
      </c>
      <c r="E9" s="59"/>
      <c r="F9" s="85"/>
      <c r="G9" s="88"/>
      <c r="H9" s="90"/>
      <c r="I9" s="91"/>
      <c r="J9" s="92"/>
      <c r="K9" s="94"/>
      <c r="L9" s="93"/>
      <c r="M9" s="63"/>
      <c r="N9" s="84"/>
      <c r="O9" s="49"/>
      <c r="P9" s="93"/>
      <c r="Q9" s="96"/>
      <c r="R9" s="99"/>
      <c r="S9" s="5"/>
      <c r="T9" s="72"/>
      <c r="U9" s="105"/>
      <c r="V9" s="48"/>
    </row>
    <row r="10" spans="2:22" x14ac:dyDescent="0.3">
      <c r="B10" t="s">
        <v>1246</v>
      </c>
      <c r="C10" s="86" t="s">
        <v>1325</v>
      </c>
      <c r="D10" s="85">
        <v>1</v>
      </c>
      <c r="E10" s="59"/>
      <c r="F10" s="85"/>
      <c r="G10" s="88"/>
      <c r="H10" s="90"/>
      <c r="I10" s="91"/>
      <c r="J10" s="92"/>
      <c r="K10" s="94"/>
      <c r="L10" s="93"/>
      <c r="M10" s="63"/>
      <c r="N10" s="84"/>
      <c r="O10" s="49"/>
      <c r="P10" s="93"/>
      <c r="Q10" s="96"/>
      <c r="R10" s="99"/>
      <c r="S10" s="5"/>
      <c r="T10" s="72"/>
      <c r="U10" s="105"/>
      <c r="V10" s="48"/>
    </row>
    <row r="11" spans="2:22" x14ac:dyDescent="0.3">
      <c r="B11" t="s">
        <v>1246</v>
      </c>
      <c r="C11" s="86" t="s">
        <v>1336</v>
      </c>
      <c r="D11" s="85">
        <v>1</v>
      </c>
      <c r="E11" s="59"/>
      <c r="F11" s="85"/>
      <c r="G11" s="88"/>
      <c r="H11" s="90"/>
      <c r="I11" s="91"/>
      <c r="J11" s="92"/>
      <c r="K11" s="94"/>
      <c r="L11" s="93"/>
      <c r="M11" s="63"/>
      <c r="N11" s="84"/>
      <c r="O11" s="49"/>
      <c r="P11" s="93"/>
      <c r="Q11" s="96"/>
      <c r="R11" s="99"/>
      <c r="S11" s="5"/>
      <c r="T11" s="72"/>
      <c r="U11" s="105"/>
      <c r="V11" s="48"/>
    </row>
    <row r="12" spans="2:22" x14ac:dyDescent="0.3">
      <c r="B12" t="s">
        <v>1246</v>
      </c>
      <c r="C12" s="86" t="s">
        <v>1334</v>
      </c>
      <c r="D12" s="85">
        <v>1</v>
      </c>
      <c r="E12" s="59"/>
      <c r="F12" s="85"/>
      <c r="G12" s="88"/>
      <c r="H12" s="90"/>
      <c r="I12" s="91"/>
      <c r="J12" s="92"/>
      <c r="K12" s="94"/>
      <c r="L12" s="93"/>
      <c r="M12" s="63"/>
      <c r="N12" s="84"/>
      <c r="O12" s="49"/>
      <c r="P12" s="93"/>
      <c r="Q12" s="96"/>
      <c r="R12" s="99"/>
      <c r="S12" s="5"/>
      <c r="T12" s="72"/>
      <c r="U12" s="105"/>
      <c r="V12" s="48"/>
    </row>
    <row r="13" spans="2:22" x14ac:dyDescent="0.3">
      <c r="B13" t="s">
        <v>1246</v>
      </c>
      <c r="C13" s="86" t="s">
        <v>1150</v>
      </c>
      <c r="D13" s="85">
        <v>1</v>
      </c>
      <c r="E13" s="59"/>
      <c r="F13" s="85"/>
      <c r="G13" s="88"/>
      <c r="H13" s="90"/>
      <c r="I13" s="91"/>
      <c r="J13" s="92"/>
      <c r="K13" s="94"/>
      <c r="L13" s="93"/>
      <c r="M13" s="63"/>
      <c r="N13" s="84"/>
      <c r="O13" s="49"/>
      <c r="P13" s="93"/>
      <c r="Q13" s="96"/>
      <c r="R13" s="99"/>
      <c r="S13" s="5"/>
      <c r="T13" s="72"/>
      <c r="U13" s="105"/>
      <c r="V13" s="48"/>
    </row>
    <row r="14" spans="2:22" x14ac:dyDescent="0.3">
      <c r="B14" t="s">
        <v>1246</v>
      </c>
      <c r="C14" s="86" t="s">
        <v>1151</v>
      </c>
      <c r="D14" s="85">
        <v>1</v>
      </c>
      <c r="E14" s="59"/>
      <c r="F14" s="85"/>
      <c r="G14" s="88"/>
      <c r="H14" s="90"/>
      <c r="I14" s="91"/>
      <c r="J14" s="92"/>
      <c r="K14" s="94"/>
      <c r="L14" s="93"/>
      <c r="M14" s="63"/>
      <c r="N14" s="84"/>
      <c r="O14" s="49"/>
      <c r="P14" s="93"/>
      <c r="Q14" s="96"/>
      <c r="R14" s="99"/>
      <c r="S14" s="5"/>
      <c r="T14" s="72"/>
      <c r="U14" s="105"/>
      <c r="V14" s="48"/>
    </row>
    <row r="15" spans="2:22" x14ac:dyDescent="0.3">
      <c r="B15" t="s">
        <v>1246</v>
      </c>
      <c r="C15" s="87" t="s">
        <v>709</v>
      </c>
      <c r="D15" s="59"/>
      <c r="E15" s="59">
        <v>1</v>
      </c>
      <c r="F15" s="85"/>
      <c r="G15" s="88"/>
      <c r="H15" s="90"/>
      <c r="I15" s="91"/>
      <c r="J15" s="92"/>
      <c r="K15" s="94"/>
      <c r="L15" s="93"/>
      <c r="M15" s="63"/>
      <c r="N15" s="84"/>
      <c r="O15" s="49"/>
      <c r="P15" s="93"/>
      <c r="Q15" s="96"/>
      <c r="R15" s="99"/>
      <c r="S15" s="5"/>
      <c r="T15" s="72"/>
      <c r="U15" s="105"/>
      <c r="V15" s="48"/>
    </row>
    <row r="16" spans="2:22" x14ac:dyDescent="0.3">
      <c r="B16" t="s">
        <v>1246</v>
      </c>
      <c r="C16" s="59" t="s">
        <v>710</v>
      </c>
      <c r="D16" s="59"/>
      <c r="E16" s="59">
        <v>1</v>
      </c>
      <c r="F16" s="85"/>
      <c r="G16" s="88"/>
      <c r="H16" s="90"/>
      <c r="I16" s="91"/>
      <c r="J16" s="92"/>
      <c r="K16" s="94"/>
      <c r="L16" s="93"/>
      <c r="M16" s="63"/>
      <c r="N16" s="84"/>
      <c r="O16" s="49"/>
      <c r="P16" s="93"/>
      <c r="Q16" s="96"/>
      <c r="R16" s="99"/>
      <c r="S16" s="5"/>
      <c r="T16" s="72"/>
      <c r="U16" s="105"/>
      <c r="V16" s="48"/>
    </row>
    <row r="17" spans="2:22" x14ac:dyDescent="0.3">
      <c r="B17" t="s">
        <v>1246</v>
      </c>
      <c r="C17" s="87" t="s">
        <v>712</v>
      </c>
      <c r="D17" s="59"/>
      <c r="E17" s="59">
        <v>1</v>
      </c>
      <c r="F17" s="85"/>
      <c r="G17" s="88"/>
      <c r="H17" s="90"/>
      <c r="I17" s="91"/>
      <c r="J17" s="92"/>
      <c r="K17" s="94"/>
      <c r="L17" s="93"/>
      <c r="M17" s="63"/>
      <c r="N17" s="84"/>
      <c r="O17" s="49"/>
      <c r="P17" s="93"/>
      <c r="Q17" s="96"/>
      <c r="R17" s="99"/>
      <c r="S17" s="5"/>
      <c r="T17" s="72"/>
      <c r="U17" s="105"/>
      <c r="V17" s="48"/>
    </row>
    <row r="18" spans="2:22" x14ac:dyDescent="0.3">
      <c r="B18" t="s">
        <v>1246</v>
      </c>
      <c r="C18" s="87" t="s">
        <v>1343</v>
      </c>
      <c r="D18" s="59"/>
      <c r="E18" s="59">
        <v>1</v>
      </c>
      <c r="F18" s="85"/>
      <c r="G18" s="88"/>
      <c r="H18" s="90"/>
      <c r="I18" s="91"/>
      <c r="J18" s="92"/>
      <c r="K18" s="94"/>
      <c r="L18" s="93"/>
      <c r="M18" s="63"/>
      <c r="N18" s="84"/>
      <c r="O18" s="49"/>
      <c r="P18" s="93"/>
      <c r="Q18" s="96"/>
      <c r="R18" s="99"/>
      <c r="S18" s="5"/>
      <c r="T18" s="72"/>
      <c r="U18" s="105"/>
      <c r="V18" s="48"/>
    </row>
    <row r="19" spans="2:22" x14ac:dyDescent="0.3">
      <c r="B19" t="s">
        <v>1246</v>
      </c>
      <c r="C19" s="59" t="s">
        <v>1326</v>
      </c>
      <c r="D19" s="59"/>
      <c r="E19" s="59">
        <v>1</v>
      </c>
      <c r="F19" s="85"/>
      <c r="G19" s="88"/>
      <c r="H19" s="90"/>
      <c r="I19" s="91"/>
      <c r="J19" s="92"/>
      <c r="K19" s="94"/>
      <c r="L19" s="93"/>
      <c r="M19" s="63"/>
      <c r="N19" s="84"/>
      <c r="O19" s="49"/>
      <c r="P19" s="93"/>
      <c r="Q19" s="96"/>
      <c r="R19" s="99"/>
      <c r="S19" s="5"/>
      <c r="T19" s="72"/>
      <c r="U19" s="105"/>
      <c r="V19" s="48"/>
    </row>
    <row r="20" spans="2:22" x14ac:dyDescent="0.3">
      <c r="B20" t="s">
        <v>1246</v>
      </c>
      <c r="C20" s="87" t="s">
        <v>1328</v>
      </c>
      <c r="D20" s="59"/>
      <c r="E20" s="59">
        <v>1</v>
      </c>
      <c r="F20" s="85"/>
      <c r="G20" s="88"/>
      <c r="H20" s="90"/>
      <c r="I20" s="91"/>
      <c r="J20" s="92"/>
      <c r="K20" s="94"/>
      <c r="L20" s="93"/>
      <c r="M20" s="63"/>
      <c r="N20" s="84"/>
      <c r="O20" s="49"/>
      <c r="P20" s="93"/>
      <c r="Q20" s="96"/>
      <c r="R20" s="99"/>
      <c r="S20" s="5"/>
      <c r="T20" s="72"/>
      <c r="U20" s="105"/>
      <c r="V20" s="48"/>
    </row>
    <row r="21" spans="2:22" x14ac:dyDescent="0.3">
      <c r="B21" t="s">
        <v>1246</v>
      </c>
      <c r="C21" s="87" t="s">
        <v>1378</v>
      </c>
      <c r="D21" s="59"/>
      <c r="E21" s="59">
        <v>1</v>
      </c>
      <c r="F21" s="85"/>
      <c r="G21" s="88"/>
      <c r="H21" s="90"/>
      <c r="I21" s="91"/>
      <c r="J21" s="92"/>
      <c r="K21" s="94"/>
      <c r="L21" s="93"/>
      <c r="M21" s="63"/>
      <c r="N21" s="84"/>
      <c r="O21" s="49"/>
      <c r="P21" s="93"/>
      <c r="Q21" s="96"/>
      <c r="R21" s="99"/>
      <c r="S21" s="5"/>
      <c r="T21" s="72"/>
      <c r="U21" s="105"/>
      <c r="V21" s="48"/>
    </row>
    <row r="22" spans="2:22" x14ac:dyDescent="0.3">
      <c r="B22" t="s">
        <v>1246</v>
      </c>
      <c r="C22" s="59" t="s">
        <v>1335</v>
      </c>
      <c r="D22" s="59"/>
      <c r="E22" s="59">
        <v>1</v>
      </c>
      <c r="F22" s="85"/>
      <c r="G22" s="88"/>
      <c r="H22" s="90"/>
      <c r="I22" s="91"/>
      <c r="J22" s="92"/>
      <c r="K22" s="94"/>
      <c r="L22" s="93"/>
      <c r="M22" s="63"/>
      <c r="N22" s="84"/>
      <c r="O22" s="49"/>
      <c r="P22" s="93"/>
      <c r="Q22" s="96"/>
      <c r="R22" s="99"/>
      <c r="S22" s="5"/>
      <c r="T22" s="72"/>
      <c r="U22" s="105"/>
      <c r="V22" s="48"/>
    </row>
    <row r="23" spans="2:22" x14ac:dyDescent="0.3">
      <c r="B23" t="s">
        <v>1246</v>
      </c>
      <c r="C23" s="87" t="s">
        <v>1337</v>
      </c>
      <c r="D23" s="59"/>
      <c r="E23" s="59">
        <v>1</v>
      </c>
      <c r="F23" s="85"/>
      <c r="G23" s="88"/>
      <c r="H23" s="90"/>
      <c r="I23" s="91"/>
      <c r="J23" s="92"/>
      <c r="K23" s="94"/>
      <c r="L23" s="93"/>
      <c r="M23" s="63"/>
      <c r="N23" s="84"/>
      <c r="O23" s="49"/>
      <c r="P23" s="93"/>
      <c r="Q23" s="96"/>
      <c r="R23" s="99"/>
      <c r="S23" s="5"/>
      <c r="T23" s="72"/>
      <c r="U23" s="105"/>
      <c r="V23" s="48"/>
    </row>
    <row r="24" spans="2:22" x14ac:dyDescent="0.3">
      <c r="B24" t="s">
        <v>1246</v>
      </c>
      <c r="C24" s="87" t="s">
        <v>1152</v>
      </c>
      <c r="D24" s="59"/>
      <c r="E24" s="59">
        <v>1</v>
      </c>
      <c r="F24" s="85"/>
      <c r="G24" s="88"/>
      <c r="H24" s="90"/>
      <c r="I24" s="91"/>
      <c r="J24" s="92"/>
      <c r="K24" s="94"/>
      <c r="L24" s="93"/>
      <c r="M24" s="63"/>
      <c r="N24" s="84"/>
      <c r="O24" s="49"/>
      <c r="P24" s="93"/>
      <c r="Q24" s="96"/>
      <c r="R24" s="99"/>
      <c r="S24" s="5"/>
      <c r="T24" s="72"/>
      <c r="U24" s="105"/>
      <c r="V24" s="48"/>
    </row>
    <row r="25" spans="2:22" x14ac:dyDescent="0.3">
      <c r="B25" t="s">
        <v>1246</v>
      </c>
      <c r="C25" s="87" t="s">
        <v>1153</v>
      </c>
      <c r="D25" s="59"/>
      <c r="E25" s="59">
        <v>1</v>
      </c>
      <c r="F25" s="85"/>
      <c r="G25" s="88"/>
      <c r="H25" s="90"/>
      <c r="I25" s="91"/>
      <c r="J25" s="92"/>
      <c r="K25" s="94"/>
      <c r="L25" s="93"/>
      <c r="M25" s="63"/>
      <c r="N25" s="84"/>
      <c r="O25" s="49"/>
      <c r="P25" s="93"/>
      <c r="Q25" s="96"/>
      <c r="R25" s="99"/>
      <c r="S25" s="5"/>
      <c r="T25" s="72"/>
      <c r="U25" s="105"/>
      <c r="V25" s="48"/>
    </row>
    <row r="26" spans="2:22" x14ac:dyDescent="0.3">
      <c r="B26" t="s">
        <v>1246</v>
      </c>
      <c r="C26" s="86" t="s">
        <v>349</v>
      </c>
      <c r="D26" s="85"/>
      <c r="E26" s="85"/>
      <c r="F26" s="85">
        <v>1</v>
      </c>
      <c r="G26" s="88"/>
      <c r="H26" s="90"/>
      <c r="I26" s="91"/>
      <c r="J26" s="92"/>
      <c r="K26" s="94"/>
      <c r="L26" s="93"/>
      <c r="M26" s="63"/>
      <c r="N26" s="84"/>
      <c r="O26" s="49"/>
      <c r="P26" s="93"/>
      <c r="Q26" s="96"/>
      <c r="R26" s="99"/>
      <c r="S26" s="5"/>
      <c r="T26" s="72"/>
      <c r="U26" s="105"/>
      <c r="V26" s="48"/>
    </row>
    <row r="27" spans="2:22" x14ac:dyDescent="0.3">
      <c r="B27" t="s">
        <v>1246</v>
      </c>
      <c r="C27" s="85" t="s">
        <v>350</v>
      </c>
      <c r="D27" s="85"/>
      <c r="E27" s="85"/>
      <c r="F27" s="85">
        <v>0.5</v>
      </c>
      <c r="G27" s="88">
        <v>0.5</v>
      </c>
      <c r="H27" s="90"/>
      <c r="I27" s="91"/>
      <c r="J27" s="92"/>
      <c r="K27" s="94"/>
      <c r="L27" s="93"/>
      <c r="M27" s="63"/>
      <c r="N27" s="84"/>
      <c r="O27" s="49"/>
      <c r="P27" s="93"/>
      <c r="Q27" s="96"/>
      <c r="R27" s="99"/>
      <c r="S27" s="5"/>
      <c r="T27" s="72"/>
      <c r="U27" s="105"/>
      <c r="V27" s="48"/>
    </row>
    <row r="28" spans="2:22" x14ac:dyDescent="0.3">
      <c r="B28" t="s">
        <v>1246</v>
      </c>
      <c r="C28" s="88" t="s">
        <v>167</v>
      </c>
      <c r="D28" s="88"/>
      <c r="E28" s="88"/>
      <c r="F28" s="88"/>
      <c r="G28" s="88">
        <v>1</v>
      </c>
      <c r="H28" s="90"/>
      <c r="I28" s="91"/>
      <c r="J28" s="92"/>
      <c r="K28" s="94"/>
      <c r="L28" s="93"/>
      <c r="M28" s="63"/>
      <c r="N28" s="84"/>
      <c r="O28" s="49"/>
      <c r="P28" s="93"/>
      <c r="Q28" s="96"/>
      <c r="R28" s="99"/>
      <c r="S28" s="5"/>
      <c r="T28" s="72"/>
      <c r="U28" s="105"/>
      <c r="V28" s="48"/>
    </row>
    <row r="29" spans="2:22" x14ac:dyDescent="0.3">
      <c r="B29" t="s">
        <v>1246</v>
      </c>
      <c r="C29" s="89" t="s">
        <v>365</v>
      </c>
      <c r="D29" s="90"/>
      <c r="E29" s="90"/>
      <c r="F29" s="90"/>
      <c r="G29" s="90"/>
      <c r="H29" s="90">
        <v>1</v>
      </c>
      <c r="I29" s="91"/>
      <c r="J29" s="92"/>
      <c r="K29" s="94"/>
      <c r="L29" s="93"/>
      <c r="M29" s="63"/>
      <c r="N29" s="84"/>
      <c r="O29" s="49"/>
      <c r="P29" s="93"/>
      <c r="Q29" s="96"/>
      <c r="R29" s="99"/>
      <c r="S29" s="5"/>
      <c r="T29" s="72"/>
      <c r="U29" s="105"/>
      <c r="V29" s="48"/>
    </row>
    <row r="30" spans="2:22" x14ac:dyDescent="0.3">
      <c r="B30" t="s">
        <v>1246</v>
      </c>
      <c r="C30" s="90" t="s">
        <v>1248</v>
      </c>
      <c r="D30" s="90"/>
      <c r="E30" s="90"/>
      <c r="F30" s="90"/>
      <c r="G30" s="90"/>
      <c r="H30" s="90">
        <v>1</v>
      </c>
      <c r="I30" s="91"/>
      <c r="J30" s="92"/>
      <c r="K30" s="94"/>
      <c r="L30" s="93"/>
      <c r="M30" s="63"/>
      <c r="N30" s="84"/>
      <c r="O30" s="49"/>
      <c r="P30" s="93"/>
      <c r="Q30" s="96"/>
      <c r="R30" s="99"/>
      <c r="S30" s="5"/>
      <c r="T30" s="72"/>
      <c r="U30" s="105"/>
      <c r="V30" s="48"/>
    </row>
    <row r="31" spans="2:22" x14ac:dyDescent="0.3">
      <c r="B31" t="s">
        <v>1246</v>
      </c>
      <c r="C31" s="90" t="s">
        <v>1247</v>
      </c>
      <c r="D31" s="90"/>
      <c r="E31" s="90"/>
      <c r="F31" s="90"/>
      <c r="G31" s="90"/>
      <c r="H31" s="90">
        <v>1</v>
      </c>
      <c r="I31" s="91"/>
      <c r="J31" s="92"/>
      <c r="K31" s="94"/>
      <c r="L31" s="93"/>
      <c r="M31" s="63"/>
      <c r="N31" s="84"/>
      <c r="O31" s="49"/>
      <c r="P31" s="93"/>
      <c r="Q31" s="96"/>
      <c r="R31" s="99"/>
      <c r="S31" s="5"/>
      <c r="T31" s="72"/>
      <c r="U31" s="105"/>
      <c r="V31" s="48"/>
    </row>
    <row r="32" spans="2:22" x14ac:dyDescent="0.3">
      <c r="B32" t="s">
        <v>1246</v>
      </c>
      <c r="C32" s="90" t="s">
        <v>911</v>
      </c>
      <c r="D32" s="90"/>
      <c r="E32" s="90"/>
      <c r="F32" s="90"/>
      <c r="G32" s="90"/>
      <c r="H32" s="90">
        <v>1</v>
      </c>
      <c r="I32" s="91"/>
      <c r="J32" s="92"/>
      <c r="K32" s="94"/>
      <c r="L32" s="93"/>
      <c r="M32" s="63"/>
      <c r="N32" s="84"/>
      <c r="O32" s="49"/>
      <c r="P32" s="93"/>
      <c r="Q32" s="96"/>
      <c r="R32" s="99"/>
      <c r="S32" s="5"/>
      <c r="T32" s="72"/>
      <c r="U32" s="105"/>
      <c r="V32" s="48"/>
    </row>
    <row r="33" spans="2:22" x14ac:dyDescent="0.3">
      <c r="B33" t="s">
        <v>1246</v>
      </c>
      <c r="C33" s="90" t="s">
        <v>1197</v>
      </c>
      <c r="D33" s="90"/>
      <c r="E33" s="90"/>
      <c r="F33" s="90"/>
      <c r="G33" s="90"/>
      <c r="H33" s="90">
        <v>1</v>
      </c>
      <c r="I33" s="91"/>
      <c r="J33" s="92"/>
      <c r="K33" s="94"/>
      <c r="L33" s="93"/>
      <c r="M33" s="63"/>
      <c r="N33" s="84"/>
      <c r="O33" s="49"/>
      <c r="P33" s="93"/>
      <c r="Q33" s="96"/>
      <c r="R33" s="99"/>
      <c r="S33" s="5"/>
      <c r="T33" s="72" t="s">
        <v>111</v>
      </c>
      <c r="U33" s="105" t="s">
        <v>111</v>
      </c>
      <c r="V33" s="48" t="s">
        <v>111</v>
      </c>
    </row>
    <row r="34" spans="2:22" x14ac:dyDescent="0.3">
      <c r="B34" t="s">
        <v>1246</v>
      </c>
      <c r="C34" s="90" t="s">
        <v>1054</v>
      </c>
      <c r="D34" s="90"/>
      <c r="E34" s="90"/>
      <c r="F34" s="90"/>
      <c r="G34" s="90"/>
      <c r="H34" s="90">
        <v>1</v>
      </c>
      <c r="I34" s="91"/>
      <c r="J34" s="92"/>
      <c r="K34" s="94"/>
      <c r="L34" s="93"/>
      <c r="M34" s="63"/>
      <c r="N34" s="84"/>
      <c r="O34" s="49"/>
      <c r="P34" s="93"/>
      <c r="Q34" s="96"/>
      <c r="R34" s="99"/>
      <c r="S34" s="5"/>
      <c r="T34" s="72"/>
      <c r="U34" s="105"/>
      <c r="V34" s="48"/>
    </row>
    <row r="35" spans="2:22" x14ac:dyDescent="0.3">
      <c r="B35" s="90" t="s">
        <v>632</v>
      </c>
      <c r="C35" s="90" t="s">
        <v>1316</v>
      </c>
      <c r="D35" s="90"/>
      <c r="E35" s="90"/>
      <c r="F35" s="90"/>
      <c r="G35" s="90"/>
      <c r="H35" s="90">
        <v>1</v>
      </c>
      <c r="I35" s="91"/>
      <c r="J35" s="92"/>
      <c r="K35" s="94"/>
      <c r="L35" s="93"/>
      <c r="M35" s="63"/>
      <c r="N35" s="84"/>
      <c r="O35" s="49"/>
      <c r="P35" s="93"/>
      <c r="Q35" s="96"/>
      <c r="R35" s="99"/>
      <c r="S35" s="5"/>
      <c r="T35" s="72"/>
      <c r="U35" s="105"/>
      <c r="V35" s="48"/>
    </row>
    <row r="36" spans="2:22" x14ac:dyDescent="0.3">
      <c r="B36" s="90" t="s">
        <v>633</v>
      </c>
      <c r="C36" s="90" t="s">
        <v>1316</v>
      </c>
      <c r="D36" s="90"/>
      <c r="E36" s="90"/>
      <c r="F36" s="90"/>
      <c r="G36" s="90"/>
      <c r="H36" s="90">
        <v>1</v>
      </c>
      <c r="I36" s="91"/>
      <c r="J36" s="92"/>
      <c r="K36" s="94"/>
      <c r="L36" s="93"/>
      <c r="M36" s="63"/>
      <c r="N36" s="84"/>
      <c r="O36" s="49"/>
      <c r="P36" s="93"/>
      <c r="Q36" s="96"/>
      <c r="R36" s="99"/>
      <c r="S36" s="5"/>
      <c r="T36" s="72"/>
      <c r="U36" s="105"/>
      <c r="V36" s="48"/>
    </row>
    <row r="37" spans="2:22" x14ac:dyDescent="0.3">
      <c r="B37" s="90" t="s">
        <v>634</v>
      </c>
      <c r="C37" s="90" t="s">
        <v>1316</v>
      </c>
      <c r="D37" s="90"/>
      <c r="E37" s="90"/>
      <c r="F37" s="90"/>
      <c r="G37" s="90"/>
      <c r="H37" s="90">
        <v>1</v>
      </c>
      <c r="I37" s="91"/>
      <c r="J37" s="92"/>
      <c r="K37" s="94"/>
      <c r="L37" s="93"/>
      <c r="M37" s="63"/>
      <c r="N37" s="84"/>
      <c r="O37" s="49"/>
      <c r="P37" s="93"/>
      <c r="Q37" s="96"/>
      <c r="R37" s="99"/>
      <c r="S37" s="5"/>
      <c r="T37" s="72"/>
      <c r="U37" s="105"/>
      <c r="V37" s="48"/>
    </row>
    <row r="38" spans="2:22" x14ac:dyDescent="0.3">
      <c r="B38" s="90" t="s">
        <v>635</v>
      </c>
      <c r="C38" s="90" t="s">
        <v>1316</v>
      </c>
      <c r="D38" s="90"/>
      <c r="E38" s="90"/>
      <c r="F38" s="90"/>
      <c r="G38" s="90"/>
      <c r="H38" s="90">
        <v>1</v>
      </c>
      <c r="I38" s="91"/>
      <c r="J38" s="92"/>
      <c r="K38" s="94"/>
      <c r="L38" s="93"/>
      <c r="M38" s="63"/>
      <c r="N38" s="84"/>
      <c r="O38" s="49"/>
      <c r="P38" s="93"/>
      <c r="Q38" s="96"/>
      <c r="R38" s="99"/>
      <c r="S38" s="5"/>
      <c r="T38" s="72"/>
      <c r="U38" s="105"/>
      <c r="V38" s="48"/>
    </row>
    <row r="39" spans="2:22" x14ac:dyDescent="0.3">
      <c r="B39" s="90" t="s">
        <v>636</v>
      </c>
      <c r="C39" s="90" t="s">
        <v>1316</v>
      </c>
      <c r="D39" s="90"/>
      <c r="E39" s="90"/>
      <c r="F39" s="90"/>
      <c r="G39" s="90"/>
      <c r="H39" s="90">
        <v>1</v>
      </c>
      <c r="I39" s="91"/>
      <c r="J39" s="92"/>
      <c r="K39" s="94"/>
      <c r="L39" s="93"/>
      <c r="M39" s="63"/>
      <c r="N39" s="84"/>
      <c r="O39" s="49"/>
      <c r="P39" s="93"/>
      <c r="Q39" s="96"/>
      <c r="R39" s="99"/>
      <c r="S39" s="5"/>
      <c r="T39" s="72"/>
      <c r="U39" s="105"/>
      <c r="V39" s="48"/>
    </row>
    <row r="40" spans="2:22" x14ac:dyDescent="0.3">
      <c r="B40" s="90" t="s">
        <v>637</v>
      </c>
      <c r="C40" s="90" t="s">
        <v>1316</v>
      </c>
      <c r="D40" s="90"/>
      <c r="E40" s="90"/>
      <c r="F40" s="90"/>
      <c r="G40" s="90"/>
      <c r="H40" s="90">
        <v>1</v>
      </c>
      <c r="I40" s="91"/>
      <c r="J40" s="92"/>
      <c r="K40" s="94"/>
      <c r="L40" s="93"/>
      <c r="M40" s="63"/>
      <c r="N40" s="84"/>
      <c r="O40" s="49"/>
      <c r="P40" s="93"/>
      <c r="Q40" s="96"/>
      <c r="R40" s="99"/>
      <c r="S40" s="5"/>
      <c r="T40" s="72"/>
      <c r="U40" s="105"/>
      <c r="V40" s="48"/>
    </row>
    <row r="41" spans="2:22" x14ac:dyDescent="0.3">
      <c r="B41" s="90" t="s">
        <v>638</v>
      </c>
      <c r="C41" s="90" t="s">
        <v>1316</v>
      </c>
      <c r="D41" s="90"/>
      <c r="E41" s="90"/>
      <c r="F41" s="90"/>
      <c r="G41" s="90"/>
      <c r="H41" s="90">
        <v>1</v>
      </c>
      <c r="I41" s="91"/>
      <c r="J41" s="92"/>
      <c r="K41" s="94"/>
      <c r="L41" s="93"/>
      <c r="M41" s="63"/>
      <c r="N41" s="84"/>
      <c r="O41" s="49"/>
      <c r="P41" s="93"/>
      <c r="Q41" s="96"/>
      <c r="R41" s="99"/>
      <c r="S41" s="5"/>
      <c r="T41" s="72"/>
      <c r="U41" s="105"/>
      <c r="V41" s="48"/>
    </row>
    <row r="42" spans="2:22" x14ac:dyDescent="0.3">
      <c r="B42" s="90" t="s">
        <v>639</v>
      </c>
      <c r="C42" s="90" t="s">
        <v>1316</v>
      </c>
      <c r="D42" s="90"/>
      <c r="E42" s="90"/>
      <c r="F42" s="90"/>
      <c r="G42" s="90"/>
      <c r="H42" s="90">
        <v>1</v>
      </c>
      <c r="I42" s="91"/>
      <c r="J42" s="92"/>
      <c r="K42" s="94"/>
      <c r="L42" s="93"/>
      <c r="M42" s="63"/>
      <c r="N42" s="84"/>
      <c r="O42" s="49"/>
      <c r="P42" s="93"/>
      <c r="Q42" s="96"/>
      <c r="R42" s="99"/>
      <c r="S42" s="5"/>
      <c r="T42" s="72"/>
      <c r="U42" s="105"/>
      <c r="V42" s="48"/>
    </row>
    <row r="43" spans="2:22" x14ac:dyDescent="0.3">
      <c r="B43" s="90" t="s">
        <v>640</v>
      </c>
      <c r="C43" s="90" t="s">
        <v>1317</v>
      </c>
      <c r="D43" s="90"/>
      <c r="E43" s="90"/>
      <c r="F43" s="90"/>
      <c r="G43" s="90"/>
      <c r="H43" s="90">
        <v>1</v>
      </c>
      <c r="I43" s="91"/>
      <c r="J43" s="92"/>
      <c r="K43" s="94"/>
      <c r="L43" s="93"/>
      <c r="M43" s="63"/>
      <c r="N43" s="84"/>
      <c r="O43" s="49"/>
      <c r="P43" s="93"/>
      <c r="Q43" s="96"/>
      <c r="R43" s="99"/>
      <c r="S43" s="5"/>
      <c r="T43" s="72"/>
      <c r="U43" s="105"/>
      <c r="V43" s="48"/>
    </row>
    <row r="44" spans="2:22" x14ac:dyDescent="0.3">
      <c r="B44" s="90" t="s">
        <v>641</v>
      </c>
      <c r="C44" s="90" t="s">
        <v>1317</v>
      </c>
      <c r="D44" s="90"/>
      <c r="E44" s="90"/>
      <c r="F44" s="90"/>
      <c r="G44" s="90"/>
      <c r="H44" s="90">
        <v>1</v>
      </c>
      <c r="I44" s="91"/>
      <c r="J44" s="92"/>
      <c r="K44" s="94"/>
      <c r="L44" s="93"/>
      <c r="M44" s="63"/>
      <c r="N44" s="84"/>
      <c r="O44" s="49"/>
      <c r="P44" s="93"/>
      <c r="Q44" s="96"/>
      <c r="R44" s="99"/>
      <c r="S44" s="5"/>
      <c r="T44" s="72"/>
      <c r="U44" s="105"/>
      <c r="V44" s="48"/>
    </row>
    <row r="45" spans="2:22" x14ac:dyDescent="0.3">
      <c r="B45" s="90" t="s">
        <v>642</v>
      </c>
      <c r="C45" s="90" t="s">
        <v>1317</v>
      </c>
      <c r="D45" s="90"/>
      <c r="E45" s="90"/>
      <c r="F45" s="90"/>
      <c r="G45" s="90"/>
      <c r="H45" s="90">
        <v>1</v>
      </c>
      <c r="I45" s="91"/>
      <c r="J45" s="92"/>
      <c r="K45" s="94"/>
      <c r="L45" s="93"/>
      <c r="M45" s="63"/>
      <c r="N45" s="84"/>
      <c r="O45" s="49"/>
      <c r="P45" s="93"/>
      <c r="Q45" s="96"/>
      <c r="R45" s="99"/>
      <c r="S45" s="5"/>
      <c r="T45" s="72"/>
      <c r="U45" s="105"/>
      <c r="V45" s="48"/>
    </row>
    <row r="46" spans="2:22" x14ac:dyDescent="0.3">
      <c r="B46" s="90" t="s">
        <v>1166</v>
      </c>
      <c r="C46" s="90" t="s">
        <v>1317</v>
      </c>
      <c r="D46" s="90"/>
      <c r="E46" s="90"/>
      <c r="F46" s="90"/>
      <c r="G46" s="90"/>
      <c r="H46" s="90">
        <v>1</v>
      </c>
      <c r="I46" s="91"/>
      <c r="J46" s="92"/>
      <c r="K46" s="94"/>
      <c r="L46" s="93"/>
      <c r="M46" s="63"/>
      <c r="N46" s="84"/>
      <c r="O46" s="49"/>
      <c r="P46" s="93"/>
      <c r="Q46" s="96"/>
      <c r="R46" s="99"/>
      <c r="S46" s="5"/>
      <c r="T46" s="72"/>
      <c r="U46" s="105"/>
      <c r="V46" s="48"/>
    </row>
    <row r="47" spans="2:22" x14ac:dyDescent="0.3">
      <c r="B47" s="90" t="s">
        <v>643</v>
      </c>
      <c r="C47" s="90" t="s">
        <v>1317</v>
      </c>
      <c r="D47" s="90"/>
      <c r="E47" s="90"/>
      <c r="F47" s="90"/>
      <c r="G47" s="90"/>
      <c r="H47" s="90">
        <v>1</v>
      </c>
      <c r="I47" s="91"/>
      <c r="J47" s="92"/>
      <c r="K47" s="94"/>
      <c r="L47" s="93"/>
      <c r="M47" s="63"/>
      <c r="N47" s="84"/>
      <c r="O47" s="49"/>
      <c r="P47" s="93"/>
      <c r="Q47" s="96"/>
      <c r="R47" s="99"/>
      <c r="S47" s="5"/>
      <c r="T47" s="72"/>
      <c r="U47" s="105"/>
      <c r="V47" s="48"/>
    </row>
    <row r="48" spans="2:22" x14ac:dyDescent="0.3">
      <c r="B48" t="s">
        <v>1246</v>
      </c>
      <c r="C48" s="91" t="s">
        <v>727</v>
      </c>
      <c r="D48" s="91"/>
      <c r="E48" s="91"/>
      <c r="F48" s="91"/>
      <c r="G48" s="91"/>
      <c r="H48" s="91"/>
      <c r="I48" s="91">
        <v>1</v>
      </c>
      <c r="J48" s="92"/>
      <c r="K48" s="94"/>
      <c r="L48" s="93"/>
      <c r="M48" s="63"/>
      <c r="N48" s="84"/>
      <c r="O48" s="49"/>
      <c r="P48" s="93"/>
      <c r="Q48" s="96"/>
      <c r="R48" s="99"/>
      <c r="S48" s="5"/>
      <c r="T48" s="72"/>
      <c r="U48" s="105"/>
      <c r="V48" s="48"/>
    </row>
    <row r="49" spans="2:22" x14ac:dyDescent="0.3">
      <c r="B49" t="s">
        <v>1246</v>
      </c>
      <c r="C49" s="91" t="s">
        <v>294</v>
      </c>
      <c r="D49" s="91"/>
      <c r="E49" s="91"/>
      <c r="F49" s="91"/>
      <c r="G49" s="91"/>
      <c r="H49" s="91"/>
      <c r="I49" s="91">
        <v>1</v>
      </c>
      <c r="J49" s="92"/>
      <c r="K49" s="94"/>
      <c r="L49" s="93"/>
      <c r="M49" s="63"/>
      <c r="N49" s="84"/>
      <c r="O49" s="49"/>
      <c r="P49" s="93"/>
      <c r="Q49" s="96"/>
      <c r="R49" s="99"/>
      <c r="S49" s="5"/>
      <c r="T49" s="72"/>
      <c r="U49" s="105"/>
      <c r="V49" s="48"/>
    </row>
    <row r="50" spans="2:22" x14ac:dyDescent="0.3">
      <c r="B50" t="s">
        <v>1246</v>
      </c>
      <c r="C50" s="92" t="s">
        <v>735</v>
      </c>
      <c r="D50" s="92"/>
      <c r="E50" s="92"/>
      <c r="F50" s="92"/>
      <c r="G50" s="92"/>
      <c r="H50" s="92"/>
      <c r="I50" s="92"/>
      <c r="J50" s="92">
        <v>1</v>
      </c>
      <c r="K50" s="94"/>
      <c r="L50" s="93"/>
      <c r="M50" s="63"/>
      <c r="N50" s="84"/>
      <c r="O50" s="49"/>
      <c r="P50" s="93"/>
      <c r="Q50" s="96"/>
      <c r="R50" s="99"/>
      <c r="S50" s="5"/>
      <c r="T50" s="72"/>
      <c r="U50" s="105"/>
      <c r="V50" s="48"/>
    </row>
    <row r="51" spans="2:22" ht="13.8" customHeight="1" x14ac:dyDescent="0.3">
      <c r="B51" t="s">
        <v>1246</v>
      </c>
      <c r="C51" s="92" t="s">
        <v>732</v>
      </c>
      <c r="D51" s="92"/>
      <c r="E51" s="92"/>
      <c r="F51" s="92"/>
      <c r="G51" s="92"/>
      <c r="H51" s="92"/>
      <c r="I51" s="92"/>
      <c r="J51" s="92">
        <v>1</v>
      </c>
      <c r="K51" s="94"/>
      <c r="L51" s="93"/>
      <c r="M51" s="63"/>
      <c r="N51" s="84"/>
      <c r="O51" s="49"/>
      <c r="P51" s="93"/>
      <c r="Q51" s="96"/>
      <c r="R51" s="99"/>
      <c r="S51" s="5"/>
      <c r="T51" s="72"/>
      <c r="U51" s="105"/>
      <c r="V51" s="48"/>
    </row>
    <row r="52" spans="2:22" x14ac:dyDescent="0.3">
      <c r="B52" t="s">
        <v>1246</v>
      </c>
      <c r="C52" s="92" t="s">
        <v>147</v>
      </c>
      <c r="D52" s="92"/>
      <c r="E52" s="92"/>
      <c r="F52" s="92"/>
      <c r="G52" s="92"/>
      <c r="H52" s="92"/>
      <c r="I52" s="92"/>
      <c r="J52" s="92">
        <v>1</v>
      </c>
      <c r="K52" s="94"/>
      <c r="L52" s="93"/>
      <c r="M52" s="63"/>
      <c r="N52" s="84"/>
      <c r="O52" s="49"/>
      <c r="P52" s="93"/>
      <c r="Q52" s="95"/>
      <c r="R52" s="99"/>
      <c r="S52" s="5"/>
      <c r="T52" s="72"/>
      <c r="U52" s="105"/>
      <c r="V52" s="48"/>
    </row>
    <row r="53" spans="2:22" x14ac:dyDescent="0.3">
      <c r="B53" t="s">
        <v>1246</v>
      </c>
      <c r="C53" s="94" t="s">
        <v>284</v>
      </c>
      <c r="D53" s="94"/>
      <c r="E53" s="94"/>
      <c r="F53" s="94"/>
      <c r="G53" s="94"/>
      <c r="H53" s="94"/>
      <c r="I53" s="94"/>
      <c r="J53" s="94"/>
      <c r="K53" s="94">
        <v>1</v>
      </c>
      <c r="L53" s="93"/>
      <c r="M53" s="63"/>
      <c r="N53" s="84"/>
      <c r="O53" s="49"/>
      <c r="P53" s="93"/>
      <c r="Q53" s="96"/>
      <c r="R53" s="99"/>
      <c r="S53" s="5"/>
      <c r="T53" s="72"/>
      <c r="U53" s="105"/>
      <c r="V53" s="48"/>
    </row>
    <row r="54" spans="2:22" x14ac:dyDescent="0.3">
      <c r="B54" t="s">
        <v>1246</v>
      </c>
      <c r="C54" s="94" t="s">
        <v>172</v>
      </c>
      <c r="D54" s="94"/>
      <c r="E54" s="94"/>
      <c r="F54" s="94"/>
      <c r="G54" s="94"/>
      <c r="H54" s="94"/>
      <c r="I54" s="94"/>
      <c r="J54" s="94"/>
      <c r="K54" s="94">
        <v>1</v>
      </c>
      <c r="L54" s="93"/>
      <c r="M54" s="63"/>
      <c r="N54" s="84"/>
      <c r="O54" s="49"/>
      <c r="P54" s="93"/>
      <c r="Q54" s="96"/>
      <c r="R54" s="99"/>
      <c r="S54" s="5"/>
      <c r="T54" s="72"/>
      <c r="U54" s="105"/>
      <c r="V54" s="48"/>
    </row>
    <row r="55" spans="2:22" x14ac:dyDescent="0.3">
      <c r="B55" t="s">
        <v>1246</v>
      </c>
      <c r="C55" s="93" t="s">
        <v>151</v>
      </c>
      <c r="D55" s="93"/>
      <c r="E55" s="93"/>
      <c r="F55" s="93"/>
      <c r="G55" s="93"/>
      <c r="H55" s="93"/>
      <c r="I55" s="93"/>
      <c r="J55" s="93"/>
      <c r="K55" s="93"/>
      <c r="L55" s="93">
        <v>1</v>
      </c>
      <c r="M55" s="63"/>
      <c r="N55" s="84"/>
      <c r="O55" s="49"/>
      <c r="P55" s="93"/>
      <c r="Q55" s="96"/>
      <c r="R55" s="99"/>
      <c r="S55" s="5"/>
      <c r="T55" s="72"/>
      <c r="U55" s="105"/>
      <c r="V55" s="48"/>
    </row>
    <row r="56" spans="2:22" x14ac:dyDescent="0.3">
      <c r="B56" t="s">
        <v>1246</v>
      </c>
      <c r="C56" s="93" t="s">
        <v>143</v>
      </c>
      <c r="D56" s="93"/>
      <c r="E56" s="93"/>
      <c r="F56" s="93"/>
      <c r="G56" s="93"/>
      <c r="H56" s="93"/>
      <c r="I56" s="93"/>
      <c r="J56" s="93"/>
      <c r="K56" s="93"/>
      <c r="L56" s="93">
        <v>1</v>
      </c>
      <c r="M56" s="63"/>
      <c r="N56" s="84"/>
      <c r="O56" s="49"/>
      <c r="P56" s="93"/>
      <c r="Q56" s="96"/>
      <c r="R56" s="99"/>
      <c r="S56" s="5"/>
      <c r="T56" s="72"/>
      <c r="U56" s="105"/>
      <c r="V56" s="48"/>
    </row>
    <row r="57" spans="2:22" x14ac:dyDescent="0.3">
      <c r="B57" t="s">
        <v>1246</v>
      </c>
      <c r="C57" s="63" t="s">
        <v>246</v>
      </c>
      <c r="D57" s="63"/>
      <c r="E57" s="63"/>
      <c r="F57" s="63"/>
      <c r="G57" s="63"/>
      <c r="H57" s="63"/>
      <c r="I57" s="63"/>
      <c r="J57" s="63"/>
      <c r="K57" s="63"/>
      <c r="L57" s="63"/>
      <c r="M57" s="63">
        <v>1</v>
      </c>
      <c r="N57" s="84"/>
      <c r="O57" s="49"/>
      <c r="P57" s="93"/>
      <c r="Q57" s="96"/>
      <c r="R57" s="99"/>
      <c r="S57" s="5"/>
      <c r="T57" s="72"/>
      <c r="U57" s="105"/>
      <c r="V57" s="48"/>
    </row>
    <row r="58" spans="2:22" x14ac:dyDescent="0.3">
      <c r="B58" t="s">
        <v>1246</v>
      </c>
      <c r="C58" s="63" t="s">
        <v>733</v>
      </c>
      <c r="D58" s="63"/>
      <c r="E58" s="63"/>
      <c r="F58" s="63"/>
      <c r="G58" s="63"/>
      <c r="H58" s="63"/>
      <c r="I58" s="63"/>
      <c r="J58" s="63"/>
      <c r="K58" s="63"/>
      <c r="L58" s="63"/>
      <c r="M58" s="63">
        <v>1</v>
      </c>
      <c r="N58" s="84"/>
      <c r="O58" s="49"/>
      <c r="P58" s="93"/>
      <c r="Q58" s="96"/>
      <c r="R58" s="99"/>
      <c r="S58" s="5"/>
      <c r="T58" s="72"/>
      <c r="U58" s="105"/>
      <c r="V58" s="48"/>
    </row>
    <row r="59" spans="2:22" x14ac:dyDescent="0.3">
      <c r="B59" t="s">
        <v>1246</v>
      </c>
      <c r="C59" s="84" t="s">
        <v>734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>
        <v>1</v>
      </c>
      <c r="O59" s="49"/>
      <c r="P59" s="93"/>
      <c r="Q59" s="96"/>
      <c r="R59" s="99"/>
      <c r="S59" s="5"/>
      <c r="T59" s="72"/>
      <c r="U59" s="105"/>
      <c r="V59" s="48"/>
    </row>
    <row r="60" spans="2:22" ht="15.6" customHeight="1" x14ac:dyDescent="0.3">
      <c r="B60" t="s">
        <v>1246</v>
      </c>
      <c r="C60" s="84" t="s">
        <v>239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>
        <v>1</v>
      </c>
      <c r="O60" s="49"/>
      <c r="P60" s="93"/>
      <c r="Q60" s="96"/>
      <c r="R60" s="99"/>
      <c r="S60" s="5"/>
      <c r="T60" s="72"/>
      <c r="U60" s="105"/>
      <c r="V60" s="48"/>
    </row>
    <row r="61" spans="2:22" x14ac:dyDescent="0.3">
      <c r="B61" t="s">
        <v>1246</v>
      </c>
      <c r="C61" s="97" t="s">
        <v>1001</v>
      </c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>
        <v>1</v>
      </c>
      <c r="P61" s="93"/>
      <c r="Q61" s="96"/>
      <c r="R61" s="99"/>
      <c r="S61" s="5"/>
      <c r="T61" s="72"/>
      <c r="U61" s="105"/>
      <c r="V61" s="48"/>
    </row>
    <row r="62" spans="2:22" x14ac:dyDescent="0.3">
      <c r="B62" t="s">
        <v>1246</v>
      </c>
      <c r="C62" s="97" t="s">
        <v>1002</v>
      </c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>
        <v>1</v>
      </c>
      <c r="P62" s="93"/>
      <c r="Q62" s="96"/>
      <c r="R62" s="99"/>
      <c r="S62" s="5"/>
      <c r="T62" s="72"/>
      <c r="U62" s="105"/>
      <c r="V62" s="48"/>
    </row>
    <row r="63" spans="2:22" x14ac:dyDescent="0.3">
      <c r="B63" t="s">
        <v>1246</v>
      </c>
      <c r="C63" s="97" t="s">
        <v>1003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>
        <v>1</v>
      </c>
      <c r="P63" s="93"/>
      <c r="Q63" s="96"/>
      <c r="R63" s="99"/>
      <c r="S63" s="5"/>
      <c r="T63" s="72"/>
      <c r="U63" s="105"/>
      <c r="V63" s="48"/>
    </row>
    <row r="64" spans="2:22" x14ac:dyDescent="0.3">
      <c r="B64" t="s">
        <v>1246</v>
      </c>
      <c r="C64" s="97" t="s">
        <v>1004</v>
      </c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>
        <v>1</v>
      </c>
      <c r="P64" s="93"/>
      <c r="Q64" s="96"/>
      <c r="R64" s="99"/>
      <c r="S64" s="5"/>
      <c r="T64" s="72"/>
      <c r="U64" s="105"/>
      <c r="V64" s="48"/>
    </row>
    <row r="65" spans="2:22" x14ac:dyDescent="0.3">
      <c r="B65" t="s">
        <v>1246</v>
      </c>
      <c r="C65" s="97" t="s">
        <v>1005</v>
      </c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>
        <v>1</v>
      </c>
      <c r="P65" s="93"/>
      <c r="Q65" s="96"/>
      <c r="R65" s="99"/>
      <c r="S65" s="5"/>
      <c r="T65" s="72"/>
      <c r="U65" s="105"/>
      <c r="V65" s="48"/>
    </row>
    <row r="66" spans="2:22" x14ac:dyDescent="0.3">
      <c r="B66" t="s">
        <v>1246</v>
      </c>
      <c r="C66" s="97" t="s">
        <v>1006</v>
      </c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>
        <v>1</v>
      </c>
      <c r="P66" s="93"/>
      <c r="Q66" s="96"/>
      <c r="R66" s="99"/>
      <c r="S66" s="5"/>
      <c r="T66" s="72"/>
      <c r="U66" s="105"/>
      <c r="V66" s="48"/>
    </row>
    <row r="67" spans="2:22" x14ac:dyDescent="0.3">
      <c r="B67" t="s">
        <v>1246</v>
      </c>
      <c r="C67" s="97" t="s">
        <v>1007</v>
      </c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>
        <v>1</v>
      </c>
      <c r="P67" s="93"/>
      <c r="Q67" s="96"/>
      <c r="R67" s="99"/>
      <c r="S67" s="5"/>
      <c r="T67" s="72"/>
      <c r="U67" s="105"/>
      <c r="V67" s="48"/>
    </row>
    <row r="68" spans="2:22" x14ac:dyDescent="0.3">
      <c r="B68" t="s">
        <v>1246</v>
      </c>
      <c r="C68" s="97" t="s">
        <v>1008</v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>
        <v>1</v>
      </c>
      <c r="P68" s="93"/>
      <c r="Q68" s="96"/>
      <c r="R68" s="99"/>
      <c r="S68" s="5"/>
      <c r="T68" s="72"/>
      <c r="U68" s="105"/>
      <c r="V68" s="48"/>
    </row>
    <row r="69" spans="2:22" x14ac:dyDescent="0.3">
      <c r="B69" t="s">
        <v>1246</v>
      </c>
      <c r="C69" s="97" t="s">
        <v>1009</v>
      </c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>
        <v>1</v>
      </c>
      <c r="P69" s="93"/>
      <c r="Q69" s="96"/>
      <c r="R69" s="99"/>
      <c r="S69" s="5"/>
      <c r="T69" s="72"/>
      <c r="U69" s="105"/>
      <c r="V69" s="48"/>
    </row>
    <row r="70" spans="2:22" x14ac:dyDescent="0.3">
      <c r="B70" t="s">
        <v>1246</v>
      </c>
      <c r="C70" s="97" t="s">
        <v>1010</v>
      </c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>
        <v>1</v>
      </c>
      <c r="P70" s="93"/>
      <c r="Q70" s="96"/>
      <c r="R70" s="99"/>
      <c r="S70" s="5"/>
      <c r="T70" s="72"/>
      <c r="U70" s="105"/>
      <c r="V70" s="48"/>
    </row>
    <row r="71" spans="2:22" x14ac:dyDescent="0.3">
      <c r="B71" t="s">
        <v>1246</v>
      </c>
      <c r="C71" s="97" t="s">
        <v>1011</v>
      </c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>
        <v>1</v>
      </c>
      <c r="P71" s="93"/>
      <c r="Q71" s="96"/>
      <c r="R71" s="99"/>
      <c r="S71" s="5"/>
      <c r="T71" s="72"/>
      <c r="U71" s="105"/>
      <c r="V71" s="48"/>
    </row>
    <row r="72" spans="2:22" x14ac:dyDescent="0.3">
      <c r="B72" t="s">
        <v>1246</v>
      </c>
      <c r="C72" s="97" t="s">
        <v>1012</v>
      </c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>
        <v>1</v>
      </c>
      <c r="P72" s="93"/>
      <c r="Q72" s="96"/>
      <c r="R72" s="99"/>
      <c r="S72" s="5"/>
      <c r="T72" s="72"/>
      <c r="U72" s="105"/>
      <c r="V72" s="48"/>
    </row>
    <row r="73" spans="2:22" x14ac:dyDescent="0.3">
      <c r="B73" t="s">
        <v>1246</v>
      </c>
      <c r="C73" s="97" t="s">
        <v>1013</v>
      </c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>
        <v>1</v>
      </c>
      <c r="P73" s="93"/>
      <c r="Q73" s="96"/>
      <c r="R73" s="99"/>
      <c r="S73" s="5"/>
      <c r="T73" s="72"/>
      <c r="U73" s="105"/>
      <c r="V73" s="48"/>
    </row>
    <row r="74" spans="2:22" x14ac:dyDescent="0.3">
      <c r="B74" t="s">
        <v>1246</v>
      </c>
      <c r="C74" s="97" t="s">
        <v>1014</v>
      </c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>
        <v>1</v>
      </c>
      <c r="P74" s="93"/>
      <c r="Q74" s="96"/>
      <c r="R74" s="99"/>
      <c r="S74" s="5"/>
      <c r="T74" s="72"/>
      <c r="U74" s="105"/>
      <c r="V74" s="48"/>
    </row>
    <row r="75" spans="2:22" x14ac:dyDescent="0.3">
      <c r="B75" t="s">
        <v>1246</v>
      </c>
      <c r="C75" s="97" t="s">
        <v>1015</v>
      </c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>
        <v>1</v>
      </c>
      <c r="P75" s="93"/>
      <c r="Q75" s="96"/>
      <c r="R75" s="99"/>
      <c r="S75" s="5"/>
      <c r="T75" s="72"/>
      <c r="U75" s="105"/>
      <c r="V75" s="48"/>
    </row>
    <row r="76" spans="2:22" x14ac:dyDescent="0.3">
      <c r="B76" t="s">
        <v>1246</v>
      </c>
      <c r="C76" s="97" t="s">
        <v>1016</v>
      </c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>
        <v>1</v>
      </c>
      <c r="P76" s="93"/>
      <c r="Q76" s="96"/>
      <c r="R76" s="99"/>
      <c r="S76" s="5"/>
      <c r="T76" s="72"/>
      <c r="U76" s="105"/>
      <c r="V76" s="48"/>
    </row>
    <row r="77" spans="2:22" x14ac:dyDescent="0.3">
      <c r="B77" t="s">
        <v>1246</v>
      </c>
      <c r="C77" s="97" t="s">
        <v>1017</v>
      </c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>
        <v>1</v>
      </c>
      <c r="P77" s="93"/>
      <c r="Q77" s="96"/>
      <c r="R77" s="99"/>
      <c r="S77" s="5"/>
      <c r="T77" s="72"/>
      <c r="U77" s="105"/>
      <c r="V77" s="48"/>
    </row>
    <row r="78" spans="2:22" x14ac:dyDescent="0.3">
      <c r="B78" t="s">
        <v>1246</v>
      </c>
      <c r="C78" s="97" t="s">
        <v>1018</v>
      </c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>
        <v>1</v>
      </c>
      <c r="P78" s="93"/>
      <c r="Q78" s="96"/>
      <c r="R78" s="99"/>
      <c r="S78" s="5"/>
      <c r="T78" s="72"/>
      <c r="U78" s="105"/>
      <c r="V78" s="48"/>
    </row>
    <row r="79" spans="2:22" x14ac:dyDescent="0.3">
      <c r="B79" t="s">
        <v>1246</v>
      </c>
      <c r="C79" s="93" t="s">
        <v>673</v>
      </c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>
        <v>1</v>
      </c>
      <c r="Q79" s="96"/>
      <c r="R79" s="99"/>
      <c r="S79" s="5"/>
      <c r="T79" s="72"/>
      <c r="U79" s="105"/>
      <c r="V79" s="48"/>
    </row>
    <row r="80" spans="2:22" x14ac:dyDescent="0.3">
      <c r="B80" t="s">
        <v>1246</v>
      </c>
      <c r="C80" s="93" t="s">
        <v>674</v>
      </c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>
        <v>1</v>
      </c>
      <c r="Q80" s="96"/>
      <c r="R80" s="99"/>
      <c r="S80" s="5"/>
      <c r="T80" s="72"/>
      <c r="U80" s="105"/>
      <c r="V80" s="48"/>
    </row>
    <row r="81" spans="2:22" x14ac:dyDescent="0.3">
      <c r="B81" t="s">
        <v>1246</v>
      </c>
      <c r="C81" s="93" t="s">
        <v>675</v>
      </c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>
        <v>1</v>
      </c>
      <c r="Q81" s="96"/>
      <c r="R81" s="99"/>
      <c r="S81" s="5"/>
      <c r="T81" s="72"/>
      <c r="U81" s="105"/>
      <c r="V81" s="48"/>
    </row>
    <row r="82" spans="2:22" x14ac:dyDescent="0.3">
      <c r="B82" t="s">
        <v>1246</v>
      </c>
      <c r="C82" s="93" t="s">
        <v>676</v>
      </c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>
        <v>1</v>
      </c>
      <c r="Q82" s="96"/>
      <c r="R82" s="99"/>
      <c r="S82" s="5"/>
      <c r="T82" s="72"/>
      <c r="U82" s="105"/>
      <c r="V82" s="48"/>
    </row>
    <row r="83" spans="2:22" x14ac:dyDescent="0.3">
      <c r="B83" t="s">
        <v>1246</v>
      </c>
      <c r="C83" s="93" t="s">
        <v>677</v>
      </c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>
        <v>1</v>
      </c>
      <c r="Q83" s="96"/>
      <c r="R83" s="99"/>
      <c r="S83" s="5"/>
      <c r="T83" s="72"/>
      <c r="U83" s="105"/>
      <c r="V83" s="48"/>
    </row>
    <row r="84" spans="2:22" x14ac:dyDescent="0.3">
      <c r="B84" t="s">
        <v>1246</v>
      </c>
      <c r="C84" s="93" t="s">
        <v>678</v>
      </c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>
        <v>1</v>
      </c>
      <c r="Q84" s="96"/>
      <c r="R84" s="99"/>
      <c r="S84" s="5"/>
      <c r="T84" s="72"/>
      <c r="U84" s="105"/>
      <c r="V84" s="48"/>
    </row>
    <row r="85" spans="2:22" x14ac:dyDescent="0.3">
      <c r="B85" t="s">
        <v>1246</v>
      </c>
      <c r="C85" s="93" t="s">
        <v>679</v>
      </c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>
        <v>1</v>
      </c>
      <c r="Q85" s="96"/>
      <c r="R85" s="99"/>
      <c r="S85" s="5"/>
      <c r="T85" s="72"/>
      <c r="U85" s="105"/>
      <c r="V85" s="48"/>
    </row>
    <row r="86" spans="2:22" x14ac:dyDescent="0.3">
      <c r="B86" t="s">
        <v>1246</v>
      </c>
      <c r="C86" s="93" t="s">
        <v>680</v>
      </c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>
        <v>1</v>
      </c>
      <c r="Q86" s="96"/>
      <c r="R86" s="99"/>
      <c r="S86" s="5"/>
      <c r="T86" s="72"/>
      <c r="U86" s="105"/>
      <c r="V86" s="48"/>
    </row>
    <row r="87" spans="2:22" x14ac:dyDescent="0.3">
      <c r="B87" t="s">
        <v>1246</v>
      </c>
      <c r="C87" s="93" t="s">
        <v>690</v>
      </c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>
        <v>1</v>
      </c>
      <c r="Q87" s="96"/>
      <c r="R87" s="99"/>
      <c r="S87" s="5"/>
      <c r="T87" s="72"/>
      <c r="U87" s="105"/>
      <c r="V87" s="48"/>
    </row>
    <row r="88" spans="2:22" x14ac:dyDescent="0.3">
      <c r="B88" t="s">
        <v>1246</v>
      </c>
      <c r="C88" s="96" t="s">
        <v>681</v>
      </c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>
        <v>1</v>
      </c>
      <c r="R88" s="99"/>
      <c r="S88" s="5"/>
      <c r="T88" s="72"/>
      <c r="U88" s="105"/>
      <c r="V88" s="48"/>
    </row>
    <row r="89" spans="2:22" x14ac:dyDescent="0.3">
      <c r="B89" t="s">
        <v>1246</v>
      </c>
      <c r="C89" s="96" t="s">
        <v>1169</v>
      </c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>
        <v>1</v>
      </c>
      <c r="R89" s="99"/>
      <c r="S89" s="5"/>
      <c r="T89" s="72"/>
      <c r="U89" s="105"/>
      <c r="V89" s="48"/>
    </row>
    <row r="90" spans="2:22" x14ac:dyDescent="0.3">
      <c r="B90" t="s">
        <v>1246</v>
      </c>
      <c r="C90" s="96" t="s">
        <v>682</v>
      </c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>
        <v>1</v>
      </c>
      <c r="R90" s="99"/>
      <c r="S90" s="5"/>
      <c r="T90" s="72"/>
      <c r="U90" s="105"/>
      <c r="V90" s="48"/>
    </row>
    <row r="91" spans="2:22" x14ac:dyDescent="0.3">
      <c r="B91" t="s">
        <v>1246</v>
      </c>
      <c r="C91" s="96" t="s">
        <v>683</v>
      </c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>
        <v>1</v>
      </c>
      <c r="R91" s="99"/>
      <c r="S91" s="5"/>
      <c r="T91" s="72"/>
      <c r="U91" s="105"/>
      <c r="V91" s="48"/>
    </row>
    <row r="92" spans="2:22" x14ac:dyDescent="0.3">
      <c r="B92" t="s">
        <v>1246</v>
      </c>
      <c r="C92" s="96" t="s">
        <v>684</v>
      </c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>
        <v>1</v>
      </c>
      <c r="R92" s="99"/>
      <c r="S92" s="5"/>
      <c r="T92" s="72"/>
      <c r="U92" s="105"/>
      <c r="V92" s="48"/>
    </row>
    <row r="93" spans="2:22" x14ac:dyDescent="0.3">
      <c r="B93" t="s">
        <v>1246</v>
      </c>
      <c r="C93" s="96" t="s">
        <v>686</v>
      </c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>
        <v>1</v>
      </c>
      <c r="R93" s="99"/>
      <c r="S93" s="5"/>
      <c r="T93" s="72"/>
      <c r="U93" s="105"/>
      <c r="V93" s="48"/>
    </row>
    <row r="94" spans="2:22" x14ac:dyDescent="0.3">
      <c r="B94" t="s">
        <v>1246</v>
      </c>
      <c r="C94" s="96" t="s">
        <v>687</v>
      </c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>
        <v>1</v>
      </c>
      <c r="R94" s="99"/>
      <c r="S94" s="5"/>
      <c r="T94" s="72"/>
      <c r="U94" s="105"/>
      <c r="V94" s="48"/>
    </row>
    <row r="95" spans="2:22" x14ac:dyDescent="0.3">
      <c r="B95" t="s">
        <v>1246</v>
      </c>
      <c r="C95" s="99" t="s">
        <v>351</v>
      </c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>
        <v>1</v>
      </c>
      <c r="S95" s="5"/>
      <c r="T95" s="72"/>
      <c r="U95" s="105"/>
      <c r="V95" s="48"/>
    </row>
    <row r="96" spans="2:22" x14ac:dyDescent="0.3">
      <c r="B96" t="s">
        <v>1246</v>
      </c>
      <c r="C96" s="99" t="s">
        <v>352</v>
      </c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>
        <v>1</v>
      </c>
      <c r="S96" s="5"/>
      <c r="T96" s="72"/>
      <c r="U96" s="105"/>
      <c r="V96" s="48"/>
    </row>
    <row r="97" spans="2:22" x14ac:dyDescent="0.3">
      <c r="B97" s="99" t="s">
        <v>632</v>
      </c>
      <c r="C97" s="99" t="s">
        <v>352</v>
      </c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>
        <v>0.5</v>
      </c>
      <c r="S97" s="5"/>
      <c r="T97" s="72"/>
      <c r="U97" s="105">
        <v>0.5</v>
      </c>
      <c r="V97" s="48"/>
    </row>
    <row r="98" spans="2:22" x14ac:dyDescent="0.3">
      <c r="B98" s="99" t="s">
        <v>633</v>
      </c>
      <c r="C98" s="99" t="s">
        <v>352</v>
      </c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>
        <v>0.5</v>
      </c>
      <c r="S98" s="5"/>
      <c r="T98" s="72"/>
      <c r="U98" s="105">
        <v>0.5</v>
      </c>
      <c r="V98" s="48"/>
    </row>
    <row r="99" spans="2:22" x14ac:dyDescent="0.3">
      <c r="B99" s="99" t="s">
        <v>634</v>
      </c>
      <c r="C99" s="99" t="s">
        <v>352</v>
      </c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>
        <v>0.5</v>
      </c>
      <c r="S99" s="5"/>
      <c r="T99" s="72"/>
      <c r="U99" s="105">
        <v>0.5</v>
      </c>
      <c r="V99" s="48"/>
    </row>
    <row r="100" spans="2:22" x14ac:dyDescent="0.3">
      <c r="B100" s="99" t="s">
        <v>635</v>
      </c>
      <c r="C100" s="99" t="s">
        <v>352</v>
      </c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>
        <v>0.5</v>
      </c>
      <c r="S100" s="5"/>
      <c r="T100" s="72"/>
      <c r="U100" s="105">
        <v>0.5</v>
      </c>
      <c r="V100" s="48"/>
    </row>
    <row r="101" spans="2:22" x14ac:dyDescent="0.3">
      <c r="B101" s="99" t="s">
        <v>636</v>
      </c>
      <c r="C101" s="99" t="s">
        <v>352</v>
      </c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>
        <v>0.5</v>
      </c>
      <c r="S101" s="5"/>
      <c r="T101" s="72"/>
      <c r="U101" s="105">
        <v>0.5</v>
      </c>
      <c r="V101" s="48"/>
    </row>
    <row r="102" spans="2:22" x14ac:dyDescent="0.3">
      <c r="B102" s="99" t="s">
        <v>637</v>
      </c>
      <c r="C102" s="99" t="s">
        <v>352</v>
      </c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>
        <v>0.5</v>
      </c>
      <c r="S102" s="5"/>
      <c r="T102" s="72"/>
      <c r="U102" s="105">
        <v>0.5</v>
      </c>
      <c r="V102" s="48"/>
    </row>
    <row r="103" spans="2:22" x14ac:dyDescent="0.3">
      <c r="B103" s="99" t="s">
        <v>638</v>
      </c>
      <c r="C103" s="99" t="s">
        <v>352</v>
      </c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>
        <v>0.5</v>
      </c>
      <c r="S103" s="5"/>
      <c r="T103" s="72"/>
      <c r="U103" s="105">
        <v>0.5</v>
      </c>
      <c r="V103" s="48"/>
    </row>
    <row r="104" spans="2:22" x14ac:dyDescent="0.3">
      <c r="B104" s="99" t="s">
        <v>639</v>
      </c>
      <c r="C104" s="99" t="s">
        <v>352</v>
      </c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>
        <v>0.5</v>
      </c>
      <c r="S104" s="5"/>
      <c r="T104" s="72"/>
      <c r="U104" s="105">
        <v>0.5</v>
      </c>
      <c r="V104" s="48"/>
    </row>
    <row r="105" spans="2:22" x14ac:dyDescent="0.3">
      <c r="B105" t="s">
        <v>1246</v>
      </c>
      <c r="C105" s="5" t="s">
        <v>736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</v>
      </c>
      <c r="T105" s="72"/>
      <c r="U105" s="105"/>
      <c r="V105" s="48"/>
    </row>
    <row r="106" spans="2:22" x14ac:dyDescent="0.3">
      <c r="B106" t="s">
        <v>1246</v>
      </c>
      <c r="C106" s="5" t="s">
        <v>737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1</v>
      </c>
      <c r="T106" s="72"/>
      <c r="U106" s="105"/>
      <c r="V106" s="48"/>
    </row>
    <row r="107" spans="2:22" x14ac:dyDescent="0.3">
      <c r="B107" t="s">
        <v>1246</v>
      </c>
      <c r="C107" s="5" t="s">
        <v>142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</v>
      </c>
      <c r="T107" s="72"/>
      <c r="U107" s="105"/>
      <c r="V107" s="48"/>
    </row>
    <row r="108" spans="2:22" x14ac:dyDescent="0.3">
      <c r="B108" t="s">
        <v>1246</v>
      </c>
      <c r="C108" s="5" t="s">
        <v>685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1</v>
      </c>
      <c r="T108" s="72"/>
      <c r="U108" s="105"/>
      <c r="V108" s="48"/>
    </row>
    <row r="109" spans="2:22" x14ac:dyDescent="0.3">
      <c r="B109" t="s">
        <v>1246</v>
      </c>
      <c r="C109" s="5" t="s">
        <v>1525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1</v>
      </c>
      <c r="T109" s="72"/>
      <c r="U109" s="105"/>
      <c r="V109" s="48"/>
    </row>
    <row r="110" spans="2:22" x14ac:dyDescent="0.3">
      <c r="B110" t="s">
        <v>1246</v>
      </c>
      <c r="C110" s="5" t="s">
        <v>1455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1</v>
      </c>
      <c r="T110" s="72"/>
      <c r="U110" s="105"/>
      <c r="V110" s="48"/>
    </row>
    <row r="111" spans="2:22" x14ac:dyDescent="0.3">
      <c r="B111" t="s">
        <v>1246</v>
      </c>
      <c r="C111" s="5" t="s">
        <v>1456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>
        <v>1</v>
      </c>
      <c r="T111" s="72"/>
      <c r="U111" s="105"/>
      <c r="V111" s="48"/>
    </row>
    <row r="112" spans="2:22" x14ac:dyDescent="0.3">
      <c r="B112" t="s">
        <v>1246</v>
      </c>
      <c r="C112" s="5" t="s">
        <v>1458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>
        <v>1</v>
      </c>
      <c r="T112" s="72"/>
      <c r="U112" s="105"/>
      <c r="V112" s="48"/>
    </row>
    <row r="113" spans="2:22" x14ac:dyDescent="0.3">
      <c r="B113" t="s">
        <v>1246</v>
      </c>
      <c r="C113" s="5" t="s">
        <v>1457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>
        <v>1</v>
      </c>
      <c r="T113" s="72"/>
      <c r="U113" s="105"/>
      <c r="V113" s="48"/>
    </row>
    <row r="114" spans="2:22" x14ac:dyDescent="0.3">
      <c r="B114" t="s">
        <v>1246</v>
      </c>
      <c r="C114" s="5" t="s">
        <v>688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>
        <v>1</v>
      </c>
      <c r="T114" s="72"/>
      <c r="U114" s="105"/>
      <c r="V114" s="48"/>
    </row>
    <row r="115" spans="2:22" x14ac:dyDescent="0.3">
      <c r="B115" t="s">
        <v>1246</v>
      </c>
      <c r="C115" s="5" t="s">
        <v>689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>
        <v>1</v>
      </c>
      <c r="T115" s="72"/>
      <c r="U115" s="105"/>
      <c r="V115" s="48"/>
    </row>
    <row r="116" spans="2:22" x14ac:dyDescent="0.3">
      <c r="B116" t="s">
        <v>1246</v>
      </c>
      <c r="C116" s="5" t="s">
        <v>691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>
        <v>1</v>
      </c>
      <c r="T116" s="72"/>
      <c r="U116" s="105"/>
      <c r="V116" s="48"/>
    </row>
    <row r="117" spans="2:22" x14ac:dyDescent="0.3">
      <c r="B117" t="s">
        <v>1246</v>
      </c>
      <c r="C117" s="5" t="s">
        <v>692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>
        <v>1</v>
      </c>
      <c r="T117" s="72"/>
      <c r="U117" s="105"/>
      <c r="V117" s="48"/>
    </row>
    <row r="118" spans="2:22" x14ac:dyDescent="0.3">
      <c r="B118" t="s">
        <v>1246</v>
      </c>
      <c r="C118" s="5" t="s">
        <v>145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>
        <v>1</v>
      </c>
      <c r="T118" s="72"/>
      <c r="U118" s="105"/>
      <c r="V118" s="48"/>
    </row>
    <row r="119" spans="2:22" x14ac:dyDescent="0.3">
      <c r="B119" t="s">
        <v>1246</v>
      </c>
      <c r="C119" s="5" t="s">
        <v>146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>
        <v>1</v>
      </c>
      <c r="T119" s="72"/>
      <c r="U119" s="105"/>
      <c r="V119" s="48"/>
    </row>
    <row r="120" spans="2:22" x14ac:dyDescent="0.3">
      <c r="B120" t="s">
        <v>1246</v>
      </c>
      <c r="C120" s="5" t="s">
        <v>693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>
        <v>1</v>
      </c>
      <c r="T120" s="72"/>
      <c r="U120" s="105"/>
      <c r="V120" s="48"/>
    </row>
    <row r="121" spans="2:22" x14ac:dyDescent="0.3">
      <c r="B121" t="s">
        <v>1246</v>
      </c>
      <c r="C121" s="5" t="s">
        <v>694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>
        <v>1</v>
      </c>
      <c r="T121" s="72"/>
      <c r="U121" s="105"/>
      <c r="V121" s="48"/>
    </row>
    <row r="122" spans="2:22" x14ac:dyDescent="0.3">
      <c r="B122" t="s">
        <v>1246</v>
      </c>
      <c r="C122" s="5" t="s">
        <v>695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>
        <v>1</v>
      </c>
      <c r="T122" s="72"/>
      <c r="U122" s="105"/>
      <c r="V122" s="48"/>
    </row>
    <row r="123" spans="2:22" x14ac:dyDescent="0.3">
      <c r="B123" t="s">
        <v>1246</v>
      </c>
      <c r="C123" s="5" t="s">
        <v>696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>
        <v>1</v>
      </c>
      <c r="T123" s="72"/>
      <c r="U123" s="105"/>
      <c r="V123" s="48"/>
    </row>
    <row r="124" spans="2:22" x14ac:dyDescent="0.3">
      <c r="B124" t="s">
        <v>1246</v>
      </c>
      <c r="C124" s="5" t="s">
        <v>1462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>
        <v>1</v>
      </c>
      <c r="T124" s="72"/>
      <c r="U124" s="105"/>
      <c r="V124" s="48"/>
    </row>
    <row r="125" spans="2:22" x14ac:dyDescent="0.3">
      <c r="B125" t="s">
        <v>1246</v>
      </c>
      <c r="C125" s="5" t="s">
        <v>1463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>
        <v>1</v>
      </c>
      <c r="T125" s="72"/>
      <c r="U125" s="105"/>
      <c r="V125" s="48"/>
    </row>
    <row r="126" spans="2:22" x14ac:dyDescent="0.3">
      <c r="B126" t="s">
        <v>1246</v>
      </c>
      <c r="C126" s="5" t="s">
        <v>1464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>
        <v>1</v>
      </c>
      <c r="T126" s="72"/>
      <c r="U126" s="105"/>
      <c r="V126" s="48"/>
    </row>
    <row r="127" spans="2:22" x14ac:dyDescent="0.3">
      <c r="B127" t="s">
        <v>1246</v>
      </c>
      <c r="C127" s="5" t="s">
        <v>1465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>
        <v>1</v>
      </c>
      <c r="T127" s="72"/>
      <c r="U127" s="105"/>
      <c r="V127" s="48"/>
    </row>
    <row r="128" spans="2:22" x14ac:dyDescent="0.3">
      <c r="B128" t="s">
        <v>1246</v>
      </c>
      <c r="C128" s="5" t="s">
        <v>149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>
        <v>1</v>
      </c>
      <c r="T128" s="72"/>
      <c r="U128" s="105"/>
      <c r="V128" s="48"/>
    </row>
    <row r="129" spans="2:22" x14ac:dyDescent="0.3">
      <c r="B129" t="s">
        <v>1246</v>
      </c>
      <c r="C129" s="5" t="s">
        <v>1466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>
        <v>1</v>
      </c>
      <c r="T129" s="72"/>
      <c r="U129" s="105"/>
      <c r="V129" s="48"/>
    </row>
    <row r="130" spans="2:22" x14ac:dyDescent="0.3">
      <c r="B130" t="s">
        <v>1246</v>
      </c>
      <c r="C130" s="5" t="s">
        <v>1618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>
        <v>1</v>
      </c>
      <c r="T130" s="72"/>
      <c r="U130" s="105"/>
      <c r="V130" s="48"/>
    </row>
    <row r="131" spans="2:22" x14ac:dyDescent="0.3">
      <c r="B131" t="s">
        <v>1246</v>
      </c>
      <c r="C131" s="5" t="s">
        <v>1459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>
        <v>1</v>
      </c>
      <c r="T131" s="72"/>
      <c r="U131" s="105"/>
      <c r="V131" s="48"/>
    </row>
    <row r="132" spans="2:22" x14ac:dyDescent="0.3">
      <c r="B132" t="s">
        <v>1246</v>
      </c>
      <c r="C132" s="5" t="s">
        <v>1460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>
        <v>1</v>
      </c>
      <c r="T132" s="72"/>
      <c r="U132" s="105"/>
      <c r="V132" s="48"/>
    </row>
    <row r="133" spans="2:22" x14ac:dyDescent="0.3">
      <c r="B133" t="s">
        <v>1246</v>
      </c>
      <c r="C133" s="5" t="s">
        <v>273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>
        <v>1</v>
      </c>
      <c r="T133" s="72"/>
      <c r="U133" s="105"/>
      <c r="V133" s="48"/>
    </row>
    <row r="134" spans="2:22" x14ac:dyDescent="0.3">
      <c r="B134" t="s">
        <v>1246</v>
      </c>
      <c r="C134" s="5" t="s">
        <v>1610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>
        <v>1</v>
      </c>
      <c r="T134" s="72"/>
      <c r="U134" s="105"/>
      <c r="V134" s="48"/>
    </row>
    <row r="135" spans="2:22" x14ac:dyDescent="0.3">
      <c r="B135" t="s">
        <v>1246</v>
      </c>
      <c r="C135" s="5" t="s">
        <v>1611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>
        <v>1</v>
      </c>
      <c r="T135" s="72"/>
      <c r="U135" s="105"/>
      <c r="V135" s="48"/>
    </row>
    <row r="136" spans="2:22" x14ac:dyDescent="0.3">
      <c r="B136" t="s">
        <v>1246</v>
      </c>
      <c r="C136" s="5" t="s">
        <v>1612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>
        <v>1</v>
      </c>
      <c r="T136" s="72"/>
      <c r="U136" s="105"/>
      <c r="V136" s="48"/>
    </row>
    <row r="137" spans="2:22" x14ac:dyDescent="0.3">
      <c r="B137" t="s">
        <v>1246</v>
      </c>
      <c r="C137" s="5" t="s">
        <v>1461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>
        <v>1</v>
      </c>
      <c r="T137" s="72"/>
      <c r="U137" s="105"/>
      <c r="V137" s="48"/>
    </row>
    <row r="138" spans="2:22" x14ac:dyDescent="0.3">
      <c r="B138" t="s">
        <v>1246</v>
      </c>
      <c r="C138" s="5" t="s">
        <v>277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>
        <v>1</v>
      </c>
      <c r="T138" s="72"/>
      <c r="U138" s="105"/>
      <c r="V138" s="48"/>
    </row>
    <row r="139" spans="2:22" x14ac:dyDescent="0.3">
      <c r="B139" t="s">
        <v>1246</v>
      </c>
      <c r="C139" s="5" t="s">
        <v>279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>
        <v>1</v>
      </c>
      <c r="T139" s="72"/>
      <c r="U139" s="105"/>
      <c r="V139" s="48"/>
    </row>
    <row r="140" spans="2:22" x14ac:dyDescent="0.3">
      <c r="B140" t="s">
        <v>1246</v>
      </c>
      <c r="C140" s="5" t="s">
        <v>697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>
        <v>1</v>
      </c>
      <c r="T140" s="72"/>
      <c r="U140" s="105"/>
      <c r="V140" s="48"/>
    </row>
    <row r="141" spans="2:22" x14ac:dyDescent="0.3">
      <c r="B141" t="s">
        <v>1246</v>
      </c>
      <c r="C141" s="5" t="s">
        <v>698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>
        <v>1</v>
      </c>
      <c r="T141" s="72"/>
      <c r="U141" s="105"/>
      <c r="V141" s="48"/>
    </row>
    <row r="142" spans="2:22" x14ac:dyDescent="0.3">
      <c r="B142" t="s">
        <v>1246</v>
      </c>
      <c r="C142" s="5" t="s">
        <v>281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>
        <v>1</v>
      </c>
      <c r="T142" s="72"/>
      <c r="U142" s="105"/>
      <c r="V142" s="48"/>
    </row>
    <row r="143" spans="2:22" x14ac:dyDescent="0.3">
      <c r="B143" t="s">
        <v>1246</v>
      </c>
      <c r="C143" s="5" t="s">
        <v>699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>
        <v>1</v>
      </c>
      <c r="T143" s="72"/>
      <c r="U143" s="105"/>
      <c r="V143" s="48"/>
    </row>
    <row r="144" spans="2:22" x14ac:dyDescent="0.3">
      <c r="B144" t="s">
        <v>1246</v>
      </c>
      <c r="C144" s="5" t="s">
        <v>150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>
        <v>1</v>
      </c>
      <c r="T144" s="72"/>
      <c r="U144" s="105"/>
      <c r="V144" s="48"/>
    </row>
    <row r="145" spans="2:22" x14ac:dyDescent="0.3">
      <c r="B145" t="s">
        <v>1246</v>
      </c>
      <c r="C145" s="5" t="s">
        <v>153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>
        <v>1</v>
      </c>
      <c r="T145" s="72"/>
      <c r="U145" s="105"/>
      <c r="V145" s="48"/>
    </row>
    <row r="146" spans="2:22" x14ac:dyDescent="0.3">
      <c r="B146" t="s">
        <v>1246</v>
      </c>
      <c r="C146" s="5" t="s">
        <v>154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>
        <v>1</v>
      </c>
      <c r="T146" s="72"/>
      <c r="U146" s="105"/>
      <c r="V146" s="48"/>
    </row>
    <row r="147" spans="2:22" x14ac:dyDescent="0.3">
      <c r="B147" t="s">
        <v>1246</v>
      </c>
      <c r="C147" s="5" t="s">
        <v>155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>
        <v>1</v>
      </c>
      <c r="T147" s="72"/>
      <c r="U147" s="105"/>
      <c r="V147" s="48"/>
    </row>
    <row r="148" spans="2:22" x14ac:dyDescent="0.3">
      <c r="B148" t="s">
        <v>1246</v>
      </c>
      <c r="C148" s="5" t="s">
        <v>156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>
        <v>1</v>
      </c>
      <c r="T148" s="72"/>
      <c r="U148" s="105"/>
      <c r="V148" s="48"/>
    </row>
    <row r="149" spans="2:22" x14ac:dyDescent="0.3">
      <c r="B149" t="s">
        <v>1246</v>
      </c>
      <c r="C149" s="5" t="s">
        <v>157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>
        <v>1</v>
      </c>
      <c r="T149" s="72"/>
      <c r="U149" s="105"/>
      <c r="V149" s="48"/>
    </row>
    <row r="150" spans="2:22" x14ac:dyDescent="0.3">
      <c r="B150" t="s">
        <v>1246</v>
      </c>
      <c r="C150" s="5" t="s">
        <v>158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>
        <v>1</v>
      </c>
      <c r="T150" s="72"/>
      <c r="U150" s="105"/>
      <c r="V150" s="48"/>
    </row>
    <row r="151" spans="2:22" x14ac:dyDescent="0.3">
      <c r="B151" t="s">
        <v>1246</v>
      </c>
      <c r="C151" s="5" t="s">
        <v>700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>
        <v>1</v>
      </c>
      <c r="T151" s="72"/>
      <c r="U151" s="105"/>
      <c r="V151" s="48"/>
    </row>
    <row r="152" spans="2:22" x14ac:dyDescent="0.3">
      <c r="B152" t="s">
        <v>1246</v>
      </c>
      <c r="C152" s="5" t="s">
        <v>159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>
        <v>1</v>
      </c>
      <c r="T152" s="72"/>
      <c r="U152" s="105"/>
      <c r="V152" s="48"/>
    </row>
    <row r="153" spans="2:22" x14ac:dyDescent="0.3">
      <c r="B153" t="s">
        <v>1246</v>
      </c>
      <c r="C153" s="5" t="s">
        <v>160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>
        <v>1</v>
      </c>
      <c r="T153" s="72"/>
      <c r="U153" s="105"/>
      <c r="V153" s="48"/>
    </row>
    <row r="154" spans="2:22" x14ac:dyDescent="0.3">
      <c r="B154" t="s">
        <v>1246</v>
      </c>
      <c r="C154" s="5" t="s">
        <v>161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>
        <v>1</v>
      </c>
      <c r="T154" s="72"/>
      <c r="U154" s="105"/>
      <c r="V154" s="48"/>
    </row>
    <row r="155" spans="2:22" x14ac:dyDescent="0.3">
      <c r="B155" t="s">
        <v>1246</v>
      </c>
      <c r="C155" s="5" t="s">
        <v>701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>
        <v>1</v>
      </c>
      <c r="T155" s="72"/>
      <c r="U155" s="105"/>
      <c r="V155" s="48"/>
    </row>
    <row r="156" spans="2:22" x14ac:dyDescent="0.3">
      <c r="B156" t="s">
        <v>1246</v>
      </c>
      <c r="C156" s="5" t="s">
        <v>702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>
        <v>1</v>
      </c>
      <c r="T156" s="72"/>
      <c r="U156" s="105"/>
      <c r="V156" s="48"/>
    </row>
    <row r="157" spans="2:22" x14ac:dyDescent="0.3">
      <c r="B157" t="s">
        <v>1246</v>
      </c>
      <c r="C157" s="5" t="s">
        <v>703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>
        <v>1</v>
      </c>
      <c r="T157" s="72"/>
      <c r="U157" s="105"/>
      <c r="V157" s="48"/>
    </row>
    <row r="158" spans="2:22" x14ac:dyDescent="0.3">
      <c r="B158" t="s">
        <v>1246</v>
      </c>
      <c r="C158" s="5" t="s">
        <v>162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>
        <v>1</v>
      </c>
      <c r="T158" s="72"/>
      <c r="U158" s="105"/>
      <c r="V158" s="48"/>
    </row>
    <row r="159" spans="2:22" x14ac:dyDescent="0.3">
      <c r="B159" t="s">
        <v>1246</v>
      </c>
      <c r="C159" s="5" t="s">
        <v>163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>
        <v>1</v>
      </c>
      <c r="T159" s="72"/>
      <c r="U159" s="105"/>
      <c r="V159" s="48"/>
    </row>
    <row r="160" spans="2:22" x14ac:dyDescent="0.3">
      <c r="B160" t="s">
        <v>1246</v>
      </c>
      <c r="C160" s="5" t="s">
        <v>164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>
        <v>1</v>
      </c>
      <c r="T160" s="72"/>
      <c r="U160" s="105"/>
      <c r="V160" s="48"/>
    </row>
    <row r="161" spans="2:22" x14ac:dyDescent="0.3">
      <c r="B161" t="s">
        <v>1246</v>
      </c>
      <c r="C161" s="100" t="s">
        <v>704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>
        <v>1</v>
      </c>
      <c r="T161" s="72"/>
      <c r="U161" s="105"/>
      <c r="V161" s="48"/>
    </row>
    <row r="162" spans="2:22" x14ac:dyDescent="0.3">
      <c r="B162" t="s">
        <v>1246</v>
      </c>
      <c r="C162" s="5" t="s">
        <v>1120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>
        <v>1</v>
      </c>
      <c r="T162" s="72"/>
      <c r="U162" s="105"/>
      <c r="V162" s="48"/>
    </row>
    <row r="163" spans="2:22" x14ac:dyDescent="0.3">
      <c r="B163" t="s">
        <v>1246</v>
      </c>
      <c r="C163" s="5" t="s">
        <v>152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>
        <v>1</v>
      </c>
      <c r="T163" s="72"/>
      <c r="U163" s="105"/>
      <c r="V163" s="48"/>
    </row>
    <row r="164" spans="2:22" x14ac:dyDescent="0.3">
      <c r="B164" s="5" t="s">
        <v>640</v>
      </c>
      <c r="C164" s="5" t="s">
        <v>736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>
        <v>0.5</v>
      </c>
      <c r="T164" s="72"/>
      <c r="U164" s="105"/>
      <c r="V164" s="48">
        <v>0.5</v>
      </c>
    </row>
    <row r="165" spans="2:22" x14ac:dyDescent="0.3">
      <c r="B165" s="5" t="s">
        <v>641</v>
      </c>
      <c r="C165" s="5" t="s">
        <v>736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>
        <v>0.5</v>
      </c>
      <c r="T165" s="72"/>
      <c r="U165" s="105"/>
      <c r="V165" s="48">
        <v>0.5</v>
      </c>
    </row>
    <row r="166" spans="2:22" x14ac:dyDescent="0.3">
      <c r="B166" s="5" t="s">
        <v>642</v>
      </c>
      <c r="C166" s="5" t="s">
        <v>736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>
        <v>0.5</v>
      </c>
      <c r="T166" s="72"/>
      <c r="U166" s="105"/>
      <c r="V166" s="48">
        <v>0.5</v>
      </c>
    </row>
    <row r="167" spans="2:22" x14ac:dyDescent="0.3">
      <c r="B167" s="5" t="s">
        <v>1166</v>
      </c>
      <c r="C167" s="5" t="s">
        <v>736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>
        <v>0.5</v>
      </c>
      <c r="T167" s="72"/>
      <c r="U167" s="105"/>
      <c r="V167" s="48">
        <v>0.5</v>
      </c>
    </row>
    <row r="168" spans="2:22" x14ac:dyDescent="0.3">
      <c r="B168" s="5" t="s">
        <v>643</v>
      </c>
      <c r="C168" s="5" t="s">
        <v>736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>
        <v>0.5</v>
      </c>
      <c r="T168" s="72"/>
      <c r="U168" s="105"/>
      <c r="V168" s="48">
        <v>0.5</v>
      </c>
    </row>
    <row r="169" spans="2:22" x14ac:dyDescent="0.3">
      <c r="B169" s="5" t="s">
        <v>253</v>
      </c>
      <c r="C169" s="5" t="s">
        <v>246</v>
      </c>
      <c r="D169" s="5"/>
      <c r="E169" s="5"/>
      <c r="F169" s="5"/>
      <c r="G169" s="5"/>
      <c r="H169" s="5"/>
      <c r="I169" s="5"/>
      <c r="J169" s="5"/>
      <c r="K169" s="5"/>
      <c r="L169" s="5"/>
      <c r="M169" s="5">
        <v>0.05</v>
      </c>
      <c r="N169" s="5"/>
      <c r="O169" s="5"/>
      <c r="P169" s="5"/>
      <c r="Q169" s="5"/>
      <c r="R169" s="5"/>
      <c r="S169" s="5">
        <v>0.95</v>
      </c>
      <c r="T169" s="72"/>
      <c r="U169" s="105"/>
      <c r="V169" s="48"/>
    </row>
    <row r="170" spans="2:22" x14ac:dyDescent="0.3">
      <c r="B170" s="5" t="s">
        <v>253</v>
      </c>
      <c r="C170" s="5" t="s">
        <v>147</v>
      </c>
      <c r="D170" s="5"/>
      <c r="E170" s="5"/>
      <c r="F170" s="5"/>
      <c r="G170" s="5"/>
      <c r="H170" s="5"/>
      <c r="I170" s="5"/>
      <c r="J170" s="5">
        <v>0.05</v>
      </c>
      <c r="K170" s="5"/>
      <c r="L170" s="5"/>
      <c r="M170" s="5"/>
      <c r="N170" s="5"/>
      <c r="O170" s="5"/>
      <c r="P170" s="5"/>
      <c r="Q170" s="5"/>
      <c r="R170" s="5"/>
      <c r="S170" s="5">
        <v>0.95</v>
      </c>
      <c r="T170" s="72"/>
      <c r="U170" s="105"/>
      <c r="V170" s="48"/>
    </row>
    <row r="171" spans="2:22" x14ac:dyDescent="0.3">
      <c r="B171" s="5" t="s">
        <v>1555</v>
      </c>
      <c r="C171" s="5" t="s">
        <v>246</v>
      </c>
      <c r="D171" s="5"/>
      <c r="E171" s="5"/>
      <c r="F171" s="5"/>
      <c r="G171" s="5"/>
      <c r="H171" s="5"/>
      <c r="I171" s="5"/>
      <c r="J171" s="5"/>
      <c r="K171" s="5"/>
      <c r="L171" s="5"/>
      <c r="M171" s="5">
        <v>0.2</v>
      </c>
      <c r="N171" s="5"/>
      <c r="O171" s="5"/>
      <c r="P171" s="5"/>
      <c r="Q171" s="5"/>
      <c r="R171" s="5"/>
      <c r="S171" s="5">
        <v>0.8</v>
      </c>
      <c r="T171" s="72"/>
      <c r="U171" s="105"/>
      <c r="V171" s="48"/>
    </row>
    <row r="172" spans="2:22" x14ac:dyDescent="0.3">
      <c r="B172" s="5" t="s">
        <v>1555</v>
      </c>
      <c r="C172" s="5" t="s">
        <v>147</v>
      </c>
      <c r="D172" s="5"/>
      <c r="E172" s="5"/>
      <c r="F172" s="5"/>
      <c r="G172" s="5"/>
      <c r="H172" s="5"/>
      <c r="I172" s="5"/>
      <c r="J172" s="5">
        <v>0.2</v>
      </c>
      <c r="K172" s="5"/>
      <c r="L172" s="5"/>
      <c r="M172" s="5"/>
      <c r="N172" s="5"/>
      <c r="O172" s="5"/>
      <c r="P172" s="5"/>
      <c r="Q172" s="5"/>
      <c r="R172" s="5"/>
      <c r="S172" s="5">
        <v>0.8</v>
      </c>
      <c r="T172" s="72"/>
      <c r="U172" s="105"/>
      <c r="V172" s="48"/>
    </row>
    <row r="173" spans="2:22" x14ac:dyDescent="0.3">
      <c r="B173" s="5" t="s">
        <v>1494</v>
      </c>
      <c r="C173" s="5" t="s">
        <v>246</v>
      </c>
      <c r="D173" s="5"/>
      <c r="E173" s="5"/>
      <c r="F173" s="5"/>
      <c r="G173" s="5"/>
      <c r="H173" s="5"/>
      <c r="I173" s="5"/>
      <c r="J173" s="5"/>
      <c r="K173" s="5"/>
      <c r="L173" s="5"/>
      <c r="M173" s="5">
        <v>0.2</v>
      </c>
      <c r="N173" s="5"/>
      <c r="O173" s="5"/>
      <c r="P173" s="5"/>
      <c r="Q173" s="5"/>
      <c r="R173" s="5"/>
      <c r="S173" s="5">
        <v>0.8</v>
      </c>
      <c r="T173" s="72"/>
      <c r="U173" s="105"/>
      <c r="V173" s="48"/>
    </row>
    <row r="174" spans="2:22" x14ac:dyDescent="0.3">
      <c r="B174" s="5" t="s">
        <v>1494</v>
      </c>
      <c r="C174" s="5" t="s">
        <v>147</v>
      </c>
      <c r="D174" s="5"/>
      <c r="E174" s="5"/>
      <c r="F174" s="5"/>
      <c r="G174" s="5"/>
      <c r="H174" s="5"/>
      <c r="I174" s="5"/>
      <c r="J174" s="5">
        <v>0.2</v>
      </c>
      <c r="K174" s="5"/>
      <c r="L174" s="5"/>
      <c r="M174" s="5"/>
      <c r="N174" s="5"/>
      <c r="O174" s="5"/>
      <c r="P174" s="5"/>
      <c r="Q174" s="5"/>
      <c r="R174" s="5"/>
      <c r="S174" s="5">
        <v>0.8</v>
      </c>
      <c r="T174" s="72"/>
      <c r="U174" s="105"/>
      <c r="V174" s="48"/>
    </row>
    <row r="175" spans="2:22" x14ac:dyDescent="0.3">
      <c r="B175" s="72" t="s">
        <v>632</v>
      </c>
      <c r="C175" s="72" t="s">
        <v>911</v>
      </c>
      <c r="D175" s="72"/>
      <c r="E175" s="72"/>
      <c r="F175" s="72"/>
      <c r="G175" s="72"/>
      <c r="H175" s="72" t="s">
        <v>111</v>
      </c>
      <c r="I175" s="72"/>
      <c r="J175" s="72"/>
      <c r="K175" s="72"/>
      <c r="L175" s="72"/>
      <c r="M175" s="72"/>
      <c r="N175" s="72"/>
      <c r="O175" s="72"/>
      <c r="P175" s="72"/>
      <c r="Q175" s="72"/>
      <c r="R175" s="72" t="s">
        <v>473</v>
      </c>
      <c r="S175" s="72"/>
      <c r="T175" s="72">
        <v>1</v>
      </c>
      <c r="U175" s="105"/>
      <c r="V175" s="48"/>
    </row>
    <row r="176" spans="2:22" x14ac:dyDescent="0.3">
      <c r="B176" s="72" t="s">
        <v>633</v>
      </c>
      <c r="C176" s="72" t="s">
        <v>911</v>
      </c>
      <c r="D176" s="72"/>
      <c r="E176" s="72"/>
      <c r="F176" s="72"/>
      <c r="G176" s="72"/>
      <c r="H176" s="72" t="s">
        <v>111</v>
      </c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>
        <v>1</v>
      </c>
      <c r="U176" s="105"/>
      <c r="V176" s="48"/>
    </row>
    <row r="177" spans="2:22" x14ac:dyDescent="0.3">
      <c r="B177" s="72" t="s">
        <v>634</v>
      </c>
      <c r="C177" s="72" t="s">
        <v>911</v>
      </c>
      <c r="D177" s="72"/>
      <c r="E177" s="72"/>
      <c r="F177" s="72"/>
      <c r="G177" s="72"/>
      <c r="H177" s="72" t="s">
        <v>111</v>
      </c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>
        <v>1</v>
      </c>
      <c r="U177" s="105"/>
      <c r="V177" s="48"/>
    </row>
    <row r="178" spans="2:22" x14ac:dyDescent="0.3">
      <c r="B178" s="72" t="s">
        <v>635</v>
      </c>
      <c r="C178" s="72" t="s">
        <v>911</v>
      </c>
      <c r="D178" s="72"/>
      <c r="E178" s="72"/>
      <c r="F178" s="72"/>
      <c r="G178" s="72"/>
      <c r="H178" s="72" t="s">
        <v>111</v>
      </c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>
        <v>1</v>
      </c>
      <c r="U178" s="105"/>
      <c r="V178" s="48"/>
    </row>
    <row r="179" spans="2:22" x14ac:dyDescent="0.3">
      <c r="B179" s="72" t="s">
        <v>636</v>
      </c>
      <c r="C179" s="72" t="s">
        <v>911</v>
      </c>
      <c r="D179" s="72"/>
      <c r="E179" s="72"/>
      <c r="F179" s="72"/>
      <c r="G179" s="72"/>
      <c r="H179" s="72" t="s">
        <v>111</v>
      </c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>
        <v>1</v>
      </c>
      <c r="U179" s="105"/>
      <c r="V179" s="48"/>
    </row>
    <row r="180" spans="2:22" x14ac:dyDescent="0.3">
      <c r="B180" s="72" t="s">
        <v>637</v>
      </c>
      <c r="C180" s="72" t="s">
        <v>911</v>
      </c>
      <c r="D180" s="72"/>
      <c r="E180" s="72"/>
      <c r="F180" s="72"/>
      <c r="G180" s="72"/>
      <c r="H180" s="72" t="s">
        <v>111</v>
      </c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>
        <v>1</v>
      </c>
      <c r="U180" s="105"/>
      <c r="V180" s="48"/>
    </row>
    <row r="181" spans="2:22" x14ac:dyDescent="0.3">
      <c r="B181" s="72" t="s">
        <v>638</v>
      </c>
      <c r="C181" s="72" t="s">
        <v>911</v>
      </c>
      <c r="D181" s="72"/>
      <c r="E181" s="72"/>
      <c r="F181" s="72"/>
      <c r="G181" s="72"/>
      <c r="H181" s="72" t="s">
        <v>111</v>
      </c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>
        <v>1</v>
      </c>
      <c r="U181" s="105"/>
      <c r="V181" s="48"/>
    </row>
    <row r="182" spans="2:22" x14ac:dyDescent="0.3">
      <c r="B182" s="72" t="s">
        <v>639</v>
      </c>
      <c r="C182" s="72" t="s">
        <v>911</v>
      </c>
      <c r="D182" s="72"/>
      <c r="E182" s="72"/>
      <c r="F182" s="72"/>
      <c r="G182" s="72"/>
      <c r="H182" s="72" t="s">
        <v>111</v>
      </c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>
        <v>1</v>
      </c>
      <c r="U182" s="105"/>
      <c r="V182" s="48"/>
    </row>
    <row r="183" spans="2:22" x14ac:dyDescent="0.3">
      <c r="B183" s="72" t="s">
        <v>632</v>
      </c>
      <c r="C183" s="72" t="s">
        <v>1054</v>
      </c>
      <c r="D183" s="72"/>
      <c r="E183" s="72"/>
      <c r="F183" s="72"/>
      <c r="G183" s="72"/>
      <c r="H183" s="72" t="s">
        <v>111</v>
      </c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>
        <v>1</v>
      </c>
      <c r="U183" s="105"/>
      <c r="V183" s="48"/>
    </row>
    <row r="184" spans="2:22" x14ac:dyDescent="0.3">
      <c r="B184" s="72" t="s">
        <v>633</v>
      </c>
      <c r="C184" s="72" t="s">
        <v>1054</v>
      </c>
      <c r="D184" s="72"/>
      <c r="E184" s="72"/>
      <c r="F184" s="72"/>
      <c r="G184" s="72"/>
      <c r="H184" s="72" t="s">
        <v>111</v>
      </c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>
        <v>1</v>
      </c>
      <c r="U184" s="105"/>
      <c r="V184" s="48"/>
    </row>
    <row r="185" spans="2:22" x14ac:dyDescent="0.3">
      <c r="B185" s="72" t="s">
        <v>634</v>
      </c>
      <c r="C185" s="72" t="s">
        <v>1054</v>
      </c>
      <c r="D185" s="72"/>
      <c r="E185" s="72"/>
      <c r="F185" s="72"/>
      <c r="G185" s="72"/>
      <c r="H185" s="72" t="s">
        <v>111</v>
      </c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>
        <v>1</v>
      </c>
      <c r="U185" s="105"/>
      <c r="V185" s="48"/>
    </row>
    <row r="186" spans="2:22" x14ac:dyDescent="0.3">
      <c r="B186" s="72" t="s">
        <v>635</v>
      </c>
      <c r="C186" s="72" t="s">
        <v>1054</v>
      </c>
      <c r="D186" s="72"/>
      <c r="E186" s="72"/>
      <c r="F186" s="72"/>
      <c r="G186" s="72"/>
      <c r="H186" s="72" t="s">
        <v>111</v>
      </c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>
        <v>1</v>
      </c>
      <c r="U186" s="105"/>
      <c r="V186" s="48"/>
    </row>
    <row r="187" spans="2:22" x14ac:dyDescent="0.3">
      <c r="B187" s="72" t="s">
        <v>636</v>
      </c>
      <c r="C187" s="72" t="s">
        <v>1054</v>
      </c>
      <c r="D187" s="72"/>
      <c r="E187" s="72"/>
      <c r="F187" s="72"/>
      <c r="G187" s="72"/>
      <c r="H187" s="72" t="s">
        <v>111</v>
      </c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>
        <v>1</v>
      </c>
      <c r="U187" s="105"/>
      <c r="V187" s="48"/>
    </row>
    <row r="188" spans="2:22" x14ac:dyDescent="0.3">
      <c r="B188" s="72" t="s">
        <v>637</v>
      </c>
      <c r="C188" s="72" t="s">
        <v>1054</v>
      </c>
      <c r="D188" s="72"/>
      <c r="E188" s="72"/>
      <c r="F188" s="72"/>
      <c r="G188" s="72"/>
      <c r="H188" s="72" t="s">
        <v>111</v>
      </c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>
        <v>1</v>
      </c>
      <c r="U188" s="105"/>
      <c r="V188" s="48"/>
    </row>
    <row r="189" spans="2:22" x14ac:dyDescent="0.3">
      <c r="B189" s="72" t="s">
        <v>638</v>
      </c>
      <c r="C189" s="72" t="s">
        <v>1054</v>
      </c>
      <c r="D189" s="72"/>
      <c r="E189" s="72"/>
      <c r="F189" s="72"/>
      <c r="G189" s="72"/>
      <c r="H189" s="72" t="s">
        <v>111</v>
      </c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>
        <v>1</v>
      </c>
      <c r="U189" s="105"/>
      <c r="V189" s="48"/>
    </row>
    <row r="190" spans="2:22" x14ac:dyDescent="0.3">
      <c r="B190" s="72" t="s">
        <v>639</v>
      </c>
      <c r="C190" s="72" t="s">
        <v>1054</v>
      </c>
      <c r="D190" s="72"/>
      <c r="E190" s="72"/>
      <c r="F190" s="72"/>
      <c r="G190" s="72"/>
      <c r="H190" s="72" t="s">
        <v>111</v>
      </c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>
        <v>1</v>
      </c>
      <c r="U190" s="105"/>
      <c r="V190" s="48"/>
    </row>
    <row r="191" spans="2:22" x14ac:dyDescent="0.3">
      <c r="B191" s="72" t="s">
        <v>632</v>
      </c>
      <c r="C191" s="72" t="s">
        <v>1197</v>
      </c>
      <c r="D191" s="72"/>
      <c r="E191" s="72"/>
      <c r="F191" s="72"/>
      <c r="G191" s="72"/>
      <c r="H191" s="72" t="s">
        <v>111</v>
      </c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>
        <v>1</v>
      </c>
      <c r="U191" s="105"/>
      <c r="V191" s="48"/>
    </row>
    <row r="192" spans="2:22" x14ac:dyDescent="0.3">
      <c r="B192" s="72" t="s">
        <v>633</v>
      </c>
      <c r="C192" s="72" t="s">
        <v>1197</v>
      </c>
      <c r="D192" s="72"/>
      <c r="E192" s="72"/>
      <c r="F192" s="72"/>
      <c r="G192" s="72"/>
      <c r="H192" s="72" t="s">
        <v>111</v>
      </c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>
        <v>1</v>
      </c>
      <c r="U192" s="105"/>
      <c r="V192" s="48"/>
    </row>
    <row r="193" spans="2:22" x14ac:dyDescent="0.3">
      <c r="B193" s="72" t="s">
        <v>634</v>
      </c>
      <c r="C193" s="72" t="s">
        <v>1197</v>
      </c>
      <c r="D193" s="72"/>
      <c r="E193" s="72"/>
      <c r="F193" s="72"/>
      <c r="G193" s="72"/>
      <c r="H193" s="72" t="s">
        <v>111</v>
      </c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>
        <v>1</v>
      </c>
      <c r="U193" s="105"/>
      <c r="V193" s="48"/>
    </row>
    <row r="194" spans="2:22" x14ac:dyDescent="0.3">
      <c r="B194" s="72" t="s">
        <v>635</v>
      </c>
      <c r="C194" s="72" t="s">
        <v>1197</v>
      </c>
      <c r="D194" s="72"/>
      <c r="E194" s="72"/>
      <c r="F194" s="72"/>
      <c r="G194" s="72"/>
      <c r="H194" s="72" t="s">
        <v>111</v>
      </c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>
        <v>1</v>
      </c>
      <c r="U194" s="105"/>
      <c r="V194" s="48"/>
    </row>
    <row r="195" spans="2:22" x14ac:dyDescent="0.3">
      <c r="B195" s="72" t="s">
        <v>636</v>
      </c>
      <c r="C195" s="72" t="s">
        <v>1197</v>
      </c>
      <c r="D195" s="72"/>
      <c r="E195" s="72"/>
      <c r="F195" s="72"/>
      <c r="G195" s="72"/>
      <c r="H195" s="72" t="s">
        <v>111</v>
      </c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>
        <v>1</v>
      </c>
      <c r="U195" s="105"/>
      <c r="V195" s="48"/>
    </row>
    <row r="196" spans="2:22" x14ac:dyDescent="0.3">
      <c r="B196" s="72" t="s">
        <v>637</v>
      </c>
      <c r="C196" s="72" t="s">
        <v>1197</v>
      </c>
      <c r="D196" s="72"/>
      <c r="E196" s="72"/>
      <c r="F196" s="72"/>
      <c r="G196" s="72"/>
      <c r="H196" s="72" t="s">
        <v>111</v>
      </c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>
        <v>1</v>
      </c>
      <c r="U196" s="105"/>
      <c r="V196" s="48"/>
    </row>
    <row r="197" spans="2:22" x14ac:dyDescent="0.3">
      <c r="B197" s="72" t="s">
        <v>638</v>
      </c>
      <c r="C197" s="72" t="s">
        <v>1197</v>
      </c>
      <c r="D197" s="72"/>
      <c r="E197" s="72"/>
      <c r="F197" s="72"/>
      <c r="G197" s="72"/>
      <c r="H197" s="72" t="s">
        <v>111</v>
      </c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>
        <v>1</v>
      </c>
      <c r="U197" s="105"/>
      <c r="V197" s="48"/>
    </row>
    <row r="198" spans="2:22" x14ac:dyDescent="0.3">
      <c r="B198" s="72" t="s">
        <v>639</v>
      </c>
      <c r="C198" s="72" t="s">
        <v>1197</v>
      </c>
      <c r="D198" s="72"/>
      <c r="E198" s="72"/>
      <c r="F198" s="72"/>
      <c r="G198" s="72"/>
      <c r="H198" s="72" t="s">
        <v>111</v>
      </c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>
        <v>1</v>
      </c>
      <c r="U198" s="105"/>
      <c r="V198" s="48"/>
    </row>
    <row r="199" spans="2:22" x14ac:dyDescent="0.3">
      <c r="B199" s="105" t="s">
        <v>632</v>
      </c>
      <c r="C199" s="105" t="s">
        <v>729</v>
      </c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>
        <v>1</v>
      </c>
      <c r="V199" s="48"/>
    </row>
    <row r="200" spans="2:22" x14ac:dyDescent="0.3">
      <c r="B200" s="105" t="s">
        <v>633</v>
      </c>
      <c r="C200" s="105" t="s">
        <v>729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>
        <v>1</v>
      </c>
      <c r="V200" s="48"/>
    </row>
    <row r="201" spans="2:22" x14ac:dyDescent="0.3">
      <c r="B201" s="105" t="s">
        <v>634</v>
      </c>
      <c r="C201" s="105" t="s">
        <v>729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>
        <v>1</v>
      </c>
      <c r="V201" s="48"/>
    </row>
    <row r="202" spans="2:22" x14ac:dyDescent="0.3">
      <c r="B202" s="105" t="s">
        <v>635</v>
      </c>
      <c r="C202" s="105" t="s">
        <v>729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>
        <v>1</v>
      </c>
      <c r="V202" s="48"/>
    </row>
    <row r="203" spans="2:22" x14ac:dyDescent="0.3">
      <c r="B203" s="105" t="s">
        <v>636</v>
      </c>
      <c r="C203" s="105" t="s">
        <v>729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>
        <v>1</v>
      </c>
      <c r="V203" s="48"/>
    </row>
    <row r="204" spans="2:22" x14ac:dyDescent="0.3">
      <c r="B204" s="105" t="s">
        <v>637</v>
      </c>
      <c r="C204" s="105" t="s">
        <v>729</v>
      </c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>
        <v>1</v>
      </c>
      <c r="V204" s="48"/>
    </row>
    <row r="205" spans="2:22" x14ac:dyDescent="0.3">
      <c r="B205" s="105" t="s">
        <v>638</v>
      </c>
      <c r="C205" s="105" t="s">
        <v>729</v>
      </c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>
        <v>1</v>
      </c>
      <c r="V205" s="48"/>
    </row>
    <row r="206" spans="2:22" x14ac:dyDescent="0.3">
      <c r="B206" s="105" t="s">
        <v>639</v>
      </c>
      <c r="C206" s="105" t="s">
        <v>729</v>
      </c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>
        <v>1</v>
      </c>
      <c r="V206" s="48"/>
    </row>
    <row r="207" spans="2:22" x14ac:dyDescent="0.3">
      <c r="B207" s="48" t="s">
        <v>640</v>
      </c>
      <c r="C207" s="48" t="s">
        <v>911</v>
      </c>
      <c r="D207" s="48"/>
      <c r="E207" s="48"/>
      <c r="F207" s="48"/>
      <c r="G207" s="48"/>
      <c r="H207" s="48" t="s">
        <v>111</v>
      </c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>
        <v>1</v>
      </c>
    </row>
    <row r="208" spans="2:22" x14ac:dyDescent="0.3">
      <c r="B208" s="48" t="s">
        <v>641</v>
      </c>
      <c r="C208" s="48" t="s">
        <v>911</v>
      </c>
      <c r="D208" s="48"/>
      <c r="E208" s="48"/>
      <c r="F208" s="48"/>
      <c r="G208" s="48"/>
      <c r="H208" s="48" t="s">
        <v>111</v>
      </c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>
        <v>1</v>
      </c>
    </row>
    <row r="209" spans="2:22" x14ac:dyDescent="0.3">
      <c r="B209" s="48" t="s">
        <v>642</v>
      </c>
      <c r="C209" s="48" t="s">
        <v>911</v>
      </c>
      <c r="D209" s="48"/>
      <c r="E209" s="48"/>
      <c r="F209" s="48"/>
      <c r="G209" s="48"/>
      <c r="H209" s="48" t="s">
        <v>111</v>
      </c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>
        <v>1</v>
      </c>
    </row>
    <row r="210" spans="2:22" x14ac:dyDescent="0.3">
      <c r="B210" s="48" t="s">
        <v>1166</v>
      </c>
      <c r="C210" s="48" t="s">
        <v>911</v>
      </c>
      <c r="D210" s="48"/>
      <c r="E210" s="48"/>
      <c r="F210" s="48"/>
      <c r="G210" s="48"/>
      <c r="H210" s="48" t="s">
        <v>111</v>
      </c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>
        <v>1</v>
      </c>
    </row>
    <row r="211" spans="2:22" x14ac:dyDescent="0.3">
      <c r="B211" s="48" t="s">
        <v>643</v>
      </c>
      <c r="C211" s="48" t="s">
        <v>911</v>
      </c>
      <c r="D211" s="48"/>
      <c r="E211" s="48"/>
      <c r="F211" s="48"/>
      <c r="G211" s="48"/>
      <c r="H211" s="48" t="s">
        <v>111</v>
      </c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>
        <v>1</v>
      </c>
    </row>
    <row r="212" spans="2:22" x14ac:dyDescent="0.3">
      <c r="B212" s="48" t="s">
        <v>640</v>
      </c>
      <c r="C212" s="48" t="s">
        <v>1054</v>
      </c>
      <c r="D212" s="48"/>
      <c r="E212" s="48"/>
      <c r="F212" s="48"/>
      <c r="G212" s="48"/>
      <c r="H212" s="48" t="s">
        <v>111</v>
      </c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>
        <v>1</v>
      </c>
    </row>
    <row r="213" spans="2:22" x14ac:dyDescent="0.3">
      <c r="B213" s="48" t="s">
        <v>641</v>
      </c>
      <c r="C213" s="48" t="s">
        <v>1054</v>
      </c>
      <c r="D213" s="48"/>
      <c r="E213" s="48"/>
      <c r="F213" s="48"/>
      <c r="G213" s="48"/>
      <c r="H213" s="48" t="s">
        <v>111</v>
      </c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>
        <v>1</v>
      </c>
    </row>
    <row r="214" spans="2:22" x14ac:dyDescent="0.3">
      <c r="B214" s="48" t="s">
        <v>642</v>
      </c>
      <c r="C214" s="48" t="s">
        <v>1054</v>
      </c>
      <c r="D214" s="48"/>
      <c r="E214" s="48"/>
      <c r="F214" s="48"/>
      <c r="G214" s="48"/>
      <c r="H214" s="48" t="s">
        <v>111</v>
      </c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>
        <v>1</v>
      </c>
    </row>
    <row r="215" spans="2:22" x14ac:dyDescent="0.3">
      <c r="B215" s="48" t="s">
        <v>1166</v>
      </c>
      <c r="C215" s="48" t="s">
        <v>1054</v>
      </c>
      <c r="D215" s="48"/>
      <c r="E215" s="48"/>
      <c r="F215" s="48"/>
      <c r="G215" s="48"/>
      <c r="H215" s="48" t="s">
        <v>111</v>
      </c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>
        <v>1</v>
      </c>
    </row>
    <row r="216" spans="2:22" x14ac:dyDescent="0.3">
      <c r="B216" s="48" t="s">
        <v>643</v>
      </c>
      <c r="C216" s="48" t="s">
        <v>1054</v>
      </c>
      <c r="D216" s="48"/>
      <c r="E216" s="48"/>
      <c r="F216" s="48"/>
      <c r="G216" s="48"/>
      <c r="H216" s="48" t="s">
        <v>111</v>
      </c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43"/>
  <sheetViews>
    <sheetView workbookViewId="0"/>
  </sheetViews>
  <sheetFormatPr baseColWidth="10" defaultColWidth="8.88671875" defaultRowHeight="14.4" x14ac:dyDescent="0.3"/>
  <cols>
    <col min="1" max="1" width="72.88671875" bestFit="1" customWidth="1"/>
    <col min="2" max="2" width="14.44140625" bestFit="1" customWidth="1"/>
    <col min="3" max="3" width="12.5546875" bestFit="1" customWidth="1"/>
  </cols>
  <sheetData>
    <row r="1" spans="1:3" x14ac:dyDescent="0.3">
      <c r="A1" s="3" t="s">
        <v>424</v>
      </c>
      <c r="B1" s="3" t="s">
        <v>425</v>
      </c>
      <c r="C1" s="3" t="s">
        <v>426</v>
      </c>
    </row>
    <row r="2" spans="1:3" ht="13.2" customHeight="1" x14ac:dyDescent="0.3">
      <c r="A2" s="25" t="s">
        <v>933</v>
      </c>
      <c r="B2" s="46" t="s">
        <v>119</v>
      </c>
      <c r="C2" s="26">
        <v>1.01</v>
      </c>
    </row>
    <row r="3" spans="1:3" x14ac:dyDescent="0.3">
      <c r="A3" s="25" t="s">
        <v>407</v>
      </c>
      <c r="B3" s="25" t="s">
        <v>402</v>
      </c>
      <c r="C3" s="25">
        <v>0.2</v>
      </c>
    </row>
    <row r="4" spans="1:3" x14ac:dyDescent="0.3">
      <c r="A4" s="25" t="s">
        <v>408</v>
      </c>
      <c r="B4" s="25" t="s">
        <v>403</v>
      </c>
      <c r="C4" s="25">
        <v>0.05</v>
      </c>
    </row>
    <row r="5" spans="1:3" x14ac:dyDescent="0.3">
      <c r="A5" s="25" t="s">
        <v>409</v>
      </c>
      <c r="B5" s="25" t="s">
        <v>404</v>
      </c>
      <c r="C5" s="25">
        <v>4</v>
      </c>
    </row>
    <row r="6" spans="1:3" x14ac:dyDescent="0.3">
      <c r="A6" s="25" t="s">
        <v>421</v>
      </c>
      <c r="B6" s="25" t="s">
        <v>390</v>
      </c>
      <c r="C6" s="25" t="s">
        <v>111</v>
      </c>
    </row>
    <row r="7" spans="1:3" x14ac:dyDescent="0.3">
      <c r="A7" s="25" t="s">
        <v>422</v>
      </c>
      <c r="B7" s="25" t="s">
        <v>406</v>
      </c>
      <c r="C7" s="25">
        <v>0.9</v>
      </c>
    </row>
    <row r="8" spans="1:3" x14ac:dyDescent="0.3">
      <c r="A8" s="27" t="s">
        <v>423</v>
      </c>
      <c r="B8" s="27" t="s">
        <v>391</v>
      </c>
      <c r="C8" s="25">
        <v>0.75</v>
      </c>
    </row>
    <row r="9" spans="1:3" x14ac:dyDescent="0.3">
      <c r="A9" s="27" t="s">
        <v>410</v>
      </c>
      <c r="B9" s="27" t="s">
        <v>392</v>
      </c>
      <c r="C9" s="25">
        <v>0.04</v>
      </c>
    </row>
    <row r="10" spans="1:3" x14ac:dyDescent="0.3">
      <c r="A10" s="27" t="s">
        <v>411</v>
      </c>
      <c r="B10" s="27" t="s">
        <v>393</v>
      </c>
      <c r="C10" s="26">
        <v>5</v>
      </c>
    </row>
    <row r="11" spans="1:3" x14ac:dyDescent="0.3">
      <c r="A11" s="27" t="s">
        <v>412</v>
      </c>
      <c r="B11" s="27" t="s">
        <v>394</v>
      </c>
      <c r="C11" s="25">
        <v>2.5000000000000001E-2</v>
      </c>
    </row>
    <row r="12" spans="1:3" x14ac:dyDescent="0.3">
      <c r="A12" s="31" t="s">
        <v>414</v>
      </c>
      <c r="B12" s="31" t="s">
        <v>11</v>
      </c>
      <c r="C12" s="30">
        <v>0.2</v>
      </c>
    </row>
    <row r="13" spans="1:3" x14ac:dyDescent="0.3">
      <c r="A13" s="31" t="s">
        <v>415</v>
      </c>
      <c r="B13" s="29" t="s">
        <v>12</v>
      </c>
      <c r="C13" s="32">
        <v>0.7</v>
      </c>
    </row>
    <row r="14" spans="1:3" x14ac:dyDescent="0.3">
      <c r="A14" s="33" t="s">
        <v>416</v>
      </c>
      <c r="B14" s="33" t="s">
        <v>14</v>
      </c>
      <c r="C14" s="34" t="s">
        <v>15</v>
      </c>
    </row>
    <row r="15" spans="1:3" x14ac:dyDescent="0.3">
      <c r="A15" s="33" t="s">
        <v>417</v>
      </c>
      <c r="B15" s="33" t="s">
        <v>13</v>
      </c>
      <c r="C15" s="35">
        <v>5</v>
      </c>
    </row>
    <row r="16" spans="1:3" x14ac:dyDescent="0.3">
      <c r="A16" s="33" t="s">
        <v>413</v>
      </c>
      <c r="B16" s="33" t="s">
        <v>405</v>
      </c>
      <c r="C16" s="34">
        <v>3</v>
      </c>
    </row>
    <row r="17" spans="1:3" x14ac:dyDescent="0.3">
      <c r="A17" s="33" t="s">
        <v>418</v>
      </c>
      <c r="B17" s="33" t="s">
        <v>18</v>
      </c>
      <c r="C17" s="35">
        <v>0.01</v>
      </c>
    </row>
    <row r="18" spans="1:3" x14ac:dyDescent="0.3">
      <c r="A18" s="33" t="s">
        <v>419</v>
      </c>
      <c r="B18" s="33" t="s">
        <v>29</v>
      </c>
      <c r="C18" s="35" t="s">
        <v>15</v>
      </c>
    </row>
    <row r="19" spans="1:3" x14ac:dyDescent="0.3">
      <c r="A19" s="33" t="s">
        <v>420</v>
      </c>
      <c r="B19" s="36" t="s">
        <v>30</v>
      </c>
      <c r="C19" s="36" t="s">
        <v>15</v>
      </c>
    </row>
    <row r="20" spans="1:3" x14ac:dyDescent="0.3">
      <c r="A20" s="36" t="s">
        <v>934</v>
      </c>
      <c r="B20" s="36" t="s">
        <v>431</v>
      </c>
      <c r="C20" s="36">
        <v>0.5</v>
      </c>
    </row>
    <row r="21" spans="1:3" x14ac:dyDescent="0.3">
      <c r="A21" s="36" t="s">
        <v>935</v>
      </c>
      <c r="B21" s="36" t="s">
        <v>432</v>
      </c>
      <c r="C21" s="36">
        <v>10</v>
      </c>
    </row>
    <row r="22" spans="1:3" x14ac:dyDescent="0.3">
      <c r="A22" s="36" t="s">
        <v>438</v>
      </c>
      <c r="B22" s="36" t="s">
        <v>433</v>
      </c>
      <c r="C22" s="36">
        <v>1</v>
      </c>
    </row>
    <row r="23" spans="1:3" x14ac:dyDescent="0.3">
      <c r="A23" s="36" t="s">
        <v>439</v>
      </c>
      <c r="B23" s="36" t="s">
        <v>434</v>
      </c>
      <c r="C23" s="36">
        <v>0.05</v>
      </c>
    </row>
    <row r="24" spans="1:3" x14ac:dyDescent="0.3">
      <c r="A24" s="36" t="s">
        <v>440</v>
      </c>
      <c r="B24" s="36" t="s">
        <v>435</v>
      </c>
      <c r="C24" s="36">
        <v>0.02</v>
      </c>
    </row>
    <row r="25" spans="1:3" x14ac:dyDescent="0.3">
      <c r="A25" s="36" t="s">
        <v>436</v>
      </c>
      <c r="B25" s="36" t="s">
        <v>427</v>
      </c>
      <c r="C25" s="36">
        <v>7</v>
      </c>
    </row>
    <row r="26" spans="1:3" x14ac:dyDescent="0.3">
      <c r="A26" s="36" t="s">
        <v>437</v>
      </c>
      <c r="B26" s="36" t="s">
        <v>428</v>
      </c>
      <c r="C26" s="36">
        <v>7</v>
      </c>
    </row>
    <row r="27" spans="1:3" x14ac:dyDescent="0.3">
      <c r="A27" s="37" t="s">
        <v>436</v>
      </c>
      <c r="B27" s="36" t="s">
        <v>429</v>
      </c>
      <c r="C27" s="36">
        <v>7</v>
      </c>
    </row>
    <row r="28" spans="1:3" x14ac:dyDescent="0.3">
      <c r="A28" s="37" t="s">
        <v>437</v>
      </c>
      <c r="B28" s="37" t="s">
        <v>430</v>
      </c>
      <c r="C28" s="36">
        <v>7</v>
      </c>
    </row>
    <row r="29" spans="1:3" x14ac:dyDescent="0.3">
      <c r="A29" s="37" t="s">
        <v>441</v>
      </c>
      <c r="B29" s="37" t="s">
        <v>444</v>
      </c>
      <c r="C29" s="36">
        <v>1</v>
      </c>
    </row>
    <row r="30" spans="1:3" x14ac:dyDescent="0.3">
      <c r="A30" s="37" t="s">
        <v>442</v>
      </c>
      <c r="B30" s="38" t="s">
        <v>443</v>
      </c>
      <c r="C30" s="38">
        <v>0.5</v>
      </c>
    </row>
    <row r="31" spans="1:3" x14ac:dyDescent="0.3">
      <c r="A31" s="38" t="s">
        <v>896</v>
      </c>
      <c r="B31" s="38" t="s">
        <v>16</v>
      </c>
      <c r="C31" s="38">
        <v>0.7350000000000001</v>
      </c>
    </row>
    <row r="32" spans="1:3" x14ac:dyDescent="0.3">
      <c r="A32" s="38" t="s">
        <v>897</v>
      </c>
      <c r="B32" s="39" t="s">
        <v>17</v>
      </c>
      <c r="C32" s="39">
        <v>-0.54</v>
      </c>
    </row>
    <row r="33" spans="1:3" x14ac:dyDescent="0.3">
      <c r="A33" s="39" t="s">
        <v>452</v>
      </c>
      <c r="B33" s="39" t="s">
        <v>7</v>
      </c>
      <c r="C33" s="40">
        <v>1</v>
      </c>
    </row>
    <row r="34" spans="1:3" x14ac:dyDescent="0.3">
      <c r="A34" s="39" t="s">
        <v>445</v>
      </c>
      <c r="B34" s="39" t="s">
        <v>139</v>
      </c>
      <c r="C34" s="40">
        <v>9.9999999999999995E-7</v>
      </c>
    </row>
    <row r="35" spans="1:3" x14ac:dyDescent="0.3">
      <c r="A35" s="39" t="s">
        <v>446</v>
      </c>
      <c r="B35" s="39" t="s">
        <v>138</v>
      </c>
      <c r="C35" s="40">
        <v>9.9999999999999995E-7</v>
      </c>
    </row>
    <row r="36" spans="1:3" x14ac:dyDescent="0.3">
      <c r="A36" s="39" t="s">
        <v>447</v>
      </c>
      <c r="B36" s="39" t="s">
        <v>179</v>
      </c>
      <c r="C36" s="41">
        <v>3.8445545158369501</v>
      </c>
    </row>
    <row r="37" spans="1:3" x14ac:dyDescent="0.3">
      <c r="A37" s="39" t="s">
        <v>448</v>
      </c>
      <c r="B37" s="39" t="s">
        <v>178</v>
      </c>
      <c r="C37" s="42">
        <v>8.2020616487759668</v>
      </c>
    </row>
    <row r="38" spans="1:3" x14ac:dyDescent="0.3">
      <c r="A38" s="39" t="s">
        <v>449</v>
      </c>
      <c r="B38" s="39" t="s">
        <v>125</v>
      </c>
      <c r="C38" s="42">
        <v>1E-3</v>
      </c>
    </row>
    <row r="39" spans="1:3" x14ac:dyDescent="0.3">
      <c r="A39" s="39" t="s">
        <v>450</v>
      </c>
      <c r="B39" s="39" t="s">
        <v>126</v>
      </c>
      <c r="C39" s="42">
        <v>1E-3</v>
      </c>
    </row>
    <row r="40" spans="1:3" x14ac:dyDescent="0.3">
      <c r="A40" s="39" t="s">
        <v>451</v>
      </c>
      <c r="B40" t="s">
        <v>127</v>
      </c>
      <c r="C40" s="7">
        <v>1</v>
      </c>
    </row>
    <row r="41" spans="1:3" x14ac:dyDescent="0.3">
      <c r="A41" s="28" t="s">
        <v>889</v>
      </c>
      <c r="B41" s="28" t="s">
        <v>890</v>
      </c>
      <c r="C41" s="28">
        <v>0.5</v>
      </c>
    </row>
    <row r="42" spans="1:3" x14ac:dyDescent="0.3">
      <c r="A42" s="28" t="s">
        <v>891</v>
      </c>
      <c r="B42" s="28" t="s">
        <v>892</v>
      </c>
      <c r="C42" s="28">
        <v>0.25</v>
      </c>
    </row>
    <row r="43" spans="1:3" x14ac:dyDescent="0.3">
      <c r="A43" s="28" t="s">
        <v>893</v>
      </c>
      <c r="B43" t="s">
        <v>894</v>
      </c>
      <c r="C43" t="s">
        <v>111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M186"/>
  <sheetViews>
    <sheetView tabSelected="1" topLeftCell="N2" workbookViewId="0">
      <selection activeCell="AF6" sqref="AF6"/>
    </sheetView>
  </sheetViews>
  <sheetFormatPr baseColWidth="10" defaultColWidth="10.88671875" defaultRowHeight="14.4" x14ac:dyDescent="0.3"/>
  <cols>
    <col min="2" max="2" width="21.77734375" customWidth="1"/>
    <col min="23" max="23" width="14.109375" customWidth="1"/>
    <col min="24" max="24" width="14.5546875" bestFit="1" customWidth="1"/>
    <col min="25" max="25" width="15.109375" bestFit="1" customWidth="1"/>
    <col min="26" max="26" width="14.33203125" bestFit="1" customWidth="1"/>
    <col min="27" max="27" width="8.6640625" bestFit="1" customWidth="1"/>
    <col min="28" max="28" width="10.21875" hidden="1" customWidth="1"/>
    <col min="29" max="29" width="6.109375" bestFit="1" customWidth="1"/>
    <col min="30" max="30" width="7.5546875" customWidth="1"/>
    <col min="31" max="31" width="6.6640625" bestFit="1" customWidth="1"/>
    <col min="32" max="32" width="18.109375" bestFit="1" customWidth="1"/>
    <col min="33" max="33" width="18.77734375" bestFit="1" customWidth="1"/>
    <col min="34" max="34" width="19.33203125" bestFit="1" customWidth="1"/>
    <col min="35" max="35" width="18.5546875" bestFit="1" customWidth="1"/>
    <col min="36" max="36" width="12.77734375" bestFit="1" customWidth="1"/>
    <col min="37" max="37" width="10.21875" bestFit="1" customWidth="1"/>
    <col min="38" max="38" width="10.77734375" bestFit="1" customWidth="1"/>
    <col min="39" max="39" width="18.109375" bestFit="1" customWidth="1"/>
    <col min="40" max="40" width="18.77734375" bestFit="1" customWidth="1"/>
    <col min="41" max="41" width="19.33203125" bestFit="1" customWidth="1"/>
    <col min="42" max="42" width="18.5546875" bestFit="1" customWidth="1"/>
    <col min="43" max="43" width="12.77734375" bestFit="1" customWidth="1"/>
    <col min="44" max="44" width="10.21875" bestFit="1" customWidth="1"/>
    <col min="45" max="45" width="10.77734375" customWidth="1"/>
  </cols>
  <sheetData>
    <row r="1" spans="2:117" ht="142.80000000000001" hidden="1" customHeight="1" x14ac:dyDescent="0.3">
      <c r="C1" s="104" t="s">
        <v>1186</v>
      </c>
      <c r="D1" s="104" t="s">
        <v>1186</v>
      </c>
      <c r="E1" s="104" t="s">
        <v>1186</v>
      </c>
      <c r="F1" s="104" t="s">
        <v>1186</v>
      </c>
      <c r="H1" s="104" t="s">
        <v>1187</v>
      </c>
      <c r="J1" s="104" t="s">
        <v>1188</v>
      </c>
      <c r="K1" s="104" t="s">
        <v>1189</v>
      </c>
      <c r="L1" s="104" t="s">
        <v>1189</v>
      </c>
      <c r="M1" s="104" t="s">
        <v>1190</v>
      </c>
      <c r="R1" s="104" t="s">
        <v>1190</v>
      </c>
      <c r="W1" s="104" t="s">
        <v>1190</v>
      </c>
      <c r="AB1" s="104" t="s">
        <v>1191</v>
      </c>
      <c r="AW1" s="104" t="s">
        <v>1192</v>
      </c>
      <c r="BO1" s="104" t="s">
        <v>1193</v>
      </c>
      <c r="CG1" s="104" t="s">
        <v>1194</v>
      </c>
      <c r="CY1" s="104" t="s">
        <v>1195</v>
      </c>
    </row>
    <row r="2" spans="2:117" x14ac:dyDescent="0.3">
      <c r="C2" s="105" t="s">
        <v>898</v>
      </c>
      <c r="D2" s="106" t="s">
        <v>913</v>
      </c>
      <c r="E2" s="93" t="s">
        <v>899</v>
      </c>
      <c r="F2" s="107" t="s">
        <v>911</v>
      </c>
      <c r="G2" s="72" t="s">
        <v>900</v>
      </c>
      <c r="H2" s="108" t="s">
        <v>912</v>
      </c>
      <c r="I2" s="59" t="s">
        <v>901</v>
      </c>
      <c r="J2" s="90" t="s">
        <v>902</v>
      </c>
      <c r="K2" s="92" t="s">
        <v>910</v>
      </c>
      <c r="L2" s="92" t="s">
        <v>1197</v>
      </c>
      <c r="M2" s="91" t="s">
        <v>708</v>
      </c>
      <c r="N2" s="91" t="s">
        <v>710</v>
      </c>
      <c r="O2" s="91" t="s">
        <v>711</v>
      </c>
      <c r="P2" s="91" t="s">
        <v>712</v>
      </c>
      <c r="Q2" s="91" t="s">
        <v>709</v>
      </c>
      <c r="R2" s="91" t="s">
        <v>1325</v>
      </c>
      <c r="S2" s="91" t="s">
        <v>1326</v>
      </c>
      <c r="T2" s="91" t="s">
        <v>1327</v>
      </c>
      <c r="U2" s="91" t="s">
        <v>1328</v>
      </c>
      <c r="V2" s="91" t="s">
        <v>1343</v>
      </c>
      <c r="W2" s="91" t="s">
        <v>1334</v>
      </c>
      <c r="X2" s="91" t="s">
        <v>1335</v>
      </c>
      <c r="Y2" s="91" t="s">
        <v>1336</v>
      </c>
      <c r="Z2" s="91" t="s">
        <v>1337</v>
      </c>
      <c r="AA2" s="91" t="s">
        <v>1378</v>
      </c>
      <c r="AB2" s="91" t="s">
        <v>1150</v>
      </c>
      <c r="AC2" s="91" t="s">
        <v>1151</v>
      </c>
      <c r="AD2" s="91" t="s">
        <v>1152</v>
      </c>
      <c r="AE2" s="91" t="s">
        <v>1153</v>
      </c>
      <c r="AF2" s="90" t="s">
        <v>1637</v>
      </c>
      <c r="AG2" s="90" t="s">
        <v>1638</v>
      </c>
      <c r="AH2" s="90" t="s">
        <v>1639</v>
      </c>
      <c r="AI2" s="90" t="s">
        <v>1640</v>
      </c>
      <c r="AJ2" s="90" t="s">
        <v>1641</v>
      </c>
      <c r="AK2" s="90" t="s">
        <v>1642</v>
      </c>
      <c r="AL2" s="90" t="s">
        <v>1643</v>
      </c>
      <c r="AM2" s="118" t="s">
        <v>1644</v>
      </c>
      <c r="AN2" s="118" t="s">
        <v>1645</v>
      </c>
      <c r="AO2" s="118" t="s">
        <v>1646</v>
      </c>
      <c r="AP2" s="118" t="s">
        <v>1647</v>
      </c>
      <c r="AQ2" s="118" t="s">
        <v>1648</v>
      </c>
      <c r="AR2" s="118" t="s">
        <v>1649</v>
      </c>
      <c r="AS2" s="118" t="s">
        <v>1650</v>
      </c>
      <c r="AT2" s="109" t="s">
        <v>1055</v>
      </c>
      <c r="AU2" s="109" t="s">
        <v>1056</v>
      </c>
      <c r="AV2" s="109" t="s">
        <v>1057</v>
      </c>
      <c r="AW2" s="109" t="s">
        <v>1058</v>
      </c>
      <c r="AX2" s="109" t="s">
        <v>1059</v>
      </c>
      <c r="AY2" s="109" t="s">
        <v>1060</v>
      </c>
      <c r="AZ2" s="109" t="s">
        <v>1061</v>
      </c>
      <c r="BA2" s="109" t="s">
        <v>1062</v>
      </c>
      <c r="BB2" s="109" t="s">
        <v>1063</v>
      </c>
      <c r="BC2" s="109" t="s">
        <v>1064</v>
      </c>
      <c r="BD2" s="109" t="s">
        <v>1065</v>
      </c>
      <c r="BE2" s="109" t="s">
        <v>1066</v>
      </c>
      <c r="BF2" s="109" t="s">
        <v>1067</v>
      </c>
      <c r="BG2" s="109" t="s">
        <v>1068</v>
      </c>
      <c r="BH2" s="109" t="s">
        <v>1069</v>
      </c>
      <c r="BI2" s="109" t="s">
        <v>1070</v>
      </c>
      <c r="BJ2" s="109" t="s">
        <v>1071</v>
      </c>
      <c r="BK2" s="109" t="s">
        <v>1072</v>
      </c>
      <c r="BL2" s="106" t="s">
        <v>1091</v>
      </c>
      <c r="BM2" s="106" t="s">
        <v>1092</v>
      </c>
      <c r="BN2" s="106" t="s">
        <v>1093</v>
      </c>
      <c r="BO2" s="106" t="s">
        <v>1094</v>
      </c>
      <c r="BP2" s="106" t="s">
        <v>1095</v>
      </c>
      <c r="BQ2" s="106" t="s">
        <v>1096</v>
      </c>
      <c r="BR2" s="106" t="s">
        <v>1097</v>
      </c>
      <c r="BS2" s="106" t="s">
        <v>1098</v>
      </c>
      <c r="BT2" s="106" t="s">
        <v>1099</v>
      </c>
      <c r="BU2" s="106" t="s">
        <v>1100</v>
      </c>
      <c r="BV2" s="106" t="s">
        <v>1101</v>
      </c>
      <c r="BW2" s="106" t="s">
        <v>1102</v>
      </c>
      <c r="BX2" s="106" t="s">
        <v>1103</v>
      </c>
      <c r="BY2" s="106" t="s">
        <v>1104</v>
      </c>
      <c r="BZ2" s="106" t="s">
        <v>1105</v>
      </c>
      <c r="CA2" s="106" t="s">
        <v>1106</v>
      </c>
      <c r="CB2" s="106" t="s">
        <v>1107</v>
      </c>
      <c r="CC2" s="106" t="s">
        <v>1108</v>
      </c>
      <c r="CD2" s="93" t="s">
        <v>1073</v>
      </c>
      <c r="CE2" s="93" t="s">
        <v>1074</v>
      </c>
      <c r="CF2" s="93" t="s">
        <v>1075</v>
      </c>
      <c r="CG2" s="93" t="s">
        <v>1076</v>
      </c>
      <c r="CH2" s="93" t="s">
        <v>1077</v>
      </c>
      <c r="CI2" s="93" t="s">
        <v>1078</v>
      </c>
      <c r="CJ2" s="93" t="s">
        <v>1079</v>
      </c>
      <c r="CK2" s="93" t="s">
        <v>1080</v>
      </c>
      <c r="CL2" s="93" t="s">
        <v>1081</v>
      </c>
      <c r="CM2" s="93" t="s">
        <v>1082</v>
      </c>
      <c r="CN2" s="93" t="s">
        <v>1083</v>
      </c>
      <c r="CO2" s="93" t="s">
        <v>1084</v>
      </c>
      <c r="CP2" s="93" t="s">
        <v>1085</v>
      </c>
      <c r="CQ2" s="93" t="s">
        <v>1086</v>
      </c>
      <c r="CR2" s="93" t="s">
        <v>1087</v>
      </c>
      <c r="CS2" s="93" t="s">
        <v>1088</v>
      </c>
      <c r="CT2" s="93" t="s">
        <v>1089</v>
      </c>
      <c r="CU2" s="93" t="s">
        <v>1090</v>
      </c>
      <c r="CV2" s="110" t="s">
        <v>1001</v>
      </c>
      <c r="CW2" s="110" t="s">
        <v>1002</v>
      </c>
      <c r="CX2" s="110" t="s">
        <v>1003</v>
      </c>
      <c r="CY2" s="110" t="s">
        <v>1004</v>
      </c>
      <c r="CZ2" s="110" t="s">
        <v>1005</v>
      </c>
      <c r="DA2" s="110" t="s">
        <v>1006</v>
      </c>
      <c r="DB2" s="110" t="s">
        <v>1007</v>
      </c>
      <c r="DC2" s="110" t="s">
        <v>1008</v>
      </c>
      <c r="DD2" s="110" t="s">
        <v>1009</v>
      </c>
      <c r="DE2" s="110" t="s">
        <v>1010</v>
      </c>
      <c r="DF2" s="110" t="s">
        <v>1011</v>
      </c>
      <c r="DG2" s="110" t="s">
        <v>1012</v>
      </c>
      <c r="DH2" s="110" t="s">
        <v>1013</v>
      </c>
      <c r="DI2" s="110" t="s">
        <v>1014</v>
      </c>
      <c r="DJ2" s="110" t="s">
        <v>1015</v>
      </c>
      <c r="DK2" s="110" t="s">
        <v>1016</v>
      </c>
      <c r="DL2" s="110" t="s">
        <v>1017</v>
      </c>
      <c r="DM2" s="110" t="s">
        <v>1018</v>
      </c>
    </row>
    <row r="3" spans="2:117" x14ac:dyDescent="0.3">
      <c r="B3" s="3" t="s">
        <v>903</v>
      </c>
      <c r="C3" s="105">
        <v>1</v>
      </c>
      <c r="D3" s="106">
        <v>1</v>
      </c>
      <c r="E3" s="93">
        <v>1</v>
      </c>
      <c r="F3" s="107">
        <v>1</v>
      </c>
      <c r="G3" s="72"/>
      <c r="H3" s="108"/>
      <c r="I3" s="59"/>
      <c r="J3" s="90"/>
      <c r="K3" s="92"/>
      <c r="L3" s="92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0"/>
      <c r="AG3" s="90"/>
      <c r="AH3" s="90"/>
      <c r="AI3" s="90"/>
      <c r="AJ3" s="90"/>
      <c r="AK3" s="90"/>
      <c r="AL3" s="90"/>
      <c r="AM3" s="118"/>
      <c r="AN3" s="118"/>
      <c r="AO3" s="118"/>
      <c r="AP3" s="118"/>
      <c r="AQ3" s="118"/>
      <c r="AR3" s="118"/>
      <c r="AS3" s="118"/>
      <c r="AT3" s="105">
        <v>1</v>
      </c>
      <c r="AU3" s="105">
        <v>1</v>
      </c>
      <c r="AV3" s="105">
        <v>1</v>
      </c>
      <c r="AW3" s="105">
        <v>1</v>
      </c>
      <c r="AX3" s="105">
        <v>1</v>
      </c>
      <c r="AY3" s="105">
        <v>1</v>
      </c>
      <c r="AZ3" s="105">
        <v>1</v>
      </c>
      <c r="BA3" s="105">
        <v>1</v>
      </c>
      <c r="BB3" s="105">
        <v>1</v>
      </c>
      <c r="BC3" s="105">
        <v>1</v>
      </c>
      <c r="BD3" s="105">
        <v>1</v>
      </c>
      <c r="BE3" s="105">
        <v>1</v>
      </c>
      <c r="BF3" s="105">
        <v>1</v>
      </c>
      <c r="BG3" s="105">
        <v>1</v>
      </c>
      <c r="BH3" s="105">
        <v>1</v>
      </c>
      <c r="BI3" s="105">
        <v>1</v>
      </c>
      <c r="BJ3" s="105">
        <v>1</v>
      </c>
      <c r="BK3" s="105">
        <v>1</v>
      </c>
      <c r="BL3" s="106">
        <v>1</v>
      </c>
      <c r="BM3" s="106">
        <v>1</v>
      </c>
      <c r="BN3" s="106">
        <v>1</v>
      </c>
      <c r="BO3" s="106">
        <v>1</v>
      </c>
      <c r="BP3" s="106">
        <v>1</v>
      </c>
      <c r="BQ3" s="106">
        <v>1</v>
      </c>
      <c r="BR3" s="106">
        <v>1</v>
      </c>
      <c r="BS3" s="106">
        <v>1</v>
      </c>
      <c r="BT3" s="106">
        <v>1</v>
      </c>
      <c r="BU3" s="106">
        <v>1</v>
      </c>
      <c r="BV3" s="106">
        <v>1</v>
      </c>
      <c r="BW3" s="106">
        <v>1</v>
      </c>
      <c r="BX3" s="106">
        <v>1</v>
      </c>
      <c r="BY3" s="106">
        <v>1</v>
      </c>
      <c r="BZ3" s="106">
        <v>1</v>
      </c>
      <c r="CA3" s="106">
        <v>1</v>
      </c>
      <c r="CB3" s="106">
        <v>1</v>
      </c>
      <c r="CC3" s="106">
        <v>1</v>
      </c>
      <c r="CD3" s="93">
        <v>1</v>
      </c>
      <c r="CE3" s="93">
        <v>1</v>
      </c>
      <c r="CF3" s="93">
        <v>1</v>
      </c>
      <c r="CG3" s="93">
        <v>1</v>
      </c>
      <c r="CH3" s="93">
        <v>1</v>
      </c>
      <c r="CI3" s="93">
        <v>1</v>
      </c>
      <c r="CJ3" s="93">
        <v>1</v>
      </c>
      <c r="CK3" s="93">
        <v>1</v>
      </c>
      <c r="CL3" s="93">
        <v>1</v>
      </c>
      <c r="CM3" s="93">
        <v>1</v>
      </c>
      <c r="CN3" s="93">
        <v>1</v>
      </c>
      <c r="CO3" s="93">
        <v>1</v>
      </c>
      <c r="CP3" s="93">
        <v>1</v>
      </c>
      <c r="CQ3" s="93">
        <v>1</v>
      </c>
      <c r="CR3" s="93">
        <v>1</v>
      </c>
      <c r="CS3" s="93">
        <v>1</v>
      </c>
      <c r="CT3" s="93">
        <v>1</v>
      </c>
      <c r="CU3" s="93">
        <v>1</v>
      </c>
      <c r="CV3" s="107">
        <v>1</v>
      </c>
      <c r="CW3" s="107">
        <v>1</v>
      </c>
      <c r="CX3" s="107">
        <v>1</v>
      </c>
      <c r="CY3" s="107">
        <v>1</v>
      </c>
      <c r="CZ3" s="107">
        <v>1</v>
      </c>
      <c r="DA3" s="107">
        <v>1</v>
      </c>
      <c r="DB3" s="107">
        <v>1</v>
      </c>
      <c r="DC3" s="107">
        <v>1</v>
      </c>
      <c r="DD3" s="107">
        <v>1</v>
      </c>
      <c r="DE3" s="107">
        <v>1</v>
      </c>
      <c r="DF3" s="107">
        <v>1</v>
      </c>
      <c r="DG3" s="107">
        <v>1</v>
      </c>
      <c r="DH3" s="107">
        <v>1</v>
      </c>
      <c r="DI3" s="107">
        <v>1</v>
      </c>
      <c r="DJ3" s="107">
        <v>1</v>
      </c>
      <c r="DK3" s="107">
        <v>1</v>
      </c>
      <c r="DL3" s="107">
        <v>1</v>
      </c>
      <c r="DM3" s="107">
        <v>1</v>
      </c>
    </row>
    <row r="4" spans="2:117" x14ac:dyDescent="0.3">
      <c r="B4" s="3" t="s">
        <v>904</v>
      </c>
      <c r="C4" s="105">
        <v>0.75</v>
      </c>
      <c r="D4" s="106">
        <v>0.75</v>
      </c>
      <c r="E4" s="93">
        <v>0.5</v>
      </c>
      <c r="F4" s="107">
        <v>0.25</v>
      </c>
      <c r="G4" s="72" t="s">
        <v>15</v>
      </c>
      <c r="H4" s="108" t="s">
        <v>111</v>
      </c>
      <c r="I4" s="59" t="s">
        <v>15</v>
      </c>
      <c r="J4" s="90" t="s">
        <v>15</v>
      </c>
      <c r="K4" s="92" t="s">
        <v>15</v>
      </c>
      <c r="L4" s="92">
        <v>0.75</v>
      </c>
      <c r="M4" s="91">
        <v>2</v>
      </c>
      <c r="N4" s="91">
        <v>2</v>
      </c>
      <c r="O4" s="91">
        <v>2</v>
      </c>
      <c r="P4" s="91">
        <v>2</v>
      </c>
      <c r="Q4" s="91">
        <v>2</v>
      </c>
      <c r="R4" s="91">
        <v>2</v>
      </c>
      <c r="S4" s="91">
        <v>2</v>
      </c>
      <c r="T4" s="91">
        <v>2</v>
      </c>
      <c r="U4" s="91">
        <v>2</v>
      </c>
      <c r="V4" s="91">
        <v>2</v>
      </c>
      <c r="W4" s="91">
        <v>2</v>
      </c>
      <c r="X4" s="91">
        <v>2</v>
      </c>
      <c r="Y4" s="91">
        <v>2</v>
      </c>
      <c r="Z4" s="91">
        <v>2</v>
      </c>
      <c r="AA4" s="91">
        <v>0.5</v>
      </c>
      <c r="AB4" s="91" t="s">
        <v>15</v>
      </c>
      <c r="AC4" s="91">
        <v>0.5</v>
      </c>
      <c r="AD4" s="91">
        <v>2</v>
      </c>
      <c r="AE4" s="91">
        <v>0.5</v>
      </c>
      <c r="AF4" s="90">
        <v>2</v>
      </c>
      <c r="AG4" s="90" t="s">
        <v>15</v>
      </c>
      <c r="AH4" s="90" t="s">
        <v>15</v>
      </c>
      <c r="AI4" s="90" t="s">
        <v>15</v>
      </c>
      <c r="AJ4" s="90" t="s">
        <v>15</v>
      </c>
      <c r="AK4" s="90" t="s">
        <v>15</v>
      </c>
      <c r="AL4" s="90" t="s">
        <v>15</v>
      </c>
      <c r="AM4" s="118" t="s">
        <v>111</v>
      </c>
      <c r="AN4" s="118" t="s">
        <v>111</v>
      </c>
      <c r="AO4" s="118" t="s">
        <v>111</v>
      </c>
      <c r="AP4" s="118" t="s">
        <v>111</v>
      </c>
      <c r="AQ4" s="118" t="s">
        <v>111</v>
      </c>
      <c r="AR4" s="118" t="s">
        <v>111</v>
      </c>
      <c r="AS4" s="118" t="s">
        <v>111</v>
      </c>
      <c r="AT4" s="105">
        <v>0.75</v>
      </c>
      <c r="AU4" s="105">
        <v>0.75</v>
      </c>
      <c r="AV4" s="105">
        <v>0.75</v>
      </c>
      <c r="AW4" s="105">
        <v>0.75</v>
      </c>
      <c r="AX4" s="105">
        <v>0.75</v>
      </c>
      <c r="AY4" s="105">
        <v>0.75</v>
      </c>
      <c r="AZ4" s="105">
        <v>0.75</v>
      </c>
      <c r="BA4" s="105">
        <v>0.75</v>
      </c>
      <c r="BB4" s="105">
        <v>0.75</v>
      </c>
      <c r="BC4" s="105">
        <v>0.75</v>
      </c>
      <c r="BD4" s="105">
        <v>0.75</v>
      </c>
      <c r="BE4" s="105">
        <v>0.75</v>
      </c>
      <c r="BF4" s="105">
        <v>0.75</v>
      </c>
      <c r="BG4" s="105">
        <v>0.75</v>
      </c>
      <c r="BH4" s="105">
        <v>0.75</v>
      </c>
      <c r="BI4" s="105">
        <v>0.75</v>
      </c>
      <c r="BJ4" s="105">
        <v>0.75</v>
      </c>
      <c r="BK4" s="105">
        <v>0.75</v>
      </c>
      <c r="BL4" s="106">
        <v>0.75</v>
      </c>
      <c r="BM4" s="106">
        <v>0.75</v>
      </c>
      <c r="BN4" s="106">
        <v>0.75</v>
      </c>
      <c r="BO4" s="106">
        <v>0.75</v>
      </c>
      <c r="BP4" s="106">
        <v>0.75</v>
      </c>
      <c r="BQ4" s="106">
        <v>0.75</v>
      </c>
      <c r="BR4" s="106">
        <v>0.75</v>
      </c>
      <c r="BS4" s="106">
        <v>0.75</v>
      </c>
      <c r="BT4" s="106">
        <v>0.75</v>
      </c>
      <c r="BU4" s="106">
        <v>0.75</v>
      </c>
      <c r="BV4" s="106">
        <v>0.75</v>
      </c>
      <c r="BW4" s="106">
        <v>0.75</v>
      </c>
      <c r="BX4" s="106">
        <v>0.75</v>
      </c>
      <c r="BY4" s="106">
        <v>0.75</v>
      </c>
      <c r="BZ4" s="106">
        <v>0.75</v>
      </c>
      <c r="CA4" s="106">
        <v>0.75</v>
      </c>
      <c r="CB4" s="106">
        <v>0.75</v>
      </c>
      <c r="CC4" s="106">
        <v>0.75</v>
      </c>
      <c r="CD4" s="93">
        <v>0.5</v>
      </c>
      <c r="CE4" s="93">
        <v>0.5</v>
      </c>
      <c r="CF4" s="93">
        <v>0.5</v>
      </c>
      <c r="CG4" s="93">
        <v>0.5</v>
      </c>
      <c r="CH4" s="93">
        <v>0.5</v>
      </c>
      <c r="CI4" s="93">
        <v>0.5</v>
      </c>
      <c r="CJ4" s="93">
        <v>0.5</v>
      </c>
      <c r="CK4" s="93">
        <v>0.5</v>
      </c>
      <c r="CL4" s="93">
        <v>0.5</v>
      </c>
      <c r="CM4" s="93">
        <v>0.5</v>
      </c>
      <c r="CN4" s="93">
        <v>0.5</v>
      </c>
      <c r="CO4" s="93">
        <v>0.5</v>
      </c>
      <c r="CP4" s="93">
        <v>0.5</v>
      </c>
      <c r="CQ4" s="93">
        <v>0.5</v>
      </c>
      <c r="CR4" s="93">
        <v>0.5</v>
      </c>
      <c r="CS4" s="93">
        <v>0.5</v>
      </c>
      <c r="CT4" s="93">
        <v>0.5</v>
      </c>
      <c r="CU4" s="93">
        <v>0.5</v>
      </c>
      <c r="CV4" s="107">
        <v>0.25</v>
      </c>
      <c r="CW4" s="107">
        <v>0.25</v>
      </c>
      <c r="CX4" s="107">
        <v>0.25</v>
      </c>
      <c r="CY4" s="107">
        <v>0.25</v>
      </c>
      <c r="CZ4" s="107">
        <v>0.25</v>
      </c>
      <c r="DA4" s="107">
        <v>0.25</v>
      </c>
      <c r="DB4" s="107">
        <v>0.25</v>
      </c>
      <c r="DC4" s="107">
        <v>0.25</v>
      </c>
      <c r="DD4" s="107">
        <v>0.25</v>
      </c>
      <c r="DE4" s="107">
        <v>0.25</v>
      </c>
      <c r="DF4" s="107">
        <v>0.25</v>
      </c>
      <c r="DG4" s="107">
        <v>0.25</v>
      </c>
      <c r="DH4" s="107">
        <v>0.25</v>
      </c>
      <c r="DI4" s="107">
        <v>0.25</v>
      </c>
      <c r="DJ4" s="107">
        <v>0.25</v>
      </c>
      <c r="DK4" s="107">
        <v>0.25</v>
      </c>
      <c r="DL4" s="107">
        <v>0.25</v>
      </c>
      <c r="DM4" s="107">
        <v>0.25</v>
      </c>
    </row>
    <row r="5" spans="2:117" x14ac:dyDescent="0.3">
      <c r="B5" s="3" t="s">
        <v>1423</v>
      </c>
      <c r="C5" s="105" t="s">
        <v>111</v>
      </c>
      <c r="D5" s="106" t="s">
        <v>111</v>
      </c>
      <c r="E5" s="93" t="s">
        <v>111</v>
      </c>
      <c r="F5" s="107" t="s">
        <v>111</v>
      </c>
      <c r="G5" s="72" t="s">
        <v>111</v>
      </c>
      <c r="H5" s="108" t="s">
        <v>111</v>
      </c>
      <c r="I5" s="59">
        <v>1.01</v>
      </c>
      <c r="J5" s="90">
        <v>1.01</v>
      </c>
      <c r="K5" s="92" t="s">
        <v>111</v>
      </c>
      <c r="L5" s="92">
        <v>0.25</v>
      </c>
      <c r="M5" s="91">
        <v>1.01</v>
      </c>
      <c r="N5" s="91">
        <v>1.01</v>
      </c>
      <c r="O5" s="91">
        <v>1.01</v>
      </c>
      <c r="P5" s="91">
        <v>1.01</v>
      </c>
      <c r="Q5" s="91">
        <v>1.01</v>
      </c>
      <c r="R5" s="91">
        <v>1.01</v>
      </c>
      <c r="S5" s="91">
        <v>1.01</v>
      </c>
      <c r="T5" s="91">
        <v>1.01</v>
      </c>
      <c r="U5" s="91">
        <v>1.01</v>
      </c>
      <c r="V5" s="91">
        <v>1.01</v>
      </c>
      <c r="W5" s="91">
        <v>0.05</v>
      </c>
      <c r="X5" s="91">
        <v>0.05</v>
      </c>
      <c r="Y5" s="91">
        <v>0.05</v>
      </c>
      <c r="Z5" s="91">
        <v>0.05</v>
      </c>
      <c r="AA5" s="91">
        <v>0.05</v>
      </c>
      <c r="AB5" s="91">
        <v>1.01</v>
      </c>
      <c r="AC5" s="91">
        <v>0.05</v>
      </c>
      <c r="AD5" s="91">
        <v>1.01</v>
      </c>
      <c r="AE5" s="91">
        <v>0.05</v>
      </c>
      <c r="AF5" s="90">
        <v>1.01</v>
      </c>
      <c r="AG5" s="90">
        <v>1.01</v>
      </c>
      <c r="AH5" s="90">
        <v>1.01</v>
      </c>
      <c r="AI5" s="90">
        <v>1.01</v>
      </c>
      <c r="AJ5" s="90">
        <v>1.01</v>
      </c>
      <c r="AK5" s="90">
        <v>1.01</v>
      </c>
      <c r="AL5" s="90">
        <v>1.01</v>
      </c>
      <c r="AM5" s="118" t="s">
        <v>111</v>
      </c>
      <c r="AN5" s="118" t="s">
        <v>111</v>
      </c>
      <c r="AO5" s="118" t="s">
        <v>111</v>
      </c>
      <c r="AP5" s="118" t="s">
        <v>111</v>
      </c>
      <c r="AQ5" s="118" t="s">
        <v>111</v>
      </c>
      <c r="AR5" s="118" t="s">
        <v>111</v>
      </c>
      <c r="AS5" s="118" t="s">
        <v>111</v>
      </c>
      <c r="AT5" s="105">
        <v>0.75</v>
      </c>
      <c r="AU5" s="105">
        <v>0.75</v>
      </c>
      <c r="AV5" s="105">
        <v>0.75</v>
      </c>
      <c r="AW5" s="105">
        <v>0.75</v>
      </c>
      <c r="AX5" s="105">
        <v>0.75</v>
      </c>
      <c r="AY5" s="105">
        <v>0.75</v>
      </c>
      <c r="AZ5" s="105">
        <v>0.75</v>
      </c>
      <c r="BA5" s="105">
        <v>0.75</v>
      </c>
      <c r="BB5" s="105">
        <v>0.75</v>
      </c>
      <c r="BC5" s="105">
        <v>0.75</v>
      </c>
      <c r="BD5" s="105">
        <v>0.75</v>
      </c>
      <c r="BE5" s="105">
        <v>0.75</v>
      </c>
      <c r="BF5" s="105">
        <v>0.75</v>
      </c>
      <c r="BG5" s="105">
        <v>0.75</v>
      </c>
      <c r="BH5" s="105">
        <v>0.75</v>
      </c>
      <c r="BI5" s="105">
        <v>0.75</v>
      </c>
      <c r="BJ5" s="105" t="s">
        <v>111</v>
      </c>
      <c r="BK5" s="105" t="s">
        <v>111</v>
      </c>
      <c r="BL5" s="106">
        <v>0.75</v>
      </c>
      <c r="BM5" s="106">
        <v>0.75</v>
      </c>
      <c r="BN5" s="106">
        <v>0.75</v>
      </c>
      <c r="BO5" s="106">
        <v>0.75</v>
      </c>
      <c r="BP5" s="106">
        <v>0.75</v>
      </c>
      <c r="BQ5" s="106">
        <v>0.75</v>
      </c>
      <c r="BR5" s="106">
        <v>0.75</v>
      </c>
      <c r="BS5" s="106">
        <v>0.75</v>
      </c>
      <c r="BT5" s="106">
        <v>0.75</v>
      </c>
      <c r="BU5" s="106">
        <v>0.75</v>
      </c>
      <c r="BV5" s="106">
        <v>0.75</v>
      </c>
      <c r="BW5" s="106">
        <v>0.75</v>
      </c>
      <c r="BX5" s="106">
        <v>0.75</v>
      </c>
      <c r="BY5" s="106">
        <v>0.75</v>
      </c>
      <c r="BZ5" s="106">
        <v>0.75</v>
      </c>
      <c r="CA5" s="106">
        <v>0.75</v>
      </c>
      <c r="CB5" s="106">
        <v>0.75</v>
      </c>
      <c r="CC5" s="106">
        <v>0.75</v>
      </c>
      <c r="CD5" s="93">
        <v>0.5</v>
      </c>
      <c r="CE5" s="93">
        <v>0.5</v>
      </c>
      <c r="CF5" s="93">
        <v>0.5</v>
      </c>
      <c r="CG5" s="93">
        <v>0.5</v>
      </c>
      <c r="CH5" s="93">
        <v>0.5</v>
      </c>
      <c r="CI5" s="93">
        <v>0.5</v>
      </c>
      <c r="CJ5" s="93">
        <v>0.5</v>
      </c>
      <c r="CK5" s="93">
        <v>0.5</v>
      </c>
      <c r="CL5" s="93">
        <v>0.5</v>
      </c>
      <c r="CM5" s="93">
        <v>0.5</v>
      </c>
      <c r="CN5" s="93">
        <v>0.5</v>
      </c>
      <c r="CO5" s="93">
        <v>0.5</v>
      </c>
      <c r="CP5" s="93">
        <v>0.5</v>
      </c>
      <c r="CQ5" s="93">
        <v>0.5</v>
      </c>
      <c r="CR5" s="93">
        <v>0.5</v>
      </c>
      <c r="CS5" s="93">
        <v>0.5</v>
      </c>
      <c r="CT5" s="93">
        <v>0.5</v>
      </c>
      <c r="CU5" s="93">
        <v>0.5</v>
      </c>
      <c r="CV5" s="107" t="s">
        <v>111</v>
      </c>
      <c r="CW5" s="107" t="s">
        <v>111</v>
      </c>
      <c r="CX5" s="107" t="s">
        <v>111</v>
      </c>
      <c r="CY5" s="107" t="s">
        <v>111</v>
      </c>
      <c r="CZ5" s="107" t="s">
        <v>111</v>
      </c>
      <c r="DA5" s="107" t="s">
        <v>111</v>
      </c>
      <c r="DB5" s="107" t="s">
        <v>111</v>
      </c>
      <c r="DC5" s="107" t="s">
        <v>111</v>
      </c>
      <c r="DD5" s="107" t="s">
        <v>111</v>
      </c>
      <c r="DE5" s="107" t="s">
        <v>111</v>
      </c>
      <c r="DF5" s="107" t="s">
        <v>111</v>
      </c>
      <c r="DG5" s="107" t="s">
        <v>111</v>
      </c>
      <c r="DH5" s="107" t="s">
        <v>111</v>
      </c>
      <c r="DI5" s="107" t="s">
        <v>111</v>
      </c>
      <c r="DJ5" s="107" t="s">
        <v>111</v>
      </c>
      <c r="DK5" s="107" t="s">
        <v>111</v>
      </c>
      <c r="DL5" s="107" t="s">
        <v>111</v>
      </c>
      <c r="DM5" s="107" t="s">
        <v>111</v>
      </c>
    </row>
    <row r="6" spans="2:117" x14ac:dyDescent="0.3">
      <c r="B6" s="3" t="s">
        <v>905</v>
      </c>
      <c r="C6" s="105"/>
      <c r="D6" s="106"/>
      <c r="E6" s="93"/>
      <c r="F6" s="107">
        <v>0.1</v>
      </c>
      <c r="G6" s="72"/>
      <c r="H6" s="108"/>
      <c r="I6" s="59"/>
      <c r="J6" s="90"/>
      <c r="K6" s="92"/>
      <c r="L6" s="92"/>
      <c r="M6" s="91">
        <v>0.2</v>
      </c>
      <c r="N6" s="91">
        <v>0.2</v>
      </c>
      <c r="O6" s="91">
        <v>0.2</v>
      </c>
      <c r="P6" s="91">
        <v>0.2</v>
      </c>
      <c r="Q6" s="91">
        <v>0.2</v>
      </c>
      <c r="R6" s="91">
        <v>0.2</v>
      </c>
      <c r="S6" s="91">
        <v>0.2</v>
      </c>
      <c r="T6" s="91">
        <v>0.2</v>
      </c>
      <c r="U6" s="91">
        <v>0.2</v>
      </c>
      <c r="V6" s="91">
        <v>0.2</v>
      </c>
      <c r="W6" s="91">
        <v>0.2</v>
      </c>
      <c r="X6" s="91">
        <v>0.2</v>
      </c>
      <c r="Y6" s="91">
        <v>0.2</v>
      </c>
      <c r="Z6" s="91">
        <v>0.2</v>
      </c>
      <c r="AA6" s="91">
        <v>0.2</v>
      </c>
      <c r="AB6" s="91">
        <v>0.2</v>
      </c>
      <c r="AC6" s="91">
        <v>0.2</v>
      </c>
      <c r="AD6" s="91">
        <v>0.2</v>
      </c>
      <c r="AE6" s="91">
        <v>0.2</v>
      </c>
      <c r="AF6" s="90"/>
      <c r="AG6" s="90" t="s">
        <v>473</v>
      </c>
      <c r="AH6" s="90" t="s">
        <v>473</v>
      </c>
      <c r="AI6" s="90" t="s">
        <v>473</v>
      </c>
      <c r="AJ6" s="90" t="s">
        <v>473</v>
      </c>
      <c r="AK6" s="90" t="s">
        <v>473</v>
      </c>
      <c r="AL6" s="90"/>
      <c r="AM6" s="118"/>
      <c r="AN6" s="118"/>
      <c r="AO6" s="118"/>
      <c r="AP6" s="118"/>
      <c r="AQ6" s="118"/>
      <c r="AR6" s="118"/>
      <c r="AS6" s="118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107">
        <v>0.1</v>
      </c>
      <c r="CW6" s="107">
        <v>0.1</v>
      </c>
      <c r="CX6" s="107">
        <v>0.1</v>
      </c>
      <c r="CY6" s="107">
        <v>0.1</v>
      </c>
      <c r="CZ6" s="107">
        <v>0.1</v>
      </c>
      <c r="DA6" s="107">
        <v>0.1</v>
      </c>
      <c r="DB6" s="107">
        <v>0.1</v>
      </c>
      <c r="DC6" s="107">
        <v>0.1</v>
      </c>
      <c r="DD6" s="107">
        <v>0.1</v>
      </c>
      <c r="DE6" s="107">
        <v>0.1</v>
      </c>
      <c r="DF6" s="107">
        <v>0.1</v>
      </c>
      <c r="DG6" s="107">
        <v>0.1</v>
      </c>
      <c r="DH6" s="107">
        <v>0.1</v>
      </c>
      <c r="DI6" s="107">
        <v>0.1</v>
      </c>
      <c r="DJ6" s="107">
        <v>0.1</v>
      </c>
      <c r="DK6" s="107">
        <v>0.1</v>
      </c>
      <c r="DL6" s="107">
        <v>0.1</v>
      </c>
      <c r="DM6" s="107">
        <v>0.1</v>
      </c>
    </row>
    <row r="7" spans="2:117" x14ac:dyDescent="0.3">
      <c r="B7" s="3" t="s">
        <v>1424</v>
      </c>
      <c r="C7" s="105"/>
      <c r="D7" s="106"/>
      <c r="E7" s="93"/>
      <c r="F7" s="107" t="s">
        <v>111</v>
      </c>
      <c r="G7" s="72"/>
      <c r="H7" s="108"/>
      <c r="I7" s="59"/>
      <c r="J7" s="90"/>
      <c r="K7" s="92"/>
      <c r="L7" s="92">
        <v>0.01</v>
      </c>
      <c r="M7" s="91" t="s">
        <v>111</v>
      </c>
      <c r="N7" s="91" t="s">
        <v>111</v>
      </c>
      <c r="O7" s="91" t="s">
        <v>111</v>
      </c>
      <c r="P7" s="91" t="s">
        <v>111</v>
      </c>
      <c r="Q7" s="91" t="s">
        <v>111</v>
      </c>
      <c r="R7" s="91" t="s">
        <v>111</v>
      </c>
      <c r="S7" s="91" t="s">
        <v>111</v>
      </c>
      <c r="T7" s="91" t="s">
        <v>111</v>
      </c>
      <c r="U7" s="91" t="s">
        <v>111</v>
      </c>
      <c r="V7" s="91" t="s">
        <v>111</v>
      </c>
      <c r="W7" s="91" t="s">
        <v>111</v>
      </c>
      <c r="X7" s="91" t="s">
        <v>111</v>
      </c>
      <c r="Y7" s="91" t="s">
        <v>111</v>
      </c>
      <c r="Z7" s="91" t="s">
        <v>111</v>
      </c>
      <c r="AA7" s="91" t="s">
        <v>111</v>
      </c>
      <c r="AB7" s="91" t="s">
        <v>111</v>
      </c>
      <c r="AC7" s="91" t="s">
        <v>111</v>
      </c>
      <c r="AD7" s="91" t="s">
        <v>111</v>
      </c>
      <c r="AE7" s="91" t="s">
        <v>111</v>
      </c>
      <c r="AF7" s="90"/>
      <c r="AG7" s="90"/>
      <c r="AH7" s="90"/>
      <c r="AI7" s="90"/>
      <c r="AJ7" s="90"/>
      <c r="AK7" s="90"/>
      <c r="AL7" s="90"/>
      <c r="AM7" s="118"/>
      <c r="AN7" s="118"/>
      <c r="AO7" s="118"/>
      <c r="AP7" s="118"/>
      <c r="AQ7" s="118"/>
      <c r="AR7" s="118"/>
      <c r="AS7" s="118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107" t="s">
        <v>111</v>
      </c>
      <c r="CW7" s="107" t="s">
        <v>111</v>
      </c>
      <c r="CX7" s="107" t="s">
        <v>111</v>
      </c>
      <c r="CY7" s="107" t="s">
        <v>111</v>
      </c>
      <c r="CZ7" s="107" t="s">
        <v>111</v>
      </c>
      <c r="DA7" s="107" t="s">
        <v>111</v>
      </c>
      <c r="DB7" s="107" t="s">
        <v>111</v>
      </c>
      <c r="DC7" s="107" t="s">
        <v>111</v>
      </c>
      <c r="DD7" s="107" t="s">
        <v>111</v>
      </c>
      <c r="DE7" s="107" t="s">
        <v>111</v>
      </c>
      <c r="DF7" s="107" t="s">
        <v>111</v>
      </c>
      <c r="DG7" s="107" t="s">
        <v>111</v>
      </c>
      <c r="DH7" s="107" t="s">
        <v>111</v>
      </c>
      <c r="DI7" s="107" t="s">
        <v>111</v>
      </c>
      <c r="DJ7" s="107" t="s">
        <v>111</v>
      </c>
      <c r="DK7" s="107" t="s">
        <v>111</v>
      </c>
      <c r="DL7" s="107" t="s">
        <v>111</v>
      </c>
      <c r="DM7" s="107" t="s">
        <v>111</v>
      </c>
    </row>
    <row r="8" spans="2:117" x14ac:dyDescent="0.3">
      <c r="C8" s="105"/>
      <c r="D8" s="106"/>
      <c r="E8" s="93"/>
      <c r="F8" s="107"/>
      <c r="G8" s="72"/>
      <c r="H8" s="108"/>
      <c r="I8" s="59"/>
      <c r="J8" s="90"/>
      <c r="K8" s="92"/>
      <c r="L8" s="92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0"/>
      <c r="AG8" s="90"/>
      <c r="AH8" s="90"/>
      <c r="AI8" s="90"/>
      <c r="AJ8" s="90"/>
      <c r="AK8" s="90"/>
      <c r="AL8" s="90"/>
      <c r="AM8" s="118"/>
      <c r="AN8" s="118"/>
      <c r="AO8" s="118"/>
      <c r="AP8" s="118"/>
      <c r="AQ8" s="118"/>
      <c r="AR8" s="118"/>
      <c r="AS8" s="118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</row>
    <row r="9" spans="2:117" x14ac:dyDescent="0.3">
      <c r="C9" s="105" t="s">
        <v>898</v>
      </c>
      <c r="D9" s="106" t="s">
        <v>913</v>
      </c>
      <c r="E9" s="93" t="s">
        <v>899</v>
      </c>
      <c r="F9" s="107" t="s">
        <v>911</v>
      </c>
      <c r="G9" s="72" t="s">
        <v>900</v>
      </c>
      <c r="H9" s="108" t="s">
        <v>912</v>
      </c>
      <c r="I9" s="59" t="s">
        <v>901</v>
      </c>
      <c r="J9" s="90" t="s">
        <v>902</v>
      </c>
      <c r="K9" s="92" t="s">
        <v>910</v>
      </c>
      <c r="L9" s="92" t="s">
        <v>1197</v>
      </c>
      <c r="M9" s="91" t="s">
        <v>708</v>
      </c>
      <c r="N9" s="91" t="s">
        <v>710</v>
      </c>
      <c r="O9" s="91" t="s">
        <v>711</v>
      </c>
      <c r="P9" s="91" t="s">
        <v>712</v>
      </c>
      <c r="Q9" s="91" t="s">
        <v>709</v>
      </c>
      <c r="R9" s="91" t="s">
        <v>1325</v>
      </c>
      <c r="S9" s="91" t="s">
        <v>1326</v>
      </c>
      <c r="T9" s="91" t="s">
        <v>1327</v>
      </c>
      <c r="U9" s="91" t="s">
        <v>1328</v>
      </c>
      <c r="V9" s="91" t="s">
        <v>1343</v>
      </c>
      <c r="W9" s="91" t="s">
        <v>1334</v>
      </c>
      <c r="X9" s="91" t="s">
        <v>1335</v>
      </c>
      <c r="Y9" s="91" t="s">
        <v>1336</v>
      </c>
      <c r="Z9" s="91" t="s">
        <v>1337</v>
      </c>
      <c r="AA9" s="91" t="s">
        <v>1378</v>
      </c>
      <c r="AB9" s="91" t="s">
        <v>1150</v>
      </c>
      <c r="AC9" s="91" t="s">
        <v>1151</v>
      </c>
      <c r="AD9" s="91" t="s">
        <v>1152</v>
      </c>
      <c r="AE9" s="91" t="s">
        <v>1153</v>
      </c>
      <c r="AF9" s="90" t="s">
        <v>1637</v>
      </c>
      <c r="AG9" s="90" t="s">
        <v>1638</v>
      </c>
      <c r="AH9" s="90" t="s">
        <v>1639</v>
      </c>
      <c r="AI9" s="90" t="s">
        <v>1640</v>
      </c>
      <c r="AJ9" s="90" t="s">
        <v>1641</v>
      </c>
      <c r="AK9" s="90" t="s">
        <v>1642</v>
      </c>
      <c r="AL9" s="90" t="s">
        <v>1643</v>
      </c>
      <c r="AM9" s="118" t="s">
        <v>1644</v>
      </c>
      <c r="AN9" s="118" t="s">
        <v>1645</v>
      </c>
      <c r="AO9" s="118" t="s">
        <v>1646</v>
      </c>
      <c r="AP9" s="118" t="s">
        <v>1647</v>
      </c>
      <c r="AQ9" s="118" t="s">
        <v>1648</v>
      </c>
      <c r="AR9" s="118" t="s">
        <v>1649</v>
      </c>
      <c r="AS9" s="118" t="s">
        <v>1650</v>
      </c>
      <c r="AT9" s="109" t="s">
        <v>1055</v>
      </c>
      <c r="AU9" s="109" t="s">
        <v>1056</v>
      </c>
      <c r="AV9" s="109" t="s">
        <v>1057</v>
      </c>
      <c r="AW9" s="109" t="s">
        <v>1058</v>
      </c>
      <c r="AX9" s="109" t="s">
        <v>1059</v>
      </c>
      <c r="AY9" s="109" t="s">
        <v>1060</v>
      </c>
      <c r="AZ9" s="109" t="s">
        <v>1061</v>
      </c>
      <c r="BA9" s="109" t="s">
        <v>1062</v>
      </c>
      <c r="BB9" s="109" t="s">
        <v>1063</v>
      </c>
      <c r="BC9" s="109" t="s">
        <v>1064</v>
      </c>
      <c r="BD9" s="109" t="s">
        <v>1065</v>
      </c>
      <c r="BE9" s="109" t="s">
        <v>1066</v>
      </c>
      <c r="BF9" s="109" t="s">
        <v>1067</v>
      </c>
      <c r="BG9" s="109" t="s">
        <v>1068</v>
      </c>
      <c r="BH9" s="109" t="s">
        <v>1069</v>
      </c>
      <c r="BI9" s="109" t="s">
        <v>1070</v>
      </c>
      <c r="BJ9" s="109" t="s">
        <v>1071</v>
      </c>
      <c r="BK9" s="109" t="s">
        <v>1072</v>
      </c>
      <c r="BL9" s="106" t="s">
        <v>1091</v>
      </c>
      <c r="BM9" s="106" t="s">
        <v>1092</v>
      </c>
      <c r="BN9" s="106" t="s">
        <v>1093</v>
      </c>
      <c r="BO9" s="106" t="s">
        <v>1094</v>
      </c>
      <c r="BP9" s="106" t="s">
        <v>1095</v>
      </c>
      <c r="BQ9" s="106" t="s">
        <v>1096</v>
      </c>
      <c r="BR9" s="106" t="s">
        <v>1097</v>
      </c>
      <c r="BS9" s="106" t="s">
        <v>1098</v>
      </c>
      <c r="BT9" s="106" t="s">
        <v>1099</v>
      </c>
      <c r="BU9" s="106" t="s">
        <v>1100</v>
      </c>
      <c r="BV9" s="106" t="s">
        <v>1101</v>
      </c>
      <c r="BW9" s="106" t="s">
        <v>1102</v>
      </c>
      <c r="BX9" s="106" t="s">
        <v>1103</v>
      </c>
      <c r="BY9" s="106" t="s">
        <v>1104</v>
      </c>
      <c r="BZ9" s="106" t="s">
        <v>1105</v>
      </c>
      <c r="CA9" s="106" t="s">
        <v>1106</v>
      </c>
      <c r="CB9" s="106" t="s">
        <v>1107</v>
      </c>
      <c r="CC9" s="106" t="s">
        <v>1108</v>
      </c>
      <c r="CD9" s="93" t="s">
        <v>1073</v>
      </c>
      <c r="CE9" s="93" t="s">
        <v>1074</v>
      </c>
      <c r="CF9" s="93" t="s">
        <v>1075</v>
      </c>
      <c r="CG9" s="93" t="s">
        <v>1076</v>
      </c>
      <c r="CH9" s="93" t="s">
        <v>1077</v>
      </c>
      <c r="CI9" s="93" t="s">
        <v>1078</v>
      </c>
      <c r="CJ9" s="93" t="s">
        <v>1079</v>
      </c>
      <c r="CK9" s="93" t="s">
        <v>1080</v>
      </c>
      <c r="CL9" s="93" t="s">
        <v>1081</v>
      </c>
      <c r="CM9" s="93" t="s">
        <v>1082</v>
      </c>
      <c r="CN9" s="93" t="s">
        <v>1083</v>
      </c>
      <c r="CO9" s="93" t="s">
        <v>1084</v>
      </c>
      <c r="CP9" s="93" t="s">
        <v>1085</v>
      </c>
      <c r="CQ9" s="93" t="s">
        <v>1086</v>
      </c>
      <c r="CR9" s="93" t="s">
        <v>1087</v>
      </c>
      <c r="CS9" s="93" t="s">
        <v>1088</v>
      </c>
      <c r="CT9" s="93" t="s">
        <v>1089</v>
      </c>
      <c r="CU9" s="93" t="s">
        <v>1090</v>
      </c>
      <c r="CV9" s="110" t="s">
        <v>1001</v>
      </c>
      <c r="CW9" s="110" t="s">
        <v>1002</v>
      </c>
      <c r="CX9" s="110" t="s">
        <v>1003</v>
      </c>
      <c r="CY9" s="110" t="s">
        <v>1004</v>
      </c>
      <c r="CZ9" s="110" t="s">
        <v>1005</v>
      </c>
      <c r="DA9" s="110" t="s">
        <v>1006</v>
      </c>
      <c r="DB9" s="110" t="s">
        <v>1007</v>
      </c>
      <c r="DC9" s="110" t="s">
        <v>1008</v>
      </c>
      <c r="DD9" s="110" t="s">
        <v>1009</v>
      </c>
      <c r="DE9" s="110" t="s">
        <v>1010</v>
      </c>
      <c r="DF9" s="110" t="s">
        <v>1011</v>
      </c>
      <c r="DG9" s="110" t="s">
        <v>1012</v>
      </c>
      <c r="DH9" s="110" t="s">
        <v>1013</v>
      </c>
      <c r="DI9" s="110" t="s">
        <v>1014</v>
      </c>
      <c r="DJ9" s="110" t="s">
        <v>1015</v>
      </c>
      <c r="DK9" s="110" t="s">
        <v>1016</v>
      </c>
      <c r="DL9" s="110" t="s">
        <v>1017</v>
      </c>
      <c r="DM9" s="110" t="s">
        <v>1018</v>
      </c>
    </row>
    <row r="10" spans="2:117" hidden="1" x14ac:dyDescent="0.3">
      <c r="B10" s="118" t="s">
        <v>1636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>
        <v>1</v>
      </c>
      <c r="AN10" s="118">
        <v>1</v>
      </c>
      <c r="AO10" s="118">
        <v>1</v>
      </c>
      <c r="AP10" s="118">
        <v>1</v>
      </c>
      <c r="AQ10" s="118">
        <v>1</v>
      </c>
      <c r="AR10" s="118">
        <v>1</v>
      </c>
      <c r="AS10" s="118">
        <v>1</v>
      </c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</row>
    <row r="11" spans="2:117" hidden="1" x14ac:dyDescent="0.3">
      <c r="B11" s="105" t="s">
        <v>632</v>
      </c>
      <c r="C11" s="105">
        <v>1</v>
      </c>
      <c r="D11" s="106"/>
      <c r="E11" s="93"/>
      <c r="F11" s="107"/>
      <c r="G11" s="72">
        <v>1</v>
      </c>
      <c r="H11" s="108"/>
      <c r="I11" s="59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>
        <v>1</v>
      </c>
      <c r="AU11" s="105">
        <v>1</v>
      </c>
      <c r="AV11" s="105">
        <v>1</v>
      </c>
      <c r="AW11" s="105">
        <v>1</v>
      </c>
      <c r="AX11" s="105">
        <v>1</v>
      </c>
      <c r="AY11" s="105">
        <v>1</v>
      </c>
      <c r="AZ11" s="105">
        <v>1</v>
      </c>
      <c r="BA11" s="105">
        <v>1</v>
      </c>
      <c r="BB11" s="105">
        <v>1</v>
      </c>
      <c r="BC11" s="105">
        <v>1</v>
      </c>
      <c r="BD11" s="105">
        <v>1</v>
      </c>
      <c r="BE11" s="105">
        <v>1</v>
      </c>
      <c r="BF11" s="105">
        <v>1</v>
      </c>
      <c r="BG11" s="105">
        <v>1</v>
      </c>
      <c r="BH11" s="105">
        <v>1</v>
      </c>
      <c r="BI11" s="105">
        <v>1</v>
      </c>
      <c r="BJ11" s="105">
        <v>1</v>
      </c>
      <c r="BK11" s="105">
        <v>1</v>
      </c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107"/>
      <c r="CW11" s="107"/>
      <c r="CX11" s="107"/>
      <c r="CY11" s="107"/>
      <c r="CZ11" s="107"/>
      <c r="DA11" s="107"/>
      <c r="DB11" s="107"/>
      <c r="DC11" s="107"/>
      <c r="DD11" s="107"/>
      <c r="DE11" s="107"/>
      <c r="DF11" s="107"/>
      <c r="DG11" s="107"/>
      <c r="DH11" s="107"/>
      <c r="DI11" s="107"/>
      <c r="DJ11" s="107"/>
      <c r="DK11" s="107"/>
      <c r="DL11" s="107"/>
      <c r="DM11" s="107"/>
    </row>
    <row r="12" spans="2:117" hidden="1" x14ac:dyDescent="0.3">
      <c r="B12" s="105" t="s">
        <v>633</v>
      </c>
      <c r="C12" s="105">
        <v>1</v>
      </c>
      <c r="D12" s="106"/>
      <c r="E12" s="93"/>
      <c r="F12" s="107"/>
      <c r="G12" s="72">
        <v>1</v>
      </c>
      <c r="H12" s="108"/>
      <c r="I12" s="59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>
        <v>1</v>
      </c>
      <c r="AU12" s="105">
        <v>1</v>
      </c>
      <c r="AV12" s="105">
        <v>1</v>
      </c>
      <c r="AW12" s="105">
        <v>1</v>
      </c>
      <c r="AX12" s="105">
        <v>1</v>
      </c>
      <c r="AY12" s="105">
        <v>1</v>
      </c>
      <c r="AZ12" s="105">
        <v>1</v>
      </c>
      <c r="BA12" s="105">
        <v>1</v>
      </c>
      <c r="BB12" s="105">
        <v>1</v>
      </c>
      <c r="BC12" s="105">
        <v>1</v>
      </c>
      <c r="BD12" s="105">
        <v>1</v>
      </c>
      <c r="BE12" s="105">
        <v>1</v>
      </c>
      <c r="BF12" s="105">
        <v>1</v>
      </c>
      <c r="BG12" s="105">
        <v>1</v>
      </c>
      <c r="BH12" s="105">
        <v>1</v>
      </c>
      <c r="BI12" s="105">
        <v>1</v>
      </c>
      <c r="BJ12" s="105">
        <v>1</v>
      </c>
      <c r="BK12" s="105">
        <v>1</v>
      </c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107"/>
      <c r="CW12" s="107"/>
      <c r="CX12" s="107"/>
      <c r="CY12" s="107"/>
      <c r="CZ12" s="107"/>
      <c r="DA12" s="107"/>
      <c r="DB12" s="107"/>
      <c r="DC12" s="107"/>
      <c r="DD12" s="107"/>
      <c r="DE12" s="107"/>
      <c r="DF12" s="107"/>
      <c r="DG12" s="107"/>
      <c r="DH12" s="107"/>
      <c r="DI12" s="107"/>
      <c r="DJ12" s="107"/>
      <c r="DK12" s="107"/>
      <c r="DL12" s="107"/>
      <c r="DM12" s="107"/>
    </row>
    <row r="13" spans="2:117" hidden="1" x14ac:dyDescent="0.3">
      <c r="B13" s="105" t="s">
        <v>634</v>
      </c>
      <c r="C13" s="105">
        <v>1</v>
      </c>
      <c r="D13" s="106"/>
      <c r="E13" s="93"/>
      <c r="F13" s="107"/>
      <c r="G13" s="72">
        <v>1</v>
      </c>
      <c r="H13" s="108"/>
      <c r="I13" s="59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>
        <v>1</v>
      </c>
      <c r="AU13" s="105">
        <v>1</v>
      </c>
      <c r="AV13" s="105">
        <v>1</v>
      </c>
      <c r="AW13" s="105">
        <v>1</v>
      </c>
      <c r="AX13" s="105">
        <v>1</v>
      </c>
      <c r="AY13" s="105">
        <v>1</v>
      </c>
      <c r="AZ13" s="105">
        <v>1</v>
      </c>
      <c r="BA13" s="105">
        <v>1</v>
      </c>
      <c r="BB13" s="105">
        <v>1</v>
      </c>
      <c r="BC13" s="105">
        <v>1</v>
      </c>
      <c r="BD13" s="105">
        <v>1</v>
      </c>
      <c r="BE13" s="105">
        <v>1</v>
      </c>
      <c r="BF13" s="105">
        <v>1</v>
      </c>
      <c r="BG13" s="105">
        <v>1</v>
      </c>
      <c r="BH13" s="105">
        <v>1</v>
      </c>
      <c r="BI13" s="105">
        <v>1</v>
      </c>
      <c r="BJ13" s="105">
        <v>1</v>
      </c>
      <c r="BK13" s="105">
        <v>1</v>
      </c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107"/>
      <c r="CW13" s="107"/>
      <c r="CX13" s="107"/>
      <c r="CY13" s="107"/>
      <c r="CZ13" s="107"/>
      <c r="DA13" s="107"/>
      <c r="DB13" s="107"/>
      <c r="DC13" s="107"/>
      <c r="DD13" s="107"/>
      <c r="DE13" s="107"/>
      <c r="DF13" s="107"/>
      <c r="DG13" s="107"/>
      <c r="DH13" s="107"/>
      <c r="DI13" s="107"/>
      <c r="DJ13" s="107"/>
      <c r="DK13" s="107"/>
      <c r="DL13" s="107"/>
      <c r="DM13" s="107"/>
    </row>
    <row r="14" spans="2:117" hidden="1" x14ac:dyDescent="0.3">
      <c r="B14" s="105" t="s">
        <v>635</v>
      </c>
      <c r="C14" s="105">
        <v>1</v>
      </c>
      <c r="D14" s="106"/>
      <c r="E14" s="93"/>
      <c r="F14" s="107"/>
      <c r="G14" s="72">
        <v>1</v>
      </c>
      <c r="H14" s="108"/>
      <c r="I14" s="59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>
        <v>1</v>
      </c>
      <c r="AU14" s="105">
        <v>1</v>
      </c>
      <c r="AV14" s="105">
        <v>1</v>
      </c>
      <c r="AW14" s="105">
        <v>1</v>
      </c>
      <c r="AX14" s="105">
        <v>1</v>
      </c>
      <c r="AY14" s="105">
        <v>1</v>
      </c>
      <c r="AZ14" s="105">
        <v>1</v>
      </c>
      <c r="BA14" s="105">
        <v>1</v>
      </c>
      <c r="BB14" s="105">
        <v>1</v>
      </c>
      <c r="BC14" s="105">
        <v>1</v>
      </c>
      <c r="BD14" s="105">
        <v>1</v>
      </c>
      <c r="BE14" s="105">
        <v>1</v>
      </c>
      <c r="BF14" s="105">
        <v>1</v>
      </c>
      <c r="BG14" s="105">
        <v>1</v>
      </c>
      <c r="BH14" s="105">
        <v>1</v>
      </c>
      <c r="BI14" s="105">
        <v>1</v>
      </c>
      <c r="BJ14" s="105">
        <v>1</v>
      </c>
      <c r="BK14" s="105">
        <v>1</v>
      </c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107"/>
      <c r="CW14" s="107"/>
      <c r="CX14" s="107"/>
      <c r="CY14" s="107"/>
      <c r="CZ14" s="107"/>
      <c r="DA14" s="107"/>
      <c r="DB14" s="107"/>
      <c r="DC14" s="107"/>
      <c r="DD14" s="107"/>
      <c r="DE14" s="107"/>
      <c r="DF14" s="107"/>
      <c r="DG14" s="107"/>
      <c r="DH14" s="107"/>
      <c r="DI14" s="107"/>
      <c r="DJ14" s="107"/>
      <c r="DK14" s="107"/>
      <c r="DL14" s="107"/>
      <c r="DM14" s="107"/>
    </row>
    <row r="15" spans="2:117" hidden="1" x14ac:dyDescent="0.3">
      <c r="B15" s="105" t="s">
        <v>636</v>
      </c>
      <c r="C15" s="105">
        <v>1</v>
      </c>
      <c r="D15" s="106"/>
      <c r="E15" s="93"/>
      <c r="F15" s="107"/>
      <c r="G15" s="72">
        <v>1</v>
      </c>
      <c r="H15" s="108"/>
      <c r="I15" s="59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>
        <v>1</v>
      </c>
      <c r="AU15" s="105">
        <v>1</v>
      </c>
      <c r="AV15" s="105">
        <v>1</v>
      </c>
      <c r="AW15" s="105">
        <v>1</v>
      </c>
      <c r="AX15" s="105">
        <v>1</v>
      </c>
      <c r="AY15" s="105">
        <v>1</v>
      </c>
      <c r="AZ15" s="105">
        <v>1</v>
      </c>
      <c r="BA15" s="105">
        <v>1</v>
      </c>
      <c r="BB15" s="105">
        <v>1</v>
      </c>
      <c r="BC15" s="105">
        <v>1</v>
      </c>
      <c r="BD15" s="105">
        <v>1</v>
      </c>
      <c r="BE15" s="105">
        <v>1</v>
      </c>
      <c r="BF15" s="105">
        <v>1</v>
      </c>
      <c r="BG15" s="105">
        <v>1</v>
      </c>
      <c r="BH15" s="105">
        <v>1</v>
      </c>
      <c r="BI15" s="105">
        <v>1</v>
      </c>
      <c r="BJ15" s="105">
        <v>1</v>
      </c>
      <c r="BK15" s="105">
        <v>1</v>
      </c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107"/>
      <c r="CW15" s="107"/>
      <c r="CX15" s="107"/>
      <c r="CY15" s="107"/>
      <c r="CZ15" s="107"/>
      <c r="DA15" s="107"/>
      <c r="DB15" s="107"/>
      <c r="DC15" s="107"/>
      <c r="DD15" s="107"/>
      <c r="DE15" s="107"/>
      <c r="DF15" s="107"/>
      <c r="DG15" s="107"/>
      <c r="DH15" s="107"/>
      <c r="DI15" s="107"/>
      <c r="DJ15" s="107"/>
      <c r="DK15" s="107"/>
      <c r="DL15" s="107"/>
      <c r="DM15" s="107"/>
    </row>
    <row r="16" spans="2:117" hidden="1" x14ac:dyDescent="0.3">
      <c r="B16" s="105" t="s">
        <v>637</v>
      </c>
      <c r="C16" s="105">
        <v>1</v>
      </c>
      <c r="D16" s="106"/>
      <c r="E16" s="93"/>
      <c r="F16" s="107"/>
      <c r="G16" s="72">
        <v>1</v>
      </c>
      <c r="H16" s="108"/>
      <c r="I16" s="59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>
        <v>1</v>
      </c>
      <c r="AU16" s="105">
        <v>1</v>
      </c>
      <c r="AV16" s="105">
        <v>1</v>
      </c>
      <c r="AW16" s="105">
        <v>1</v>
      </c>
      <c r="AX16" s="105">
        <v>1</v>
      </c>
      <c r="AY16" s="105">
        <v>1</v>
      </c>
      <c r="AZ16" s="105">
        <v>1</v>
      </c>
      <c r="BA16" s="105">
        <v>1</v>
      </c>
      <c r="BB16" s="105">
        <v>1</v>
      </c>
      <c r="BC16" s="105">
        <v>1</v>
      </c>
      <c r="BD16" s="105">
        <v>1</v>
      </c>
      <c r="BE16" s="105">
        <v>1</v>
      </c>
      <c r="BF16" s="105">
        <v>1</v>
      </c>
      <c r="BG16" s="105">
        <v>1</v>
      </c>
      <c r="BH16" s="105">
        <v>1</v>
      </c>
      <c r="BI16" s="105">
        <v>1</v>
      </c>
      <c r="BJ16" s="105">
        <v>1</v>
      </c>
      <c r="BK16" s="105">
        <v>1</v>
      </c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</row>
    <row r="17" spans="2:117" hidden="1" x14ac:dyDescent="0.3">
      <c r="B17" s="105" t="s">
        <v>638</v>
      </c>
      <c r="C17" s="105">
        <v>1</v>
      </c>
      <c r="D17" s="106"/>
      <c r="E17" s="93"/>
      <c r="F17" s="107"/>
      <c r="G17" s="72">
        <v>1</v>
      </c>
      <c r="H17" s="108"/>
      <c r="I17" s="59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>
        <v>1</v>
      </c>
      <c r="AU17" s="105">
        <v>1</v>
      </c>
      <c r="AV17" s="105">
        <v>1</v>
      </c>
      <c r="AW17" s="105">
        <v>1</v>
      </c>
      <c r="AX17" s="105">
        <v>1</v>
      </c>
      <c r="AY17" s="105">
        <v>1</v>
      </c>
      <c r="AZ17" s="105">
        <v>1</v>
      </c>
      <c r="BA17" s="105">
        <v>1</v>
      </c>
      <c r="BB17" s="105">
        <v>1</v>
      </c>
      <c r="BC17" s="105">
        <v>1</v>
      </c>
      <c r="BD17" s="105">
        <v>1</v>
      </c>
      <c r="BE17" s="105">
        <v>1</v>
      </c>
      <c r="BF17" s="105">
        <v>1</v>
      </c>
      <c r="BG17" s="105">
        <v>1</v>
      </c>
      <c r="BH17" s="105">
        <v>1</v>
      </c>
      <c r="BI17" s="105">
        <v>1</v>
      </c>
      <c r="BJ17" s="105">
        <v>1</v>
      </c>
      <c r="BK17" s="105">
        <v>1</v>
      </c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107"/>
      <c r="CW17" s="107"/>
      <c r="CX17" s="107"/>
      <c r="CY17" s="107"/>
      <c r="CZ17" s="107"/>
      <c r="DA17" s="107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7"/>
    </row>
    <row r="18" spans="2:117" hidden="1" x14ac:dyDescent="0.3">
      <c r="B18" s="105" t="s">
        <v>639</v>
      </c>
      <c r="C18" s="105">
        <v>1</v>
      </c>
      <c r="D18" s="106"/>
      <c r="E18" s="93"/>
      <c r="F18" s="107"/>
      <c r="G18" s="72">
        <v>1</v>
      </c>
      <c r="H18" s="108"/>
      <c r="I18" s="59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>
        <v>1</v>
      </c>
      <c r="AU18" s="105">
        <v>1</v>
      </c>
      <c r="AV18" s="105">
        <v>1</v>
      </c>
      <c r="AW18" s="105">
        <v>1</v>
      </c>
      <c r="AX18" s="105">
        <v>1</v>
      </c>
      <c r="AY18" s="105">
        <v>1</v>
      </c>
      <c r="AZ18" s="105">
        <v>1</v>
      </c>
      <c r="BA18" s="105">
        <v>1</v>
      </c>
      <c r="BB18" s="105">
        <v>1</v>
      </c>
      <c r="BC18" s="105">
        <v>1</v>
      </c>
      <c r="BD18" s="105">
        <v>1</v>
      </c>
      <c r="BE18" s="105">
        <v>1</v>
      </c>
      <c r="BF18" s="105">
        <v>1</v>
      </c>
      <c r="BG18" s="105">
        <v>1</v>
      </c>
      <c r="BH18" s="105">
        <v>1</v>
      </c>
      <c r="BI18" s="105">
        <v>1</v>
      </c>
      <c r="BJ18" s="105">
        <v>1</v>
      </c>
      <c r="BK18" s="105">
        <v>1</v>
      </c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107"/>
      <c r="CW18" s="107"/>
      <c r="CX18" s="107"/>
      <c r="CY18" s="107"/>
      <c r="CZ18" s="107"/>
      <c r="DA18" s="107"/>
      <c r="DB18" s="107"/>
      <c r="DC18" s="107"/>
      <c r="DD18" s="107"/>
      <c r="DE18" s="107"/>
      <c r="DF18" s="107"/>
      <c r="DG18" s="107"/>
      <c r="DH18" s="107"/>
      <c r="DI18" s="107"/>
      <c r="DJ18" s="107"/>
      <c r="DK18" s="107"/>
      <c r="DL18" s="107"/>
      <c r="DM18" s="107"/>
    </row>
    <row r="19" spans="2:117" hidden="1" x14ac:dyDescent="0.3">
      <c r="B19" s="106" t="s">
        <v>640</v>
      </c>
      <c r="C19" s="106"/>
      <c r="D19" s="106">
        <v>1</v>
      </c>
      <c r="E19" s="93"/>
      <c r="F19" s="107"/>
      <c r="G19" s="72">
        <v>1</v>
      </c>
      <c r="H19" s="108"/>
      <c r="I19" s="59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>
        <v>1</v>
      </c>
      <c r="BM19" s="106">
        <v>1</v>
      </c>
      <c r="BN19" s="106">
        <v>1</v>
      </c>
      <c r="BO19" s="106">
        <v>1</v>
      </c>
      <c r="BP19" s="106">
        <v>1</v>
      </c>
      <c r="BQ19" s="106">
        <v>1</v>
      </c>
      <c r="BR19" s="106">
        <v>1</v>
      </c>
      <c r="BS19" s="106">
        <v>1</v>
      </c>
      <c r="BT19" s="106">
        <v>1</v>
      </c>
      <c r="BU19" s="106">
        <v>1</v>
      </c>
      <c r="BV19" s="106">
        <v>1</v>
      </c>
      <c r="BW19" s="106">
        <v>1</v>
      </c>
      <c r="BX19" s="106">
        <v>1</v>
      </c>
      <c r="BY19" s="106">
        <v>1</v>
      </c>
      <c r="BZ19" s="106">
        <v>1</v>
      </c>
      <c r="CA19" s="106">
        <v>1</v>
      </c>
      <c r="CB19" s="106">
        <v>1</v>
      </c>
      <c r="CC19" s="106">
        <v>1</v>
      </c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107"/>
      <c r="CW19" s="107"/>
      <c r="CX19" s="107"/>
      <c r="CY19" s="107"/>
      <c r="CZ19" s="107"/>
      <c r="DA19" s="107"/>
      <c r="DB19" s="107"/>
      <c r="DC19" s="107"/>
      <c r="DD19" s="107"/>
      <c r="DE19" s="107"/>
      <c r="DF19" s="107"/>
      <c r="DG19" s="107"/>
      <c r="DH19" s="107"/>
      <c r="DI19" s="107"/>
      <c r="DJ19" s="107"/>
      <c r="DK19" s="107"/>
      <c r="DL19" s="107"/>
      <c r="DM19" s="107"/>
    </row>
    <row r="20" spans="2:117" hidden="1" x14ac:dyDescent="0.3">
      <c r="B20" s="106" t="s">
        <v>641</v>
      </c>
      <c r="C20" s="106"/>
      <c r="D20" s="106">
        <v>1</v>
      </c>
      <c r="E20" s="93"/>
      <c r="F20" s="107"/>
      <c r="G20" s="72">
        <v>1</v>
      </c>
      <c r="H20" s="108"/>
      <c r="I20" s="59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>
        <v>1</v>
      </c>
      <c r="BM20" s="106">
        <v>1</v>
      </c>
      <c r="BN20" s="106">
        <v>1</v>
      </c>
      <c r="BO20" s="106">
        <v>1</v>
      </c>
      <c r="BP20" s="106">
        <v>1</v>
      </c>
      <c r="BQ20" s="106">
        <v>1</v>
      </c>
      <c r="BR20" s="106">
        <v>1</v>
      </c>
      <c r="BS20" s="106">
        <v>1</v>
      </c>
      <c r="BT20" s="106">
        <v>1</v>
      </c>
      <c r="BU20" s="106">
        <v>1</v>
      </c>
      <c r="BV20" s="106">
        <v>1</v>
      </c>
      <c r="BW20" s="106">
        <v>1</v>
      </c>
      <c r="BX20" s="106">
        <v>1</v>
      </c>
      <c r="BY20" s="106">
        <v>1</v>
      </c>
      <c r="BZ20" s="106">
        <v>1</v>
      </c>
      <c r="CA20" s="106">
        <v>1</v>
      </c>
      <c r="CB20" s="106">
        <v>1</v>
      </c>
      <c r="CC20" s="106">
        <v>1</v>
      </c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107"/>
      <c r="CW20" s="107"/>
      <c r="CX20" s="107"/>
      <c r="CY20" s="107"/>
      <c r="CZ20" s="107"/>
      <c r="DA20" s="107"/>
      <c r="DB20" s="107"/>
      <c r="DC20" s="107"/>
      <c r="DD20" s="107"/>
      <c r="DE20" s="107"/>
      <c r="DF20" s="107"/>
      <c r="DG20" s="107"/>
      <c r="DH20" s="107"/>
      <c r="DI20" s="107"/>
      <c r="DJ20" s="107"/>
      <c r="DK20" s="107"/>
      <c r="DL20" s="107"/>
      <c r="DM20" s="107"/>
    </row>
    <row r="21" spans="2:117" hidden="1" x14ac:dyDescent="0.3">
      <c r="B21" s="106" t="s">
        <v>642</v>
      </c>
      <c r="C21" s="106"/>
      <c r="D21" s="106">
        <v>1</v>
      </c>
      <c r="E21" s="93"/>
      <c r="F21" s="107"/>
      <c r="G21" s="72">
        <v>1</v>
      </c>
      <c r="H21" s="108"/>
      <c r="I21" s="59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>
        <v>1</v>
      </c>
      <c r="BM21" s="106">
        <v>1</v>
      </c>
      <c r="BN21" s="106">
        <v>1</v>
      </c>
      <c r="BO21" s="106">
        <v>1</v>
      </c>
      <c r="BP21" s="106">
        <v>1</v>
      </c>
      <c r="BQ21" s="106">
        <v>1</v>
      </c>
      <c r="BR21" s="106">
        <v>1</v>
      </c>
      <c r="BS21" s="106">
        <v>1</v>
      </c>
      <c r="BT21" s="106">
        <v>1</v>
      </c>
      <c r="BU21" s="106">
        <v>1</v>
      </c>
      <c r="BV21" s="106">
        <v>1</v>
      </c>
      <c r="BW21" s="106">
        <v>1</v>
      </c>
      <c r="BX21" s="106">
        <v>1</v>
      </c>
      <c r="BY21" s="106">
        <v>1</v>
      </c>
      <c r="BZ21" s="106">
        <v>1</v>
      </c>
      <c r="CA21" s="106">
        <v>1</v>
      </c>
      <c r="CB21" s="106">
        <v>1</v>
      </c>
      <c r="CC21" s="106">
        <v>1</v>
      </c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107"/>
      <c r="CW21" s="107"/>
      <c r="CX21" s="107"/>
      <c r="CY21" s="107"/>
      <c r="CZ21" s="107"/>
      <c r="DA21" s="107"/>
      <c r="DB21" s="107"/>
      <c r="DC21" s="107"/>
      <c r="DD21" s="107"/>
      <c r="DE21" s="107"/>
      <c r="DF21" s="107"/>
      <c r="DG21" s="107"/>
      <c r="DH21" s="107"/>
      <c r="DI21" s="107"/>
      <c r="DJ21" s="107"/>
      <c r="DK21" s="107"/>
      <c r="DL21" s="107"/>
      <c r="DM21" s="107"/>
    </row>
    <row r="22" spans="2:117" hidden="1" x14ac:dyDescent="0.3">
      <c r="B22" s="106" t="s">
        <v>1166</v>
      </c>
      <c r="C22" s="106"/>
      <c r="D22" s="106">
        <v>1</v>
      </c>
      <c r="E22" s="93"/>
      <c r="F22" s="107"/>
      <c r="G22" s="72">
        <v>1</v>
      </c>
      <c r="H22" s="108"/>
      <c r="I22" s="59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>
        <v>1</v>
      </c>
      <c r="BM22" s="106">
        <v>1</v>
      </c>
      <c r="BN22" s="106">
        <v>1</v>
      </c>
      <c r="BO22" s="106">
        <v>1</v>
      </c>
      <c r="BP22" s="106">
        <v>1</v>
      </c>
      <c r="BQ22" s="106">
        <v>1</v>
      </c>
      <c r="BR22" s="106">
        <v>1</v>
      </c>
      <c r="BS22" s="106">
        <v>1</v>
      </c>
      <c r="BT22" s="106">
        <v>1</v>
      </c>
      <c r="BU22" s="106">
        <v>1</v>
      </c>
      <c r="BV22" s="106">
        <v>1</v>
      </c>
      <c r="BW22" s="106">
        <v>1</v>
      </c>
      <c r="BX22" s="106">
        <v>1</v>
      </c>
      <c r="BY22" s="106">
        <v>1</v>
      </c>
      <c r="BZ22" s="106">
        <v>1</v>
      </c>
      <c r="CA22" s="106">
        <v>1</v>
      </c>
      <c r="CB22" s="106">
        <v>1</v>
      </c>
      <c r="CC22" s="106">
        <v>1</v>
      </c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107"/>
      <c r="CW22" s="107"/>
      <c r="CX22" s="107"/>
      <c r="CY22" s="107"/>
      <c r="CZ22" s="107"/>
      <c r="DA22" s="107"/>
      <c r="DB22" s="107"/>
      <c r="DC22" s="107"/>
      <c r="DD22" s="107"/>
      <c r="DE22" s="107"/>
      <c r="DF22" s="107"/>
      <c r="DG22" s="107"/>
      <c r="DH22" s="107"/>
      <c r="DI22" s="107"/>
      <c r="DJ22" s="107"/>
      <c r="DK22" s="107"/>
      <c r="DL22" s="107"/>
      <c r="DM22" s="107"/>
    </row>
    <row r="23" spans="2:117" hidden="1" x14ac:dyDescent="0.3">
      <c r="B23" s="106" t="s">
        <v>643</v>
      </c>
      <c r="C23" s="106"/>
      <c r="D23" s="106">
        <v>1</v>
      </c>
      <c r="E23" s="93"/>
      <c r="F23" s="107"/>
      <c r="G23" s="72">
        <v>1</v>
      </c>
      <c r="H23" s="108"/>
      <c r="I23" s="59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>
        <v>1</v>
      </c>
      <c r="BM23" s="106">
        <v>1</v>
      </c>
      <c r="BN23" s="106">
        <v>1</v>
      </c>
      <c r="BO23" s="106">
        <v>1</v>
      </c>
      <c r="BP23" s="106">
        <v>1</v>
      </c>
      <c r="BQ23" s="106">
        <v>1</v>
      </c>
      <c r="BR23" s="106">
        <v>1</v>
      </c>
      <c r="BS23" s="106">
        <v>1</v>
      </c>
      <c r="BT23" s="106">
        <v>1</v>
      </c>
      <c r="BU23" s="106">
        <v>1</v>
      </c>
      <c r="BV23" s="106">
        <v>1</v>
      </c>
      <c r="BW23" s="106">
        <v>1</v>
      </c>
      <c r="BX23" s="106">
        <v>1</v>
      </c>
      <c r="BY23" s="106">
        <v>1</v>
      </c>
      <c r="BZ23" s="106">
        <v>1</v>
      </c>
      <c r="CA23" s="106">
        <v>1</v>
      </c>
      <c r="CB23" s="106">
        <v>1</v>
      </c>
      <c r="CC23" s="106">
        <v>1</v>
      </c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3"/>
      <c r="CQ23" s="93"/>
      <c r="CR23" s="93"/>
      <c r="CS23" s="93"/>
      <c r="CT23" s="93"/>
      <c r="CU23" s="93"/>
      <c r="CV23" s="107"/>
      <c r="CW23" s="107"/>
      <c r="CX23" s="107"/>
      <c r="CY23" s="107"/>
      <c r="CZ23" s="107"/>
      <c r="DA23" s="107"/>
      <c r="DB23" s="107"/>
      <c r="DC23" s="107"/>
      <c r="DD23" s="107"/>
      <c r="DE23" s="107"/>
      <c r="DF23" s="107"/>
      <c r="DG23" s="107"/>
      <c r="DH23" s="107"/>
      <c r="DI23" s="107"/>
      <c r="DJ23" s="107"/>
      <c r="DK23" s="107"/>
      <c r="DL23" s="107"/>
      <c r="DM23" s="107"/>
    </row>
    <row r="24" spans="2:117" hidden="1" x14ac:dyDescent="0.3">
      <c r="B24" s="93" t="s">
        <v>898</v>
      </c>
      <c r="C24" s="93"/>
      <c r="D24" s="93"/>
      <c r="E24" s="93">
        <v>1</v>
      </c>
      <c r="F24" s="107"/>
      <c r="H24" s="108"/>
      <c r="I24" s="59"/>
      <c r="J24" s="90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3"/>
      <c r="CS24" s="93"/>
      <c r="CT24" s="93"/>
      <c r="CU24" s="93"/>
      <c r="CV24" s="107"/>
      <c r="CW24" s="107"/>
      <c r="CX24" s="107"/>
      <c r="CY24" s="107"/>
      <c r="CZ24" s="107"/>
      <c r="DA24" s="107"/>
      <c r="DB24" s="107"/>
      <c r="DC24" s="107"/>
      <c r="DD24" s="107"/>
      <c r="DE24" s="107"/>
      <c r="DF24" s="107"/>
      <c r="DG24" s="107"/>
      <c r="DH24" s="107"/>
      <c r="DI24" s="107"/>
      <c r="DJ24" s="107"/>
      <c r="DK24" s="107"/>
      <c r="DL24" s="107"/>
      <c r="DM24" s="107"/>
    </row>
    <row r="25" spans="2:117" hidden="1" x14ac:dyDescent="0.3">
      <c r="B25" s="93" t="s">
        <v>913</v>
      </c>
      <c r="C25" s="93"/>
      <c r="D25" s="93"/>
      <c r="E25" s="93">
        <v>1</v>
      </c>
      <c r="F25" s="107"/>
      <c r="H25" s="108"/>
      <c r="I25" s="59"/>
      <c r="J25" s="90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107"/>
      <c r="CW25" s="107"/>
      <c r="CX25" s="107"/>
      <c r="CY25" s="107"/>
      <c r="CZ25" s="107"/>
      <c r="DA25" s="107"/>
      <c r="DB25" s="107"/>
      <c r="DC25" s="107"/>
      <c r="DD25" s="107"/>
      <c r="DE25" s="107"/>
      <c r="DF25" s="107"/>
      <c r="DG25" s="107"/>
      <c r="DH25" s="107"/>
      <c r="DI25" s="107"/>
      <c r="DJ25" s="107"/>
      <c r="DK25" s="107"/>
      <c r="DL25" s="107"/>
      <c r="DM25" s="107"/>
    </row>
    <row r="26" spans="2:117" hidden="1" x14ac:dyDescent="0.3">
      <c r="B26" s="107" t="s">
        <v>247</v>
      </c>
      <c r="C26" s="107"/>
      <c r="D26" s="107"/>
      <c r="E26" s="107"/>
      <c r="F26" s="107">
        <v>1</v>
      </c>
      <c r="G26" s="108"/>
      <c r="H26" s="108">
        <v>0.25</v>
      </c>
      <c r="I26" s="59">
        <v>1</v>
      </c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107"/>
      <c r="CL26" s="107"/>
      <c r="CM26" s="107"/>
      <c r="CN26" s="107"/>
      <c r="CO26" s="107"/>
      <c r="CP26" s="107"/>
      <c r="CQ26" s="107"/>
      <c r="CR26" s="107"/>
      <c r="CS26" s="107"/>
      <c r="CT26" s="107"/>
      <c r="CU26" s="107"/>
      <c r="CV26" s="107">
        <v>1</v>
      </c>
      <c r="CW26" s="107">
        <v>1</v>
      </c>
      <c r="CX26" s="107">
        <v>1</v>
      </c>
      <c r="CY26" s="107">
        <v>1</v>
      </c>
      <c r="CZ26" s="107">
        <v>1</v>
      </c>
      <c r="DA26" s="107">
        <v>1</v>
      </c>
      <c r="DB26" s="107">
        <v>1</v>
      </c>
      <c r="DC26" s="107">
        <v>1</v>
      </c>
      <c r="DD26" s="107">
        <v>1</v>
      </c>
      <c r="DE26" s="107">
        <v>1</v>
      </c>
      <c r="DF26" s="107">
        <v>1</v>
      </c>
      <c r="DG26" s="107">
        <v>1</v>
      </c>
      <c r="DH26" s="107">
        <v>1</v>
      </c>
      <c r="DI26" s="107">
        <v>1</v>
      </c>
      <c r="DJ26" s="107">
        <v>1</v>
      </c>
      <c r="DK26" s="107">
        <v>1</v>
      </c>
      <c r="DL26" s="107">
        <v>1</v>
      </c>
      <c r="DM26" s="107">
        <v>1</v>
      </c>
    </row>
    <row r="27" spans="2:117" hidden="1" x14ac:dyDescent="0.3">
      <c r="B27" s="107" t="s">
        <v>899</v>
      </c>
      <c r="C27" s="107"/>
      <c r="D27" s="107"/>
      <c r="E27" s="107"/>
      <c r="F27" s="107">
        <v>1</v>
      </c>
      <c r="H27" s="108"/>
      <c r="I27" s="59"/>
      <c r="J27" s="90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CD27" s="93"/>
      <c r="CE27" s="93"/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3"/>
      <c r="CQ27" s="93"/>
      <c r="CR27" s="93"/>
      <c r="CS27" s="93"/>
      <c r="CT27" s="93"/>
      <c r="CU27" s="93"/>
      <c r="CV27" s="107"/>
      <c r="CW27" s="107"/>
      <c r="CX27" s="107"/>
      <c r="CY27" s="107"/>
      <c r="CZ27" s="107"/>
      <c r="DA27" s="107"/>
      <c r="DB27" s="107"/>
      <c r="DC27" s="107"/>
      <c r="DD27" s="107"/>
      <c r="DE27" s="107"/>
      <c r="DF27" s="107"/>
      <c r="DG27" s="107"/>
      <c r="DH27" s="107"/>
      <c r="DI27" s="107"/>
      <c r="DJ27" s="107"/>
      <c r="DK27" s="107"/>
      <c r="DL27" s="107"/>
      <c r="DM27" s="107"/>
    </row>
    <row r="28" spans="2:117" hidden="1" x14ac:dyDescent="0.3">
      <c r="B28" s="108" t="s">
        <v>644</v>
      </c>
      <c r="C28" s="108"/>
      <c r="D28" s="108"/>
      <c r="E28" s="108"/>
      <c r="F28" s="108"/>
      <c r="G28" s="108"/>
      <c r="H28" s="108">
        <v>0.25</v>
      </c>
      <c r="I28" s="59">
        <v>1</v>
      </c>
      <c r="J28" s="90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107"/>
      <c r="CW28" s="107"/>
      <c r="CX28" s="107"/>
      <c r="CY28" s="107"/>
      <c r="CZ28" s="107"/>
      <c r="DA28" s="107"/>
      <c r="DB28" s="107"/>
      <c r="DC28" s="107"/>
      <c r="DD28" s="107"/>
      <c r="DE28" s="107"/>
      <c r="DF28" s="107"/>
      <c r="DG28" s="107"/>
      <c r="DH28" s="107"/>
      <c r="DI28" s="107"/>
      <c r="DJ28" s="107"/>
      <c r="DK28" s="107"/>
      <c r="DL28" s="107"/>
      <c r="DM28" s="107"/>
    </row>
    <row r="29" spans="2:117" hidden="1" x14ac:dyDescent="0.3">
      <c r="B29" s="108" t="s">
        <v>235</v>
      </c>
      <c r="C29" s="108"/>
      <c r="D29" s="108"/>
      <c r="E29" s="108"/>
      <c r="F29" s="108"/>
      <c r="G29" s="108"/>
      <c r="H29" s="108">
        <v>0.25</v>
      </c>
      <c r="I29" s="59">
        <v>1</v>
      </c>
      <c r="J29" s="90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107"/>
      <c r="CW29" s="107"/>
      <c r="CX29" s="107"/>
      <c r="CY29" s="107"/>
      <c r="CZ29" s="107"/>
      <c r="DA29" s="107"/>
      <c r="DB29" s="107"/>
      <c r="DC29" s="107"/>
      <c r="DD29" s="107"/>
      <c r="DE29" s="107"/>
      <c r="DF29" s="107"/>
      <c r="DG29" s="107"/>
      <c r="DH29" s="107"/>
      <c r="DI29" s="107"/>
      <c r="DJ29" s="107"/>
      <c r="DK29" s="107"/>
      <c r="DL29" s="107"/>
      <c r="DM29" s="107"/>
    </row>
    <row r="30" spans="2:117" hidden="1" x14ac:dyDescent="0.3">
      <c r="B30" s="111" t="s">
        <v>242</v>
      </c>
      <c r="C30" s="108"/>
      <c r="D30" s="108"/>
      <c r="E30" s="108"/>
      <c r="F30" s="108"/>
      <c r="G30" s="108"/>
      <c r="H30" s="108">
        <v>0.25</v>
      </c>
      <c r="I30" s="59">
        <v>1</v>
      </c>
      <c r="J30" s="90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CD30" s="93"/>
      <c r="CE30" s="93"/>
      <c r="CF30" s="93"/>
      <c r="CG30" s="93"/>
      <c r="CH30" s="93"/>
      <c r="CI30" s="93"/>
      <c r="CJ30" s="93"/>
      <c r="CK30" s="93"/>
      <c r="CL30" s="93"/>
      <c r="CM30" s="93"/>
      <c r="CN30" s="93"/>
      <c r="CO30" s="93"/>
      <c r="CP30" s="93"/>
      <c r="CQ30" s="93"/>
      <c r="CR30" s="93"/>
      <c r="CS30" s="93"/>
      <c r="CT30" s="93"/>
      <c r="CU30" s="93"/>
      <c r="CV30" s="107"/>
      <c r="CW30" s="107"/>
      <c r="CX30" s="107"/>
      <c r="CY30" s="107"/>
      <c r="CZ30" s="107"/>
      <c r="DA30" s="107"/>
      <c r="DB30" s="107"/>
      <c r="DC30" s="107"/>
      <c r="DD30" s="107"/>
      <c r="DE30" s="107"/>
      <c r="DF30" s="107"/>
      <c r="DG30" s="107"/>
      <c r="DH30" s="107"/>
      <c r="DI30" s="107"/>
      <c r="DJ30" s="107"/>
      <c r="DK30" s="107"/>
      <c r="DL30" s="107"/>
      <c r="DM30" s="107"/>
    </row>
    <row r="31" spans="2:117" x14ac:dyDescent="0.3">
      <c r="B31" s="111" t="s">
        <v>248</v>
      </c>
      <c r="C31" s="108"/>
      <c r="D31" s="108"/>
      <c r="E31" s="108"/>
      <c r="F31" s="108"/>
      <c r="G31" s="108"/>
      <c r="H31" s="108">
        <v>0.25</v>
      </c>
      <c r="I31" s="59">
        <v>1</v>
      </c>
      <c r="J31" s="90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107"/>
      <c r="CW31" s="107"/>
      <c r="CX31" s="107"/>
      <c r="CY31" s="107"/>
      <c r="CZ31" s="107"/>
      <c r="DA31" s="107"/>
      <c r="DB31" s="107"/>
      <c r="DC31" s="107"/>
      <c r="DD31" s="107"/>
      <c r="DE31" s="107"/>
      <c r="DF31" s="107"/>
      <c r="DG31" s="107"/>
      <c r="DH31" s="107"/>
      <c r="DI31" s="107"/>
      <c r="DJ31" s="107"/>
      <c r="DK31" s="107"/>
      <c r="DL31" s="107"/>
      <c r="DM31" s="107"/>
    </row>
    <row r="32" spans="2:117" x14ac:dyDescent="0.3">
      <c r="B32" s="108" t="s">
        <v>1477</v>
      </c>
      <c r="C32" s="108"/>
      <c r="D32" s="108"/>
      <c r="E32" s="108"/>
      <c r="F32" s="108"/>
      <c r="G32" s="108"/>
      <c r="H32" s="108">
        <v>0.25</v>
      </c>
      <c r="I32" s="59">
        <v>1</v>
      </c>
      <c r="J32" s="90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CD32" s="93"/>
      <c r="CE32" s="93"/>
      <c r="CF32" s="93"/>
      <c r="CG32" s="93"/>
      <c r="CH32" s="93"/>
      <c r="CI32" s="93"/>
      <c r="CJ32" s="93"/>
      <c r="CK32" s="93"/>
      <c r="CL32" s="93"/>
      <c r="CM32" s="93"/>
      <c r="CN32" s="93"/>
      <c r="CO32" s="93"/>
      <c r="CP32" s="93"/>
      <c r="CQ32" s="93"/>
      <c r="CR32" s="93"/>
      <c r="CS32" s="93"/>
      <c r="CT32" s="93"/>
      <c r="CU32" s="93"/>
      <c r="CV32" s="107"/>
      <c r="CW32" s="107"/>
      <c r="CX32" s="107"/>
      <c r="CY32" s="107"/>
      <c r="CZ32" s="107"/>
      <c r="DA32" s="107"/>
      <c r="DB32" s="107"/>
      <c r="DC32" s="107"/>
      <c r="DD32" s="107"/>
      <c r="DE32" s="107"/>
      <c r="DF32" s="107"/>
      <c r="DG32" s="107"/>
      <c r="DH32" s="107"/>
      <c r="DI32" s="107"/>
      <c r="DJ32" s="107"/>
      <c r="DK32" s="107"/>
      <c r="DL32" s="107"/>
      <c r="DM32" s="107"/>
    </row>
    <row r="33" spans="2:117" x14ac:dyDescent="0.3">
      <c r="B33" s="108" t="s">
        <v>1478</v>
      </c>
      <c r="C33" s="108"/>
      <c r="D33" s="108"/>
      <c r="E33" s="108"/>
      <c r="F33" s="108"/>
      <c r="G33" s="108"/>
      <c r="H33" s="108">
        <v>0.25</v>
      </c>
      <c r="I33" s="59">
        <v>1</v>
      </c>
      <c r="J33" s="90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107"/>
      <c r="CW33" s="107"/>
      <c r="CX33" s="107"/>
      <c r="CY33" s="107"/>
      <c r="CZ33" s="107"/>
      <c r="DA33" s="107"/>
      <c r="DB33" s="107"/>
      <c r="DC33" s="107"/>
      <c r="DD33" s="107"/>
      <c r="DE33" s="107"/>
      <c r="DF33" s="107"/>
      <c r="DG33" s="107"/>
      <c r="DH33" s="107"/>
      <c r="DI33" s="107"/>
      <c r="DJ33" s="107"/>
      <c r="DK33" s="107"/>
      <c r="DL33" s="107"/>
      <c r="DM33" s="107"/>
    </row>
    <row r="34" spans="2:117" x14ac:dyDescent="0.3">
      <c r="B34" s="108" t="s">
        <v>1479</v>
      </c>
      <c r="C34" s="108"/>
      <c r="D34" s="108"/>
      <c r="E34" s="108"/>
      <c r="F34" s="108"/>
      <c r="G34" s="108"/>
      <c r="H34" s="108">
        <v>0.25</v>
      </c>
      <c r="I34" s="59">
        <v>1</v>
      </c>
      <c r="J34" s="90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CD34" s="93"/>
      <c r="CE34" s="93"/>
      <c r="CF34" s="93"/>
      <c r="CG34" s="93"/>
      <c r="CH34" s="93"/>
      <c r="CI34" s="93"/>
      <c r="CJ34" s="93"/>
      <c r="CK34" s="93"/>
      <c r="CL34" s="93"/>
      <c r="CM34" s="93"/>
      <c r="CN34" s="93"/>
      <c r="CO34" s="93"/>
      <c r="CP34" s="93"/>
      <c r="CQ34" s="93"/>
      <c r="CR34" s="93"/>
      <c r="CS34" s="93"/>
      <c r="CT34" s="93"/>
      <c r="CU34" s="93"/>
      <c r="CV34" s="107"/>
      <c r="CW34" s="107"/>
      <c r="CX34" s="107"/>
      <c r="CY34" s="107"/>
      <c r="CZ34" s="107"/>
      <c r="DA34" s="107"/>
      <c r="DB34" s="107"/>
      <c r="DC34" s="107"/>
      <c r="DD34" s="107"/>
      <c r="DE34" s="107"/>
      <c r="DF34" s="107"/>
      <c r="DG34" s="107"/>
      <c r="DH34" s="107"/>
      <c r="DI34" s="107"/>
      <c r="DJ34" s="107"/>
      <c r="DK34" s="107"/>
      <c r="DL34" s="107"/>
      <c r="DM34" s="107"/>
    </row>
    <row r="35" spans="2:117" x14ac:dyDescent="0.3">
      <c r="B35" s="108" t="s">
        <v>1480</v>
      </c>
      <c r="C35" s="108"/>
      <c r="D35" s="108"/>
      <c r="E35" s="108"/>
      <c r="F35" s="108"/>
      <c r="G35" s="108"/>
      <c r="H35" s="108">
        <v>0.25</v>
      </c>
      <c r="I35" s="59">
        <v>1</v>
      </c>
      <c r="J35" s="90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107"/>
      <c r="CW35" s="107"/>
      <c r="CX35" s="107"/>
      <c r="CY35" s="107"/>
      <c r="CZ35" s="107"/>
      <c r="DA35" s="107"/>
      <c r="DB35" s="107"/>
      <c r="DC35" s="107"/>
      <c r="DD35" s="107"/>
      <c r="DE35" s="107"/>
      <c r="DF35" s="107"/>
      <c r="DG35" s="107"/>
      <c r="DH35" s="107"/>
      <c r="DI35" s="107"/>
      <c r="DJ35" s="107"/>
      <c r="DK35" s="107"/>
      <c r="DL35" s="107"/>
      <c r="DM35" s="107"/>
    </row>
    <row r="36" spans="2:117" x14ac:dyDescent="0.3">
      <c r="B36" s="108" t="s">
        <v>1481</v>
      </c>
      <c r="C36" s="108"/>
      <c r="D36" s="108"/>
      <c r="E36" s="108"/>
      <c r="F36" s="108"/>
      <c r="G36" s="108"/>
      <c r="H36" s="108">
        <v>0.25</v>
      </c>
      <c r="I36" s="59">
        <v>1</v>
      </c>
      <c r="J36" s="90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107"/>
      <c r="CW36" s="107"/>
      <c r="CX36" s="107"/>
      <c r="CY36" s="107"/>
      <c r="CZ36" s="107"/>
      <c r="DA36" s="107"/>
      <c r="DB36" s="107"/>
      <c r="DC36" s="107"/>
      <c r="DD36" s="107"/>
      <c r="DE36" s="107"/>
      <c r="DF36" s="107"/>
      <c r="DG36" s="107"/>
      <c r="DH36" s="107"/>
      <c r="DI36" s="107"/>
      <c r="DJ36" s="107"/>
      <c r="DK36" s="107"/>
      <c r="DL36" s="107"/>
      <c r="DM36" s="107"/>
    </row>
    <row r="37" spans="2:117" x14ac:dyDescent="0.3">
      <c r="B37" s="59" t="s">
        <v>645</v>
      </c>
      <c r="C37" s="59"/>
      <c r="D37" s="59"/>
      <c r="E37" s="59"/>
      <c r="F37" s="59"/>
      <c r="G37" s="59"/>
      <c r="H37" s="59"/>
      <c r="I37" s="59">
        <v>1</v>
      </c>
    </row>
    <row r="38" spans="2:117" x14ac:dyDescent="0.3">
      <c r="B38" s="59" t="s">
        <v>646</v>
      </c>
      <c r="C38" s="59"/>
      <c r="D38" s="59"/>
      <c r="E38" s="59"/>
      <c r="F38" s="59"/>
      <c r="G38" s="59"/>
      <c r="H38" s="59"/>
      <c r="I38" s="59">
        <v>1</v>
      </c>
    </row>
    <row r="39" spans="2:117" x14ac:dyDescent="0.3">
      <c r="B39" s="59" t="s">
        <v>647</v>
      </c>
      <c r="C39" s="59"/>
      <c r="D39" s="59"/>
      <c r="E39" s="59"/>
      <c r="F39" s="59"/>
      <c r="G39" s="59"/>
      <c r="H39" s="59"/>
      <c r="I39" s="59">
        <v>1</v>
      </c>
    </row>
    <row r="40" spans="2:117" x14ac:dyDescent="0.3">
      <c r="B40" s="59" t="s">
        <v>648</v>
      </c>
      <c r="C40" s="59"/>
      <c r="D40" s="59"/>
      <c r="E40" s="59"/>
      <c r="F40" s="59"/>
      <c r="G40" s="59"/>
      <c r="H40" s="59"/>
      <c r="I40" s="59">
        <v>1</v>
      </c>
    </row>
    <row r="41" spans="2:117" x14ac:dyDescent="0.3">
      <c r="B41" s="59" t="s">
        <v>649</v>
      </c>
      <c r="C41" s="59"/>
      <c r="D41" s="59"/>
      <c r="E41" s="59"/>
      <c r="F41" s="59"/>
      <c r="G41" s="59"/>
      <c r="H41" s="59"/>
      <c r="I41" s="59">
        <v>1</v>
      </c>
    </row>
    <row r="42" spans="2:117" x14ac:dyDescent="0.3">
      <c r="B42" s="59" t="s">
        <v>650</v>
      </c>
      <c r="C42" s="59"/>
      <c r="D42" s="59"/>
      <c r="E42" s="59"/>
      <c r="F42" s="59"/>
      <c r="G42" s="59"/>
      <c r="H42" s="59"/>
      <c r="I42" s="59">
        <v>1</v>
      </c>
    </row>
    <row r="43" spans="2:117" x14ac:dyDescent="0.3">
      <c r="B43" s="59" t="s">
        <v>651</v>
      </c>
      <c r="C43" s="59"/>
      <c r="D43" s="59"/>
      <c r="E43" s="59"/>
      <c r="F43" s="59"/>
      <c r="G43" s="59"/>
      <c r="H43" s="59"/>
      <c r="I43" s="59">
        <v>1</v>
      </c>
    </row>
    <row r="44" spans="2:117" x14ac:dyDescent="0.3">
      <c r="B44" s="59" t="s">
        <v>258</v>
      </c>
      <c r="C44" s="59"/>
      <c r="D44" s="59"/>
      <c r="E44" s="59"/>
      <c r="F44" s="59"/>
      <c r="G44" s="59"/>
      <c r="H44" s="59"/>
      <c r="I44" s="59">
        <v>1</v>
      </c>
    </row>
    <row r="45" spans="2:117" x14ac:dyDescent="0.3">
      <c r="B45" s="59" t="s">
        <v>261</v>
      </c>
      <c r="C45" s="59"/>
      <c r="D45" s="59"/>
      <c r="E45" s="59"/>
      <c r="F45" s="59"/>
      <c r="G45" s="59"/>
      <c r="H45" s="59"/>
      <c r="I45" s="59">
        <v>1</v>
      </c>
    </row>
    <row r="46" spans="2:117" x14ac:dyDescent="0.3">
      <c r="B46" s="59" t="s">
        <v>652</v>
      </c>
      <c r="C46" s="59"/>
      <c r="D46" s="59"/>
      <c r="E46" s="59"/>
      <c r="F46" s="59"/>
      <c r="G46" s="59"/>
      <c r="H46" s="59"/>
      <c r="I46" s="59">
        <v>1</v>
      </c>
    </row>
    <row r="47" spans="2:117" x14ac:dyDescent="0.3">
      <c r="B47" s="59" t="s">
        <v>653</v>
      </c>
      <c r="C47" s="59"/>
      <c r="D47" s="59"/>
      <c r="E47" s="59"/>
      <c r="F47" s="59"/>
      <c r="G47" s="59"/>
      <c r="H47" s="59"/>
      <c r="I47" s="59">
        <v>1</v>
      </c>
    </row>
    <row r="48" spans="2:117" x14ac:dyDescent="0.3">
      <c r="B48" s="59" t="s">
        <v>654</v>
      </c>
      <c r="C48" s="59"/>
      <c r="D48" s="59"/>
      <c r="E48" s="59"/>
      <c r="F48" s="59"/>
      <c r="G48" s="59"/>
      <c r="H48" s="59"/>
      <c r="I48" s="59">
        <v>1</v>
      </c>
    </row>
    <row r="49" spans="2:9" x14ac:dyDescent="0.3">
      <c r="B49" s="59" t="s">
        <v>655</v>
      </c>
      <c r="C49" s="59"/>
      <c r="D49" s="59"/>
      <c r="E49" s="59"/>
      <c r="F49" s="59"/>
      <c r="G49" s="59"/>
      <c r="H49" s="59"/>
      <c r="I49" s="59">
        <v>1</v>
      </c>
    </row>
    <row r="50" spans="2:9" x14ac:dyDescent="0.3">
      <c r="B50" s="59" t="s">
        <v>253</v>
      </c>
      <c r="C50" s="59"/>
      <c r="D50" s="59"/>
      <c r="E50" s="59"/>
      <c r="F50" s="59"/>
      <c r="G50" s="59"/>
      <c r="H50" s="59"/>
      <c r="I50" s="59">
        <v>1</v>
      </c>
    </row>
    <row r="51" spans="2:9" x14ac:dyDescent="0.3">
      <c r="B51" s="59" t="s">
        <v>1469</v>
      </c>
      <c r="C51" s="59"/>
      <c r="D51" s="59"/>
      <c r="E51" s="59"/>
      <c r="F51" s="59"/>
      <c r="G51" s="59"/>
      <c r="H51" s="59"/>
      <c r="I51" s="59">
        <v>1</v>
      </c>
    </row>
    <row r="52" spans="2:9" x14ac:dyDescent="0.3">
      <c r="B52" s="59" t="s">
        <v>1486</v>
      </c>
      <c r="C52" s="59"/>
      <c r="D52" s="59"/>
      <c r="E52" s="59"/>
      <c r="F52" s="59"/>
      <c r="G52" s="59"/>
      <c r="H52" s="59"/>
      <c r="I52" s="59">
        <v>1</v>
      </c>
    </row>
    <row r="53" spans="2:9" x14ac:dyDescent="0.3">
      <c r="B53" s="59" t="s">
        <v>1470</v>
      </c>
      <c r="C53" s="59"/>
      <c r="D53" s="59"/>
      <c r="E53" s="59"/>
      <c r="F53" s="59"/>
      <c r="G53" s="59"/>
      <c r="H53" s="59"/>
      <c r="I53" s="59">
        <v>1</v>
      </c>
    </row>
    <row r="54" spans="2:9" x14ac:dyDescent="0.3">
      <c r="B54" s="59" t="s">
        <v>1555</v>
      </c>
      <c r="C54" s="59"/>
      <c r="D54" s="59"/>
      <c r="E54" s="59"/>
      <c r="F54" s="59"/>
      <c r="G54" s="59"/>
      <c r="H54" s="59"/>
      <c r="I54" s="59">
        <v>1</v>
      </c>
    </row>
    <row r="55" spans="2:9" x14ac:dyDescent="0.3">
      <c r="B55" s="59" t="s">
        <v>269</v>
      </c>
      <c r="C55" s="59"/>
      <c r="D55" s="59"/>
      <c r="E55" s="59"/>
      <c r="F55" s="59"/>
      <c r="G55" s="59"/>
      <c r="H55" s="59"/>
      <c r="I55" s="59">
        <v>1</v>
      </c>
    </row>
    <row r="56" spans="2:9" x14ac:dyDescent="0.3">
      <c r="B56" s="59" t="s">
        <v>1556</v>
      </c>
      <c r="C56" s="59"/>
      <c r="D56" s="59"/>
      <c r="E56" s="59"/>
      <c r="F56" s="59"/>
      <c r="G56" s="59"/>
      <c r="H56" s="59"/>
      <c r="I56" s="59">
        <v>1</v>
      </c>
    </row>
    <row r="57" spans="2:9" x14ac:dyDescent="0.3">
      <c r="B57" s="59" t="s">
        <v>1493</v>
      </c>
      <c r="C57" s="59"/>
      <c r="D57" s="59"/>
      <c r="E57" s="59"/>
      <c r="F57" s="59"/>
      <c r="G57" s="59"/>
      <c r="H57" s="59"/>
      <c r="I57" s="59">
        <v>1</v>
      </c>
    </row>
    <row r="58" spans="2:9" x14ac:dyDescent="0.3">
      <c r="B58" s="59" t="s">
        <v>1494</v>
      </c>
      <c r="C58" s="59"/>
      <c r="D58" s="59"/>
      <c r="E58" s="59"/>
      <c r="F58" s="59"/>
      <c r="G58" s="59"/>
      <c r="H58" s="59"/>
      <c r="I58" s="59">
        <v>1</v>
      </c>
    </row>
    <row r="59" spans="2:9" x14ac:dyDescent="0.3">
      <c r="B59" s="59" t="s">
        <v>1495</v>
      </c>
      <c r="C59" s="59"/>
      <c r="D59" s="59"/>
      <c r="E59" s="59"/>
      <c r="F59" s="59"/>
      <c r="G59" s="59"/>
      <c r="H59" s="59"/>
      <c r="I59" s="59">
        <v>1</v>
      </c>
    </row>
    <row r="60" spans="2:9" x14ac:dyDescent="0.3">
      <c r="B60" s="59" t="s">
        <v>1467</v>
      </c>
      <c r="C60" s="59"/>
      <c r="D60" s="59"/>
      <c r="E60" s="59"/>
      <c r="F60" s="59"/>
      <c r="G60" s="59"/>
      <c r="H60" s="59"/>
      <c r="I60" s="59">
        <v>1</v>
      </c>
    </row>
    <row r="61" spans="2:9" x14ac:dyDescent="0.3">
      <c r="B61" s="59" t="s">
        <v>1496</v>
      </c>
      <c r="C61" s="59"/>
      <c r="D61" s="59"/>
      <c r="E61" s="59"/>
      <c r="F61" s="59"/>
      <c r="G61" s="59"/>
      <c r="H61" s="59"/>
      <c r="I61" s="59">
        <v>1</v>
      </c>
    </row>
    <row r="62" spans="2:9" x14ac:dyDescent="0.3">
      <c r="B62" s="59" t="s">
        <v>1511</v>
      </c>
      <c r="C62" s="59"/>
      <c r="D62" s="59"/>
      <c r="E62" s="59"/>
      <c r="F62" s="59"/>
      <c r="G62" s="59"/>
      <c r="H62" s="59"/>
      <c r="I62" s="59">
        <v>1</v>
      </c>
    </row>
    <row r="63" spans="2:9" x14ac:dyDescent="0.3">
      <c r="B63" s="59" t="s">
        <v>1512</v>
      </c>
      <c r="C63" s="59"/>
      <c r="D63" s="59"/>
      <c r="E63" s="59"/>
      <c r="F63" s="59"/>
      <c r="G63" s="59"/>
      <c r="H63" s="59"/>
      <c r="I63" s="59">
        <v>1</v>
      </c>
    </row>
    <row r="64" spans="2:9" x14ac:dyDescent="0.3">
      <c r="B64" s="59" t="s">
        <v>1513</v>
      </c>
      <c r="C64" s="59"/>
      <c r="D64" s="59"/>
      <c r="E64" s="59"/>
      <c r="F64" s="59"/>
      <c r="G64" s="59"/>
      <c r="H64" s="59"/>
      <c r="I64" s="59">
        <v>1</v>
      </c>
    </row>
    <row r="65" spans="2:9" x14ac:dyDescent="0.3">
      <c r="B65" s="59" t="s">
        <v>1514</v>
      </c>
      <c r="C65" s="59"/>
      <c r="D65" s="59"/>
      <c r="E65" s="59"/>
      <c r="F65" s="59"/>
      <c r="G65" s="59"/>
      <c r="H65" s="59"/>
      <c r="I65" s="59">
        <v>1</v>
      </c>
    </row>
    <row r="66" spans="2:9" x14ac:dyDescent="0.3">
      <c r="B66" s="59" t="s">
        <v>1515</v>
      </c>
      <c r="C66" s="59"/>
      <c r="D66" s="59"/>
      <c r="E66" s="59"/>
      <c r="F66" s="59"/>
      <c r="G66" s="59"/>
      <c r="H66" s="59"/>
      <c r="I66" s="59">
        <v>1</v>
      </c>
    </row>
    <row r="67" spans="2:9" x14ac:dyDescent="0.3">
      <c r="B67" s="59" t="s">
        <v>1519</v>
      </c>
      <c r="C67" s="59"/>
      <c r="D67" s="59"/>
      <c r="E67" s="59"/>
      <c r="F67" s="59"/>
      <c r="G67" s="59"/>
      <c r="H67" s="59"/>
      <c r="I67" s="59">
        <v>1</v>
      </c>
    </row>
    <row r="68" spans="2:9" x14ac:dyDescent="0.3">
      <c r="B68" s="59" t="s">
        <v>1520</v>
      </c>
      <c r="C68" s="59"/>
      <c r="D68" s="59"/>
      <c r="E68" s="59"/>
      <c r="F68" s="59"/>
      <c r="G68" s="59"/>
      <c r="H68" s="59"/>
      <c r="I68" s="59">
        <v>1</v>
      </c>
    </row>
    <row r="69" spans="2:9" x14ac:dyDescent="0.3">
      <c r="B69" s="59" t="s">
        <v>1516</v>
      </c>
      <c r="C69" s="59"/>
      <c r="D69" s="59"/>
      <c r="E69" s="59"/>
      <c r="F69" s="59"/>
      <c r="G69" s="59"/>
      <c r="H69" s="59"/>
      <c r="I69" s="59">
        <v>1</v>
      </c>
    </row>
    <row r="70" spans="2:9" x14ac:dyDescent="0.3">
      <c r="B70" s="59" t="s">
        <v>1521</v>
      </c>
      <c r="C70" s="59"/>
      <c r="D70" s="59"/>
      <c r="E70" s="59"/>
      <c r="F70" s="59"/>
      <c r="G70" s="59"/>
      <c r="H70" s="59"/>
      <c r="I70" s="59">
        <v>1</v>
      </c>
    </row>
    <row r="71" spans="2:9" x14ac:dyDescent="0.3">
      <c r="B71" s="59" t="s">
        <v>1522</v>
      </c>
      <c r="C71" s="59"/>
      <c r="D71" s="59"/>
      <c r="E71" s="59"/>
      <c r="F71" s="59"/>
      <c r="G71" s="59"/>
      <c r="H71" s="59"/>
      <c r="I71" s="59">
        <v>1</v>
      </c>
    </row>
    <row r="72" spans="2:9" x14ac:dyDescent="0.3">
      <c r="B72" s="59" t="s">
        <v>1523</v>
      </c>
      <c r="C72" s="59"/>
      <c r="D72" s="59"/>
      <c r="E72" s="59"/>
      <c r="F72" s="59"/>
      <c r="G72" s="59"/>
      <c r="H72" s="59"/>
      <c r="I72" s="59">
        <v>1</v>
      </c>
    </row>
    <row r="73" spans="2:9" x14ac:dyDescent="0.3">
      <c r="B73" s="59" t="s">
        <v>1524</v>
      </c>
      <c r="C73" s="59"/>
      <c r="D73" s="59"/>
      <c r="E73" s="59"/>
      <c r="F73" s="59"/>
      <c r="G73" s="59"/>
      <c r="H73" s="59"/>
      <c r="I73" s="59">
        <v>1</v>
      </c>
    </row>
    <row r="74" spans="2:9" x14ac:dyDescent="0.3">
      <c r="B74" s="59" t="s">
        <v>1517</v>
      </c>
      <c r="C74" s="59"/>
      <c r="D74" s="59"/>
      <c r="E74" s="59"/>
      <c r="F74" s="59"/>
      <c r="G74" s="59"/>
      <c r="H74" s="59"/>
      <c r="I74" s="59">
        <v>1</v>
      </c>
    </row>
    <row r="75" spans="2:9" x14ac:dyDescent="0.3">
      <c r="B75" s="59" t="s">
        <v>1518</v>
      </c>
      <c r="C75" s="59"/>
      <c r="D75" s="59"/>
      <c r="E75" s="59"/>
      <c r="F75" s="59"/>
      <c r="G75" s="59"/>
      <c r="H75" s="59"/>
      <c r="I75" s="59">
        <v>1</v>
      </c>
    </row>
    <row r="76" spans="2:9" x14ac:dyDescent="0.3">
      <c r="B76" s="59" t="s">
        <v>276</v>
      </c>
      <c r="C76" s="59"/>
      <c r="D76" s="59"/>
      <c r="E76" s="59"/>
      <c r="F76" s="59"/>
      <c r="G76" s="59"/>
      <c r="H76" s="59"/>
      <c r="I76" s="59">
        <v>1</v>
      </c>
    </row>
    <row r="77" spans="2:9" x14ac:dyDescent="0.3">
      <c r="B77" s="59" t="s">
        <v>278</v>
      </c>
      <c r="C77" s="59"/>
      <c r="D77" s="59"/>
      <c r="E77" s="59"/>
      <c r="F77" s="59"/>
      <c r="G77" s="59"/>
      <c r="H77" s="59"/>
      <c r="I77" s="59">
        <v>1</v>
      </c>
    </row>
    <row r="78" spans="2:9" x14ac:dyDescent="0.3">
      <c r="B78" s="59" t="s">
        <v>656</v>
      </c>
      <c r="C78" s="59"/>
      <c r="D78" s="59"/>
      <c r="E78" s="59"/>
      <c r="F78" s="59"/>
      <c r="G78" s="59"/>
      <c r="H78" s="59"/>
      <c r="I78" s="59">
        <v>1</v>
      </c>
    </row>
    <row r="79" spans="2:9" x14ac:dyDescent="0.3">
      <c r="B79" s="59" t="s">
        <v>657</v>
      </c>
      <c r="C79" s="59"/>
      <c r="D79" s="59"/>
      <c r="E79" s="59"/>
      <c r="F79" s="59"/>
      <c r="G79" s="59"/>
      <c r="H79" s="59"/>
      <c r="I79" s="59">
        <v>1</v>
      </c>
    </row>
    <row r="80" spans="2:9" x14ac:dyDescent="0.3">
      <c r="B80" s="59" t="s">
        <v>280</v>
      </c>
      <c r="C80" s="59"/>
      <c r="D80" s="59"/>
      <c r="E80" s="59"/>
      <c r="F80" s="59"/>
      <c r="G80" s="59"/>
      <c r="H80" s="59"/>
      <c r="I80" s="59">
        <v>1</v>
      </c>
    </row>
    <row r="81" spans="2:9" x14ac:dyDescent="0.3">
      <c r="B81" s="59" t="s">
        <v>658</v>
      </c>
      <c r="C81" s="59"/>
      <c r="D81" s="59"/>
      <c r="E81" s="59"/>
      <c r="F81" s="59"/>
      <c r="G81" s="59"/>
      <c r="H81" s="59"/>
      <c r="I81" s="59">
        <v>1</v>
      </c>
    </row>
    <row r="82" spans="2:9" x14ac:dyDescent="0.3">
      <c r="B82" s="59" t="s">
        <v>282</v>
      </c>
      <c r="C82" s="59"/>
      <c r="D82" s="59"/>
      <c r="E82" s="59"/>
      <c r="F82" s="59"/>
      <c r="G82" s="59"/>
      <c r="H82" s="59"/>
      <c r="I82" s="59">
        <v>1</v>
      </c>
    </row>
    <row r="83" spans="2:9" x14ac:dyDescent="0.3">
      <c r="B83" s="59" t="s">
        <v>283</v>
      </c>
      <c r="C83" s="59"/>
      <c r="D83" s="59"/>
      <c r="E83" s="59"/>
      <c r="F83" s="59"/>
      <c r="G83" s="59"/>
      <c r="H83" s="59"/>
      <c r="I83" s="59">
        <v>1</v>
      </c>
    </row>
    <row r="84" spans="2:9" x14ac:dyDescent="0.3">
      <c r="B84" s="112" t="s">
        <v>659</v>
      </c>
      <c r="C84" s="59"/>
      <c r="D84" s="59"/>
      <c r="E84" s="59"/>
      <c r="F84" s="59"/>
      <c r="G84" s="59"/>
      <c r="H84" s="59"/>
      <c r="I84" s="59">
        <v>1</v>
      </c>
    </row>
    <row r="85" spans="2:9" x14ac:dyDescent="0.3">
      <c r="B85" s="59" t="s">
        <v>660</v>
      </c>
      <c r="C85" s="59"/>
      <c r="D85" s="59"/>
      <c r="E85" s="59"/>
      <c r="F85" s="59"/>
      <c r="G85" s="59"/>
      <c r="H85" s="59"/>
      <c r="I85" s="59">
        <v>1</v>
      </c>
    </row>
    <row r="86" spans="2:9" x14ac:dyDescent="0.3">
      <c r="B86" s="59" t="s">
        <v>661</v>
      </c>
      <c r="C86" s="59"/>
      <c r="D86" s="59"/>
      <c r="E86" s="59"/>
      <c r="F86" s="59"/>
      <c r="G86" s="59"/>
      <c r="H86" s="59"/>
      <c r="I86" s="59">
        <v>1</v>
      </c>
    </row>
    <row r="87" spans="2:9" x14ac:dyDescent="0.3">
      <c r="B87" s="59" t="s">
        <v>662</v>
      </c>
      <c r="C87" s="59"/>
      <c r="D87" s="59"/>
      <c r="E87" s="59"/>
      <c r="F87" s="59"/>
      <c r="G87" s="59"/>
      <c r="H87" s="59"/>
      <c r="I87" s="59">
        <v>1</v>
      </c>
    </row>
    <row r="88" spans="2:9" x14ac:dyDescent="0.3">
      <c r="B88" s="59" t="s">
        <v>663</v>
      </c>
      <c r="C88" s="59"/>
      <c r="D88" s="59"/>
      <c r="E88" s="59"/>
      <c r="F88" s="59"/>
      <c r="G88" s="59"/>
      <c r="H88" s="59"/>
      <c r="I88" s="59">
        <v>1</v>
      </c>
    </row>
    <row r="89" spans="2:9" x14ac:dyDescent="0.3">
      <c r="B89" s="59" t="s">
        <v>664</v>
      </c>
      <c r="C89" s="59"/>
      <c r="D89" s="59"/>
      <c r="E89" s="59"/>
      <c r="F89" s="59"/>
      <c r="G89" s="59"/>
      <c r="H89" s="59"/>
      <c r="I89" s="59">
        <v>1</v>
      </c>
    </row>
    <row r="90" spans="2:9" x14ac:dyDescent="0.3">
      <c r="B90" s="59" t="s">
        <v>665</v>
      </c>
      <c r="C90" s="59"/>
      <c r="D90" s="59"/>
      <c r="E90" s="59"/>
      <c r="F90" s="59"/>
      <c r="G90" s="59"/>
      <c r="H90" s="59"/>
      <c r="I90" s="59">
        <v>1</v>
      </c>
    </row>
    <row r="91" spans="2:9" x14ac:dyDescent="0.3">
      <c r="B91" s="59" t="s">
        <v>250</v>
      </c>
      <c r="C91" s="59"/>
      <c r="D91" s="59"/>
      <c r="E91" s="59"/>
      <c r="F91" s="59"/>
      <c r="G91" s="59"/>
      <c r="H91" s="59"/>
      <c r="I91" s="59">
        <v>1</v>
      </c>
    </row>
    <row r="92" spans="2:9" x14ac:dyDescent="0.3">
      <c r="B92" s="59" t="s">
        <v>257</v>
      </c>
      <c r="C92" s="59"/>
      <c r="D92" s="59"/>
      <c r="E92" s="59"/>
      <c r="F92" s="59"/>
      <c r="G92" s="59"/>
      <c r="H92" s="59"/>
      <c r="I92" s="59">
        <v>1</v>
      </c>
    </row>
    <row r="93" spans="2:9" x14ac:dyDescent="0.3">
      <c r="B93" s="59" t="s">
        <v>666</v>
      </c>
      <c r="C93" s="59"/>
      <c r="D93" s="59"/>
      <c r="E93" s="59"/>
      <c r="F93" s="59"/>
      <c r="G93" s="59"/>
      <c r="H93" s="59"/>
      <c r="I93" s="59">
        <v>1</v>
      </c>
    </row>
    <row r="94" spans="2:9" x14ac:dyDescent="0.3">
      <c r="B94" s="59" t="s">
        <v>263</v>
      </c>
      <c r="C94" s="59"/>
      <c r="D94" s="59"/>
      <c r="E94" s="59"/>
      <c r="F94" s="59"/>
      <c r="G94" s="59"/>
      <c r="H94" s="59"/>
      <c r="I94" s="59">
        <v>1</v>
      </c>
    </row>
    <row r="95" spans="2:9" x14ac:dyDescent="0.3">
      <c r="B95" s="59" t="s">
        <v>667</v>
      </c>
      <c r="C95" s="59"/>
      <c r="D95" s="59"/>
      <c r="E95" s="59"/>
      <c r="F95" s="59"/>
      <c r="G95" s="59"/>
      <c r="H95" s="59"/>
      <c r="I95" s="59">
        <v>1</v>
      </c>
    </row>
    <row r="96" spans="2:9" x14ac:dyDescent="0.3">
      <c r="B96" s="59" t="s">
        <v>285</v>
      </c>
      <c r="C96" s="59"/>
      <c r="D96" s="59"/>
      <c r="E96" s="59"/>
      <c r="F96" s="59"/>
      <c r="G96" s="59"/>
      <c r="H96" s="59"/>
      <c r="I96" s="59">
        <v>1</v>
      </c>
    </row>
    <row r="97" spans="2:117" x14ac:dyDescent="0.3">
      <c r="B97" s="90" t="s">
        <v>286</v>
      </c>
      <c r="C97" s="90"/>
      <c r="D97" s="90"/>
      <c r="E97" s="90"/>
      <c r="F97" s="90"/>
      <c r="G97" s="90"/>
      <c r="H97" s="90"/>
      <c r="I97" s="90"/>
      <c r="J97" s="90">
        <v>1</v>
      </c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CD97" s="93"/>
      <c r="CE97" s="93"/>
      <c r="CF97" s="93"/>
      <c r="CG97" s="93"/>
      <c r="CH97" s="93"/>
      <c r="CI97" s="93"/>
      <c r="CJ97" s="93"/>
      <c r="CK97" s="93"/>
      <c r="CL97" s="93"/>
      <c r="CM97" s="93"/>
      <c r="CN97" s="93"/>
      <c r="CO97" s="93"/>
      <c r="CP97" s="93"/>
      <c r="CQ97" s="93"/>
      <c r="CR97" s="93"/>
      <c r="CS97" s="93"/>
      <c r="CT97" s="93"/>
      <c r="CU97" s="93"/>
      <c r="CV97" s="107"/>
      <c r="CW97" s="107"/>
      <c r="CX97" s="107"/>
      <c r="CY97" s="107"/>
      <c r="CZ97" s="107"/>
      <c r="DA97" s="107"/>
      <c r="DB97" s="107"/>
      <c r="DC97" s="107"/>
      <c r="DD97" s="107"/>
      <c r="DE97" s="107"/>
      <c r="DF97" s="107"/>
      <c r="DG97" s="107"/>
      <c r="DH97" s="107"/>
      <c r="DI97" s="107"/>
      <c r="DJ97" s="107"/>
      <c r="DK97" s="107"/>
      <c r="DL97" s="107"/>
      <c r="DM97" s="107"/>
    </row>
    <row r="98" spans="2:117" x14ac:dyDescent="0.3">
      <c r="B98" s="90" t="s">
        <v>236</v>
      </c>
      <c r="C98" s="90"/>
      <c r="D98" s="90"/>
      <c r="E98" s="90"/>
      <c r="F98" s="90"/>
      <c r="G98" s="90"/>
      <c r="H98" s="90"/>
      <c r="I98" s="90"/>
      <c r="J98" s="90">
        <v>1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CD98" s="93"/>
      <c r="CE98" s="93"/>
      <c r="CF98" s="93"/>
      <c r="CG98" s="93"/>
      <c r="CH98" s="93"/>
      <c r="CI98" s="93"/>
      <c r="CJ98" s="93"/>
      <c r="CK98" s="93"/>
      <c r="CL98" s="93"/>
      <c r="CM98" s="93"/>
      <c r="CN98" s="93"/>
      <c r="CO98" s="93"/>
      <c r="CP98" s="93"/>
      <c r="CQ98" s="93"/>
      <c r="CR98" s="93"/>
      <c r="CS98" s="93"/>
      <c r="CT98" s="93"/>
      <c r="CU98" s="93"/>
      <c r="CV98" s="107"/>
      <c r="CW98" s="107"/>
      <c r="CX98" s="107"/>
      <c r="CY98" s="107"/>
      <c r="CZ98" s="107"/>
      <c r="DA98" s="107"/>
      <c r="DB98" s="107"/>
      <c r="DC98" s="107"/>
      <c r="DD98" s="107"/>
      <c r="DE98" s="107"/>
      <c r="DF98" s="107"/>
      <c r="DG98" s="107"/>
      <c r="DH98" s="107"/>
      <c r="DI98" s="107"/>
      <c r="DJ98" s="107"/>
      <c r="DK98" s="107"/>
      <c r="DL98" s="107"/>
      <c r="DM98" s="107"/>
    </row>
    <row r="99" spans="2:117" x14ac:dyDescent="0.3">
      <c r="B99" s="90" t="s">
        <v>243</v>
      </c>
      <c r="C99" s="90"/>
      <c r="D99" s="90"/>
      <c r="E99" s="90"/>
      <c r="F99" s="90"/>
      <c r="G99" s="90"/>
      <c r="H99" s="90"/>
      <c r="I99" s="90"/>
      <c r="J99" s="90">
        <v>1</v>
      </c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CD99" s="93"/>
      <c r="CE99" s="93"/>
      <c r="CF99" s="93"/>
      <c r="CG99" s="93"/>
      <c r="CH99" s="93"/>
      <c r="CI99" s="93"/>
      <c r="CJ99" s="93"/>
      <c r="CK99" s="93"/>
      <c r="CL99" s="93"/>
      <c r="CM99" s="93"/>
      <c r="CN99" s="93"/>
      <c r="CO99" s="93"/>
      <c r="CP99" s="93"/>
      <c r="CQ99" s="93"/>
      <c r="CR99" s="93"/>
      <c r="CS99" s="93"/>
      <c r="CT99" s="93"/>
      <c r="CU99" s="93"/>
      <c r="CV99" s="107"/>
      <c r="CW99" s="107"/>
      <c r="CX99" s="107"/>
      <c r="CY99" s="107"/>
      <c r="CZ99" s="107"/>
      <c r="DA99" s="107"/>
      <c r="DB99" s="107"/>
      <c r="DC99" s="107"/>
      <c r="DD99" s="107"/>
      <c r="DE99" s="107"/>
      <c r="DF99" s="107"/>
      <c r="DG99" s="107"/>
      <c r="DH99" s="107"/>
      <c r="DI99" s="107"/>
      <c r="DJ99" s="107"/>
      <c r="DK99" s="107"/>
      <c r="DL99" s="107"/>
      <c r="DM99" s="107"/>
    </row>
    <row r="100" spans="2:117" x14ac:dyDescent="0.3">
      <c r="B100" s="90" t="s">
        <v>249</v>
      </c>
      <c r="C100" s="90"/>
      <c r="D100" s="90"/>
      <c r="E100" s="90"/>
      <c r="F100" s="90"/>
      <c r="G100" s="90"/>
      <c r="H100" s="90"/>
      <c r="I100" s="90"/>
      <c r="J100" s="90">
        <v>1</v>
      </c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CD100" s="93"/>
      <c r="CE100" s="93"/>
      <c r="CF100" s="93"/>
      <c r="CG100" s="93"/>
      <c r="CH100" s="93"/>
      <c r="CI100" s="93"/>
      <c r="CJ100" s="93"/>
      <c r="CK100" s="93"/>
      <c r="CL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107"/>
      <c r="CW100" s="107"/>
      <c r="CX100" s="107"/>
      <c r="CY100" s="107"/>
      <c r="CZ100" s="107"/>
      <c r="DA100" s="107"/>
      <c r="DB100" s="107"/>
      <c r="DC100" s="107"/>
      <c r="DD100" s="107"/>
      <c r="DE100" s="107"/>
      <c r="DF100" s="107"/>
      <c r="DG100" s="107"/>
      <c r="DH100" s="107"/>
      <c r="DI100" s="107"/>
      <c r="DJ100" s="107"/>
      <c r="DK100" s="107"/>
      <c r="DL100" s="107"/>
      <c r="DM100" s="107"/>
    </row>
    <row r="101" spans="2:117" x14ac:dyDescent="0.3">
      <c r="B101" s="90" t="s">
        <v>1174</v>
      </c>
      <c r="C101" s="90"/>
      <c r="D101" s="90"/>
      <c r="E101" s="90"/>
      <c r="F101" s="90"/>
      <c r="G101" s="90"/>
      <c r="H101" s="90"/>
      <c r="I101" s="90"/>
      <c r="J101" s="90">
        <v>1</v>
      </c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CD101" s="93"/>
      <c r="CE101" s="93"/>
      <c r="CF101" s="93"/>
      <c r="CG101" s="93"/>
      <c r="CH101" s="93"/>
      <c r="CI101" s="93"/>
      <c r="CJ101" s="93"/>
      <c r="CK101" s="93"/>
      <c r="CL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107"/>
      <c r="CW101" s="107"/>
      <c r="CX101" s="107"/>
      <c r="CY101" s="107"/>
      <c r="CZ101" s="107"/>
      <c r="DA101" s="107"/>
      <c r="DB101" s="107"/>
      <c r="DC101" s="107"/>
      <c r="DD101" s="107"/>
      <c r="DE101" s="107"/>
      <c r="DF101" s="107"/>
      <c r="DG101" s="107"/>
      <c r="DH101" s="107"/>
      <c r="DI101" s="107"/>
      <c r="DJ101" s="107"/>
      <c r="DK101" s="107"/>
      <c r="DL101" s="107"/>
      <c r="DM101" s="107"/>
    </row>
    <row r="102" spans="2:117" x14ac:dyDescent="0.3">
      <c r="B102" s="90" t="s">
        <v>252</v>
      </c>
      <c r="C102" s="90"/>
      <c r="D102" s="90"/>
      <c r="E102" s="90"/>
      <c r="F102" s="90"/>
      <c r="G102" s="90"/>
      <c r="H102" s="90"/>
      <c r="I102" s="90"/>
      <c r="J102" s="90">
        <v>1</v>
      </c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CD102" s="93"/>
      <c r="CE102" s="93"/>
      <c r="CF102" s="93"/>
      <c r="CG102" s="93"/>
      <c r="CH102" s="93"/>
      <c r="CI102" s="93"/>
      <c r="CJ102" s="93"/>
      <c r="CK102" s="93"/>
      <c r="CL102" s="93"/>
      <c r="CM102" s="93"/>
      <c r="CN102" s="93"/>
      <c r="CO102" s="93"/>
      <c r="CP102" s="93"/>
      <c r="CQ102" s="93"/>
      <c r="CR102" s="93"/>
      <c r="CS102" s="93"/>
      <c r="CT102" s="93"/>
      <c r="CU102" s="93"/>
      <c r="CV102" s="107"/>
      <c r="CW102" s="107"/>
      <c r="CX102" s="107"/>
      <c r="CY102" s="107"/>
      <c r="CZ102" s="107"/>
      <c r="DA102" s="107"/>
      <c r="DB102" s="107"/>
      <c r="DC102" s="107"/>
      <c r="DD102" s="107"/>
      <c r="DE102" s="107"/>
      <c r="DF102" s="107"/>
      <c r="DG102" s="107"/>
      <c r="DH102" s="107"/>
      <c r="DI102" s="107"/>
      <c r="DJ102" s="107"/>
      <c r="DK102" s="107"/>
      <c r="DL102" s="107"/>
      <c r="DM102" s="107"/>
    </row>
    <row r="103" spans="2:117" x14ac:dyDescent="0.3">
      <c r="B103" s="90" t="s">
        <v>256</v>
      </c>
      <c r="C103" s="90"/>
      <c r="D103" s="90"/>
      <c r="E103" s="90"/>
      <c r="F103" s="90"/>
      <c r="G103" s="90"/>
      <c r="H103" s="90"/>
      <c r="I103" s="90"/>
      <c r="J103" s="90">
        <v>1</v>
      </c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CD103" s="93"/>
      <c r="CE103" s="93"/>
      <c r="CF103" s="93"/>
      <c r="CG103" s="93"/>
      <c r="CH103" s="93"/>
      <c r="CI103" s="93"/>
      <c r="CJ103" s="93"/>
      <c r="CK103" s="93"/>
      <c r="CL103" s="93"/>
      <c r="CM103" s="93"/>
      <c r="CN103" s="93"/>
      <c r="CO103" s="93"/>
      <c r="CP103" s="93"/>
      <c r="CQ103" s="93"/>
      <c r="CR103" s="93"/>
      <c r="CS103" s="93"/>
      <c r="CT103" s="93"/>
      <c r="CU103" s="93"/>
      <c r="CV103" s="107"/>
      <c r="CW103" s="107"/>
      <c r="CX103" s="107"/>
      <c r="CY103" s="107"/>
      <c r="CZ103" s="107"/>
      <c r="DA103" s="107"/>
      <c r="DB103" s="107"/>
      <c r="DC103" s="107"/>
      <c r="DD103" s="107"/>
      <c r="DE103" s="107"/>
      <c r="DF103" s="107"/>
      <c r="DG103" s="107"/>
      <c r="DH103" s="107"/>
      <c r="DI103" s="107"/>
      <c r="DJ103" s="107"/>
      <c r="DK103" s="107"/>
      <c r="DL103" s="107"/>
      <c r="DM103" s="107"/>
    </row>
    <row r="104" spans="2:117" x14ac:dyDescent="0.3">
      <c r="B104" s="90" t="s">
        <v>668</v>
      </c>
      <c r="C104" s="90"/>
      <c r="D104" s="90"/>
      <c r="E104" s="90"/>
      <c r="F104" s="90"/>
      <c r="G104" s="90"/>
      <c r="H104" s="90"/>
      <c r="I104" s="90"/>
      <c r="J104" s="90">
        <v>1</v>
      </c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CD104" s="93"/>
      <c r="CE104" s="93"/>
      <c r="CF104" s="93"/>
      <c r="CG104" s="93"/>
      <c r="CH104" s="93"/>
      <c r="CI104" s="93"/>
      <c r="CJ104" s="93"/>
      <c r="CK104" s="93"/>
      <c r="CL104" s="93"/>
      <c r="CM104" s="93"/>
      <c r="CN104" s="93"/>
      <c r="CO104" s="93"/>
      <c r="CP104" s="93"/>
      <c r="CQ104" s="93"/>
      <c r="CR104" s="93"/>
      <c r="CS104" s="93"/>
      <c r="CT104" s="93"/>
      <c r="CU104" s="93"/>
      <c r="CV104" s="107"/>
      <c r="CW104" s="107"/>
      <c r="CX104" s="107"/>
      <c r="CY104" s="107"/>
      <c r="CZ104" s="107"/>
      <c r="DA104" s="107"/>
      <c r="DB104" s="107"/>
      <c r="DC104" s="107"/>
      <c r="DD104" s="107"/>
      <c r="DE104" s="107"/>
      <c r="DF104" s="107"/>
      <c r="DG104" s="107"/>
      <c r="DH104" s="107"/>
      <c r="DI104" s="107"/>
      <c r="DJ104" s="107"/>
      <c r="DK104" s="107"/>
      <c r="DL104" s="107"/>
      <c r="DM104" s="107"/>
    </row>
    <row r="105" spans="2:117" x14ac:dyDescent="0.3">
      <c r="B105" s="90" t="s">
        <v>259</v>
      </c>
      <c r="C105" s="90"/>
      <c r="D105" s="90"/>
      <c r="E105" s="90"/>
      <c r="F105" s="90"/>
      <c r="G105" s="90"/>
      <c r="H105" s="90"/>
      <c r="I105" s="90"/>
      <c r="J105" s="90">
        <v>1</v>
      </c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CD105" s="93"/>
      <c r="CE105" s="93"/>
      <c r="CF105" s="93"/>
      <c r="CG105" s="93"/>
      <c r="CH105" s="93"/>
      <c r="CI105" s="93"/>
      <c r="CJ105" s="93"/>
      <c r="CK105" s="93"/>
      <c r="CL105" s="93"/>
      <c r="CM105" s="93"/>
      <c r="CN105" s="93"/>
      <c r="CO105" s="93"/>
      <c r="CP105" s="93"/>
      <c r="CQ105" s="93"/>
      <c r="CR105" s="93"/>
      <c r="CS105" s="93"/>
      <c r="CT105" s="93"/>
      <c r="CU105" s="93"/>
      <c r="CV105" s="107"/>
      <c r="CW105" s="107"/>
      <c r="CX105" s="107"/>
      <c r="CY105" s="107"/>
      <c r="CZ105" s="107"/>
      <c r="DA105" s="107"/>
      <c r="DB105" s="107"/>
      <c r="DC105" s="107"/>
      <c r="DD105" s="107"/>
      <c r="DE105" s="107"/>
      <c r="DF105" s="107"/>
      <c r="DG105" s="107"/>
      <c r="DH105" s="107"/>
      <c r="DI105" s="107"/>
      <c r="DJ105" s="107"/>
      <c r="DK105" s="107"/>
      <c r="DL105" s="107"/>
      <c r="DM105" s="107"/>
    </row>
    <row r="106" spans="2:117" x14ac:dyDescent="0.3">
      <c r="B106" s="90" t="s">
        <v>262</v>
      </c>
      <c r="C106" s="90"/>
      <c r="D106" s="90"/>
      <c r="E106" s="90"/>
      <c r="F106" s="90"/>
      <c r="G106" s="90"/>
      <c r="H106" s="90"/>
      <c r="I106" s="90"/>
      <c r="J106" s="90">
        <v>1</v>
      </c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CD106" s="93"/>
      <c r="CE106" s="93"/>
      <c r="CF106" s="93"/>
      <c r="CG106" s="93"/>
      <c r="CH106" s="93"/>
      <c r="CI106" s="93"/>
      <c r="CJ106" s="93"/>
      <c r="CK106" s="93"/>
      <c r="CL106" s="93"/>
      <c r="CM106" s="93"/>
      <c r="CN106" s="93"/>
      <c r="CO106" s="93"/>
      <c r="CP106" s="93"/>
      <c r="CQ106" s="93"/>
      <c r="CR106" s="93"/>
      <c r="CS106" s="93"/>
      <c r="CT106" s="93"/>
      <c r="CU106" s="93"/>
      <c r="CV106" s="107"/>
      <c r="CW106" s="107"/>
      <c r="CX106" s="107"/>
      <c r="CY106" s="107"/>
      <c r="CZ106" s="107"/>
      <c r="DA106" s="107"/>
      <c r="DB106" s="107"/>
      <c r="DC106" s="107"/>
      <c r="DD106" s="107"/>
      <c r="DE106" s="107"/>
      <c r="DF106" s="107"/>
      <c r="DG106" s="107"/>
      <c r="DH106" s="107"/>
      <c r="DI106" s="107"/>
      <c r="DJ106" s="107"/>
      <c r="DK106" s="107"/>
      <c r="DL106" s="107"/>
      <c r="DM106" s="107"/>
    </row>
    <row r="107" spans="2:117" x14ac:dyDescent="0.3">
      <c r="B107" s="90" t="s">
        <v>265</v>
      </c>
      <c r="C107" s="90"/>
      <c r="D107" s="90"/>
      <c r="E107" s="90"/>
      <c r="F107" s="90"/>
      <c r="G107" s="90"/>
      <c r="H107" s="90"/>
      <c r="I107" s="90"/>
      <c r="J107" s="90">
        <v>1</v>
      </c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CD107" s="93"/>
      <c r="CE107" s="93"/>
      <c r="CF107" s="93"/>
      <c r="CG107" s="93"/>
      <c r="CH107" s="93"/>
      <c r="CI107" s="93"/>
      <c r="CJ107" s="93"/>
      <c r="CK107" s="93"/>
      <c r="CL107" s="93"/>
      <c r="CM107" s="93"/>
      <c r="CN107" s="93"/>
      <c r="CO107" s="93"/>
      <c r="CP107" s="93"/>
      <c r="CQ107" s="93"/>
      <c r="CR107" s="93"/>
      <c r="CS107" s="93"/>
      <c r="CT107" s="93"/>
      <c r="CU107" s="93"/>
      <c r="CV107" s="107"/>
      <c r="CW107" s="107"/>
      <c r="CX107" s="107"/>
      <c r="CY107" s="107"/>
      <c r="CZ107" s="107"/>
      <c r="DA107" s="107"/>
      <c r="DB107" s="107"/>
      <c r="DC107" s="107"/>
      <c r="DD107" s="107"/>
      <c r="DE107" s="107"/>
      <c r="DF107" s="107"/>
      <c r="DG107" s="107"/>
      <c r="DH107" s="107"/>
      <c r="DI107" s="107"/>
      <c r="DJ107" s="107"/>
      <c r="DK107" s="107"/>
      <c r="DL107" s="107"/>
      <c r="DM107" s="107"/>
    </row>
    <row r="108" spans="2:117" x14ac:dyDescent="0.3">
      <c r="B108" s="90" t="s">
        <v>669</v>
      </c>
      <c r="C108" s="90"/>
      <c r="D108" s="90"/>
      <c r="E108" s="90"/>
      <c r="F108" s="90"/>
      <c r="G108" s="90"/>
      <c r="H108" s="90"/>
      <c r="I108" s="90"/>
      <c r="J108" s="90">
        <v>1</v>
      </c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CD108" s="93"/>
      <c r="CE108" s="93"/>
      <c r="CF108" s="93"/>
      <c r="CG108" s="93"/>
      <c r="CH108" s="93"/>
      <c r="CI108" s="93"/>
      <c r="CJ108" s="93"/>
      <c r="CK108" s="93"/>
      <c r="CL108" s="93"/>
      <c r="CM108" s="93"/>
      <c r="CN108" s="93"/>
      <c r="CO108" s="93"/>
      <c r="CP108" s="93"/>
      <c r="CQ108" s="93"/>
      <c r="CR108" s="93"/>
      <c r="CS108" s="93"/>
      <c r="CT108" s="93"/>
      <c r="CU108" s="93"/>
      <c r="CV108" s="107"/>
      <c r="CW108" s="107"/>
      <c r="CX108" s="107"/>
      <c r="CY108" s="107"/>
      <c r="CZ108" s="107"/>
      <c r="DA108" s="107"/>
      <c r="DB108" s="107"/>
      <c r="DC108" s="107"/>
      <c r="DD108" s="107"/>
      <c r="DE108" s="107"/>
      <c r="DF108" s="107"/>
      <c r="DG108" s="107"/>
      <c r="DH108" s="107"/>
      <c r="DI108" s="107"/>
      <c r="DJ108" s="107"/>
      <c r="DK108" s="107"/>
      <c r="DL108" s="107"/>
      <c r="DM108" s="107"/>
    </row>
    <row r="109" spans="2:117" x14ac:dyDescent="0.3">
      <c r="B109" s="90" t="s">
        <v>670</v>
      </c>
      <c r="C109" s="90"/>
      <c r="D109" s="90"/>
      <c r="E109" s="90"/>
      <c r="F109" s="90"/>
      <c r="G109" s="90"/>
      <c r="H109" s="90"/>
      <c r="I109" s="90"/>
      <c r="J109" s="90">
        <v>1</v>
      </c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CD109" s="93"/>
      <c r="CE109" s="93"/>
      <c r="CF109" s="93"/>
      <c r="CG109" s="93"/>
      <c r="CH109" s="93"/>
      <c r="CI109" s="93"/>
      <c r="CJ109" s="93"/>
      <c r="CK109" s="93"/>
      <c r="CL109" s="93"/>
      <c r="CM109" s="93"/>
      <c r="CN109" s="93"/>
      <c r="CO109" s="93"/>
      <c r="CP109" s="93"/>
      <c r="CQ109" s="93"/>
      <c r="CR109" s="93"/>
      <c r="CS109" s="93"/>
      <c r="CT109" s="93"/>
      <c r="CU109" s="93"/>
      <c r="CV109" s="107"/>
      <c r="CW109" s="107"/>
      <c r="CX109" s="107"/>
      <c r="CY109" s="107"/>
      <c r="CZ109" s="107"/>
      <c r="DA109" s="107"/>
      <c r="DB109" s="107"/>
      <c r="DC109" s="107"/>
      <c r="DD109" s="107"/>
      <c r="DE109" s="107"/>
      <c r="DF109" s="107"/>
      <c r="DG109" s="107"/>
      <c r="DH109" s="107"/>
      <c r="DI109" s="107"/>
      <c r="DJ109" s="107"/>
      <c r="DK109" s="107"/>
      <c r="DL109" s="107"/>
      <c r="DM109" s="107"/>
    </row>
    <row r="110" spans="2:117" x14ac:dyDescent="0.3">
      <c r="B110" s="90" t="s">
        <v>671</v>
      </c>
      <c r="C110" s="90"/>
      <c r="D110" s="90"/>
      <c r="E110" s="90"/>
      <c r="F110" s="90"/>
      <c r="G110" s="90"/>
      <c r="H110" s="90"/>
      <c r="I110" s="90"/>
      <c r="J110" s="90">
        <v>1</v>
      </c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CD110" s="93"/>
      <c r="CE110" s="93"/>
      <c r="CF110" s="93"/>
      <c r="CG110" s="93"/>
      <c r="CH110" s="93"/>
      <c r="CI110" s="93"/>
      <c r="CJ110" s="93"/>
      <c r="CK110" s="93"/>
      <c r="CL110" s="93"/>
      <c r="CM110" s="93"/>
      <c r="CN110" s="93"/>
      <c r="CO110" s="93"/>
      <c r="CP110" s="93"/>
      <c r="CQ110" s="93"/>
      <c r="CR110" s="93"/>
      <c r="CS110" s="93"/>
      <c r="CT110" s="93"/>
      <c r="CU110" s="93"/>
      <c r="CV110" s="107"/>
      <c r="CW110" s="107"/>
      <c r="CX110" s="107"/>
      <c r="CY110" s="107"/>
      <c r="CZ110" s="107"/>
      <c r="DA110" s="107"/>
      <c r="DB110" s="107"/>
      <c r="DC110" s="107"/>
      <c r="DD110" s="107"/>
      <c r="DE110" s="107"/>
      <c r="DF110" s="107"/>
      <c r="DG110" s="107"/>
      <c r="DH110" s="107"/>
      <c r="DI110" s="107"/>
      <c r="DJ110" s="107"/>
      <c r="DK110" s="107"/>
      <c r="DL110" s="107"/>
      <c r="DM110" s="107"/>
    </row>
    <row r="111" spans="2:117" x14ac:dyDescent="0.3">
      <c r="B111" s="90" t="s">
        <v>268</v>
      </c>
      <c r="C111" s="90"/>
      <c r="D111" s="90"/>
      <c r="E111" s="90"/>
      <c r="F111" s="90"/>
      <c r="G111" s="90"/>
      <c r="H111" s="90"/>
      <c r="I111" s="90"/>
      <c r="J111" s="90">
        <v>1</v>
      </c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CD111" s="93"/>
      <c r="CE111" s="93"/>
      <c r="CF111" s="93"/>
      <c r="CG111" s="93"/>
      <c r="CH111" s="93"/>
      <c r="CI111" s="93"/>
      <c r="CJ111" s="93"/>
      <c r="CK111" s="93"/>
      <c r="CL111" s="93"/>
      <c r="CM111" s="93"/>
      <c r="CN111" s="93"/>
      <c r="CO111" s="93"/>
      <c r="CP111" s="93"/>
      <c r="CQ111" s="93"/>
      <c r="CR111" s="93"/>
      <c r="CS111" s="93"/>
      <c r="CT111" s="93"/>
      <c r="CU111" s="93"/>
      <c r="CV111" s="107"/>
      <c r="CW111" s="107"/>
      <c r="CX111" s="107"/>
      <c r="CY111" s="107"/>
      <c r="CZ111" s="107"/>
      <c r="DA111" s="107"/>
      <c r="DB111" s="107"/>
      <c r="DC111" s="107"/>
      <c r="DD111" s="107"/>
      <c r="DE111" s="107"/>
      <c r="DF111" s="107"/>
      <c r="DG111" s="107"/>
      <c r="DH111" s="107"/>
      <c r="DI111" s="107"/>
      <c r="DJ111" s="107"/>
      <c r="DK111" s="107"/>
      <c r="DL111" s="107"/>
      <c r="DM111" s="107"/>
    </row>
    <row r="112" spans="2:117" x14ac:dyDescent="0.3">
      <c r="B112" s="90" t="s">
        <v>270</v>
      </c>
      <c r="C112" s="90"/>
      <c r="D112" s="90"/>
      <c r="E112" s="90"/>
      <c r="F112" s="90"/>
      <c r="G112" s="90"/>
      <c r="H112" s="90"/>
      <c r="I112" s="90"/>
      <c r="J112" s="90">
        <v>1</v>
      </c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CD112" s="93"/>
      <c r="CE112" s="93"/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/>
      <c r="CU112" s="93"/>
      <c r="CV112" s="107"/>
      <c r="CW112" s="107"/>
      <c r="CX112" s="107"/>
      <c r="CY112" s="107"/>
      <c r="CZ112" s="107"/>
      <c r="DA112" s="107"/>
      <c r="DB112" s="107"/>
      <c r="DC112" s="107"/>
      <c r="DD112" s="107"/>
      <c r="DE112" s="107"/>
      <c r="DF112" s="107"/>
      <c r="DG112" s="107"/>
      <c r="DH112" s="107"/>
      <c r="DI112" s="107"/>
      <c r="DJ112" s="107"/>
      <c r="DK112" s="107"/>
      <c r="DL112" s="107"/>
      <c r="DM112" s="107"/>
    </row>
    <row r="113" spans="2:117" x14ac:dyDescent="0.3">
      <c r="B113" s="90" t="s">
        <v>271</v>
      </c>
      <c r="C113" s="90"/>
      <c r="D113" s="90"/>
      <c r="E113" s="90"/>
      <c r="F113" s="90"/>
      <c r="G113" s="90"/>
      <c r="H113" s="90"/>
      <c r="I113" s="90"/>
      <c r="J113" s="90">
        <v>1</v>
      </c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CD113" s="93"/>
      <c r="CE113" s="93"/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107"/>
      <c r="CW113" s="107"/>
      <c r="CX113" s="107"/>
      <c r="CY113" s="107"/>
      <c r="CZ113" s="107"/>
      <c r="DA113" s="107"/>
      <c r="DB113" s="107"/>
      <c r="DC113" s="107"/>
      <c r="DD113" s="107"/>
      <c r="DE113" s="107"/>
      <c r="DF113" s="107"/>
      <c r="DG113" s="107"/>
      <c r="DH113" s="107"/>
      <c r="DI113" s="107"/>
      <c r="DJ113" s="107"/>
      <c r="DK113" s="107"/>
      <c r="DL113" s="107"/>
      <c r="DM113" s="107"/>
    </row>
    <row r="114" spans="2:117" x14ac:dyDescent="0.3">
      <c r="B114" s="90" t="s">
        <v>672</v>
      </c>
      <c r="C114" s="90"/>
      <c r="D114" s="90"/>
      <c r="E114" s="90"/>
      <c r="F114" s="90"/>
      <c r="G114" s="90"/>
      <c r="H114" s="90"/>
      <c r="I114" s="90"/>
      <c r="J114" s="90">
        <v>1</v>
      </c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CD114" s="93"/>
      <c r="CE114" s="93"/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107"/>
      <c r="CW114" s="107"/>
      <c r="CX114" s="107"/>
      <c r="CY114" s="107"/>
      <c r="CZ114" s="107"/>
      <c r="DA114" s="107"/>
      <c r="DB114" s="107"/>
      <c r="DC114" s="107"/>
      <c r="DD114" s="107"/>
      <c r="DE114" s="107"/>
      <c r="DF114" s="107"/>
      <c r="DG114" s="107"/>
      <c r="DH114" s="107"/>
      <c r="DI114" s="107"/>
      <c r="DJ114" s="107"/>
      <c r="DK114" s="107"/>
      <c r="DL114" s="107"/>
      <c r="DM114" s="107"/>
    </row>
    <row r="115" spans="2:117" x14ac:dyDescent="0.3">
      <c r="B115" s="90" t="s">
        <v>1118</v>
      </c>
      <c r="C115" s="90"/>
      <c r="D115" s="90"/>
      <c r="E115" s="90"/>
      <c r="F115" s="90"/>
      <c r="G115" s="90"/>
      <c r="H115" s="90"/>
      <c r="I115" s="90"/>
      <c r="J115" s="90">
        <v>1</v>
      </c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CD115" s="93"/>
      <c r="CE115" s="93"/>
      <c r="CF115" s="93"/>
      <c r="CG115" s="93"/>
      <c r="CH115" s="93"/>
      <c r="CI115" s="93"/>
      <c r="CJ115" s="93"/>
      <c r="CK115" s="93"/>
      <c r="CL115" s="93"/>
      <c r="CM115" s="93"/>
      <c r="CN115" s="93"/>
      <c r="CO115" s="93"/>
      <c r="CP115" s="93"/>
      <c r="CQ115" s="93"/>
      <c r="CR115" s="93"/>
      <c r="CS115" s="93"/>
      <c r="CT115" s="93"/>
      <c r="CU115" s="93"/>
      <c r="CV115" s="107"/>
      <c r="CW115" s="107"/>
      <c r="CX115" s="107"/>
      <c r="CY115" s="107"/>
      <c r="CZ115" s="107"/>
      <c r="DA115" s="107"/>
      <c r="DB115" s="107"/>
      <c r="DC115" s="107"/>
      <c r="DD115" s="107"/>
      <c r="DE115" s="107"/>
      <c r="DF115" s="107"/>
      <c r="DG115" s="107"/>
      <c r="DH115" s="107"/>
      <c r="DI115" s="107"/>
      <c r="DJ115" s="107"/>
      <c r="DK115" s="107"/>
      <c r="DL115" s="107"/>
      <c r="DM115" s="107"/>
    </row>
    <row r="116" spans="2:117" x14ac:dyDescent="0.3">
      <c r="B116" s="118" t="s">
        <v>1644</v>
      </c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>
        <v>1</v>
      </c>
      <c r="X116" s="118"/>
      <c r="Y116" s="118"/>
      <c r="Z116" s="118"/>
      <c r="AA116" s="118"/>
      <c r="AB116" s="118"/>
      <c r="AC116" s="118"/>
      <c r="AD116" s="118"/>
      <c r="AE116" s="118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CD116" s="93"/>
      <c r="CE116" s="93"/>
      <c r="CF116" s="93"/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107"/>
      <c r="CW116" s="107"/>
      <c r="CX116" s="107"/>
      <c r="CY116" s="107"/>
      <c r="CZ116" s="107"/>
      <c r="DA116" s="107"/>
      <c r="DB116" s="107"/>
      <c r="DC116" s="107"/>
      <c r="DD116" s="107"/>
      <c r="DE116" s="107"/>
      <c r="DF116" s="107"/>
      <c r="DG116" s="107"/>
      <c r="DH116" s="107"/>
      <c r="DI116" s="107"/>
      <c r="DJ116" s="107"/>
      <c r="DK116" s="107"/>
      <c r="DL116" s="107"/>
      <c r="DM116" s="107"/>
    </row>
    <row r="117" spans="2:117" x14ac:dyDescent="0.3">
      <c r="B117" s="118" t="s">
        <v>1645</v>
      </c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>
        <v>1</v>
      </c>
      <c r="Y117" s="118"/>
      <c r="Z117" s="118"/>
      <c r="AA117" s="118"/>
      <c r="AB117" s="118"/>
      <c r="AC117" s="118"/>
      <c r="AD117" s="118"/>
      <c r="AE117" s="118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CD117" s="93"/>
      <c r="CE117" s="93"/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107"/>
      <c r="CW117" s="107"/>
      <c r="CX117" s="107"/>
      <c r="CY117" s="107"/>
      <c r="CZ117" s="107"/>
      <c r="DA117" s="107"/>
      <c r="DB117" s="107"/>
      <c r="DC117" s="107"/>
      <c r="DD117" s="107"/>
      <c r="DE117" s="107"/>
      <c r="DF117" s="107"/>
      <c r="DG117" s="107"/>
      <c r="DH117" s="107"/>
      <c r="DI117" s="107"/>
      <c r="DJ117" s="107"/>
      <c r="DK117" s="107"/>
      <c r="DL117" s="107"/>
      <c r="DM117" s="107"/>
    </row>
    <row r="118" spans="2:117" x14ac:dyDescent="0.3">
      <c r="B118" s="118" t="s">
        <v>1646</v>
      </c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>
        <v>1</v>
      </c>
      <c r="Z118" s="118"/>
      <c r="AA118" s="118"/>
      <c r="AB118" s="118"/>
      <c r="AC118" s="118"/>
      <c r="AD118" s="118"/>
      <c r="AE118" s="118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CD118" s="93"/>
      <c r="CE118" s="93"/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107"/>
      <c r="CW118" s="107"/>
      <c r="CX118" s="107"/>
      <c r="CY118" s="107"/>
      <c r="CZ118" s="107"/>
      <c r="DA118" s="107"/>
      <c r="DB118" s="107"/>
      <c r="DC118" s="107"/>
      <c r="DD118" s="107"/>
      <c r="DE118" s="107"/>
      <c r="DF118" s="107"/>
      <c r="DG118" s="107"/>
      <c r="DH118" s="107"/>
      <c r="DI118" s="107"/>
      <c r="DJ118" s="107"/>
      <c r="DK118" s="107"/>
      <c r="DL118" s="107"/>
      <c r="DM118" s="107"/>
    </row>
    <row r="119" spans="2:117" x14ac:dyDescent="0.3">
      <c r="B119" s="118" t="s">
        <v>1647</v>
      </c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>
        <v>1</v>
      </c>
      <c r="AA119" s="118"/>
      <c r="AB119" s="118"/>
      <c r="AC119" s="118"/>
      <c r="AD119" s="118"/>
      <c r="AE119" s="118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107"/>
      <c r="CW119" s="107"/>
      <c r="CX119" s="107"/>
      <c r="CY119" s="107"/>
      <c r="CZ119" s="107"/>
      <c r="DA119" s="107"/>
      <c r="DB119" s="107"/>
      <c r="DC119" s="107"/>
      <c r="DD119" s="107"/>
      <c r="DE119" s="107"/>
      <c r="DF119" s="107"/>
      <c r="DG119" s="107"/>
      <c r="DH119" s="107"/>
      <c r="DI119" s="107"/>
      <c r="DJ119" s="107"/>
      <c r="DK119" s="107"/>
      <c r="DL119" s="107"/>
      <c r="DM119" s="107"/>
    </row>
    <row r="120" spans="2:117" x14ac:dyDescent="0.3">
      <c r="B120" s="118" t="s">
        <v>1648</v>
      </c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>
        <v>1</v>
      </c>
      <c r="AB120" s="118"/>
      <c r="AC120" s="118"/>
      <c r="AD120" s="118"/>
      <c r="AE120" s="118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107"/>
      <c r="CW120" s="107"/>
      <c r="CX120" s="107"/>
      <c r="CY120" s="107"/>
      <c r="CZ120" s="107"/>
      <c r="DA120" s="107"/>
      <c r="DB120" s="107"/>
      <c r="DC120" s="107"/>
      <c r="DD120" s="107"/>
      <c r="DE120" s="107"/>
      <c r="DF120" s="107"/>
      <c r="DG120" s="107"/>
      <c r="DH120" s="107"/>
      <c r="DI120" s="107"/>
      <c r="DJ120" s="107"/>
      <c r="DK120" s="107"/>
      <c r="DL120" s="107"/>
      <c r="DM120" s="107"/>
    </row>
    <row r="121" spans="2:117" x14ac:dyDescent="0.3">
      <c r="B121" s="118" t="s">
        <v>1649</v>
      </c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>
        <v>1</v>
      </c>
      <c r="AD121" s="118"/>
      <c r="AE121" s="118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107"/>
      <c r="CW121" s="107"/>
      <c r="CX121" s="107"/>
      <c r="CY121" s="107"/>
      <c r="CZ121" s="107"/>
      <c r="DA121" s="107"/>
      <c r="DB121" s="107"/>
      <c r="DC121" s="107"/>
      <c r="DD121" s="107"/>
      <c r="DE121" s="107"/>
      <c r="DF121" s="107"/>
      <c r="DG121" s="107"/>
      <c r="DH121" s="107"/>
      <c r="DI121" s="107"/>
      <c r="DJ121" s="107"/>
      <c r="DK121" s="107"/>
      <c r="DL121" s="107"/>
      <c r="DM121" s="107"/>
    </row>
    <row r="122" spans="2:117" x14ac:dyDescent="0.3">
      <c r="B122" s="118" t="s">
        <v>1650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>
        <v>1</v>
      </c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CD122" s="93"/>
      <c r="CE122" s="93"/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107"/>
      <c r="CW122" s="107"/>
      <c r="CX122" s="107"/>
      <c r="CY122" s="107"/>
      <c r="CZ122" s="107"/>
      <c r="DA122" s="107"/>
      <c r="DB122" s="107"/>
      <c r="DC122" s="107"/>
      <c r="DD122" s="107"/>
      <c r="DE122" s="107"/>
      <c r="DF122" s="107"/>
      <c r="DG122" s="107"/>
      <c r="DH122" s="107"/>
      <c r="DI122" s="107"/>
      <c r="DJ122" s="107"/>
      <c r="DK122" s="107"/>
      <c r="DL122" s="107"/>
      <c r="DM122" s="107"/>
    </row>
    <row r="123" spans="2:117" x14ac:dyDescent="0.3">
      <c r="B123" s="90" t="s">
        <v>1637</v>
      </c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>
        <v>1</v>
      </c>
      <c r="X123" s="90"/>
      <c r="Y123" s="90"/>
      <c r="Z123" s="90"/>
      <c r="AA123" s="90"/>
      <c r="AB123" s="90"/>
      <c r="AC123" s="90"/>
      <c r="AD123" s="90"/>
      <c r="AE123" s="90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107"/>
      <c r="CW123" s="107"/>
      <c r="CX123" s="107"/>
      <c r="CY123" s="107"/>
      <c r="CZ123" s="107"/>
      <c r="DA123" s="107"/>
      <c r="DB123" s="107"/>
      <c r="DC123" s="107"/>
      <c r="DD123" s="107"/>
      <c r="DE123" s="107"/>
      <c r="DF123" s="107"/>
      <c r="DG123" s="107"/>
      <c r="DH123" s="107"/>
      <c r="DI123" s="107"/>
      <c r="DJ123" s="107"/>
      <c r="DK123" s="107"/>
      <c r="DL123" s="107"/>
      <c r="DM123" s="107"/>
    </row>
    <row r="124" spans="2:117" x14ac:dyDescent="0.3">
      <c r="B124" s="90" t="s">
        <v>1638</v>
      </c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>
        <v>1</v>
      </c>
      <c r="Y124" s="90"/>
      <c r="Z124" s="90"/>
      <c r="AA124" s="90"/>
      <c r="AB124" s="90"/>
      <c r="AC124" s="90"/>
      <c r="AD124" s="90"/>
      <c r="AE124" s="90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107"/>
      <c r="CW124" s="107"/>
      <c r="CX124" s="107"/>
      <c r="CY124" s="107"/>
      <c r="CZ124" s="107"/>
      <c r="DA124" s="107"/>
      <c r="DB124" s="107"/>
      <c r="DC124" s="107"/>
      <c r="DD124" s="107"/>
      <c r="DE124" s="107"/>
      <c r="DF124" s="107"/>
      <c r="DG124" s="107"/>
      <c r="DH124" s="107"/>
      <c r="DI124" s="107"/>
      <c r="DJ124" s="107"/>
      <c r="DK124" s="107"/>
      <c r="DL124" s="107"/>
      <c r="DM124" s="107"/>
    </row>
    <row r="125" spans="2:117" x14ac:dyDescent="0.3">
      <c r="B125" s="90" t="s">
        <v>1639</v>
      </c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>
        <v>1</v>
      </c>
      <c r="Z125" s="90"/>
      <c r="AA125" s="90"/>
      <c r="AB125" s="90"/>
      <c r="AC125" s="90"/>
      <c r="AD125" s="90"/>
      <c r="AE125" s="90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/>
      <c r="CP125" s="93"/>
      <c r="CQ125" s="93"/>
      <c r="CR125" s="93"/>
      <c r="CS125" s="93"/>
      <c r="CT125" s="93"/>
      <c r="CU125" s="93"/>
      <c r="CV125" s="107"/>
      <c r="CW125" s="107"/>
      <c r="CX125" s="107"/>
      <c r="CY125" s="107"/>
      <c r="CZ125" s="107"/>
      <c r="DA125" s="107"/>
      <c r="DB125" s="107"/>
      <c r="DC125" s="107"/>
      <c r="DD125" s="107"/>
      <c r="DE125" s="107"/>
      <c r="DF125" s="107"/>
      <c r="DG125" s="107"/>
      <c r="DH125" s="107"/>
      <c r="DI125" s="107"/>
      <c r="DJ125" s="107"/>
      <c r="DK125" s="107"/>
      <c r="DL125" s="107"/>
      <c r="DM125" s="107"/>
    </row>
    <row r="126" spans="2:117" x14ac:dyDescent="0.3">
      <c r="B126" s="90" t="s">
        <v>1640</v>
      </c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>
        <v>1</v>
      </c>
      <c r="AA126" s="90"/>
      <c r="AB126" s="90"/>
      <c r="AC126" s="90"/>
      <c r="AD126" s="90"/>
      <c r="AE126" s="90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107"/>
      <c r="CW126" s="107"/>
      <c r="CX126" s="107"/>
      <c r="CY126" s="107"/>
      <c r="CZ126" s="107"/>
      <c r="DA126" s="107"/>
      <c r="DB126" s="107"/>
      <c r="DC126" s="107"/>
      <c r="DD126" s="107"/>
      <c r="DE126" s="107"/>
      <c r="DF126" s="107"/>
      <c r="DG126" s="107"/>
      <c r="DH126" s="107"/>
      <c r="DI126" s="107"/>
      <c r="DJ126" s="107"/>
      <c r="DK126" s="107"/>
      <c r="DL126" s="107"/>
      <c r="DM126" s="107"/>
    </row>
    <row r="127" spans="2:117" x14ac:dyDescent="0.3">
      <c r="B127" s="90" t="s">
        <v>1641</v>
      </c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>
        <v>1</v>
      </c>
      <c r="AB127" s="90"/>
      <c r="AC127" s="90"/>
      <c r="AD127" s="90"/>
      <c r="AE127" s="90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107"/>
      <c r="CW127" s="107"/>
      <c r="CX127" s="107"/>
      <c r="CY127" s="107"/>
      <c r="CZ127" s="107"/>
      <c r="DA127" s="107"/>
      <c r="DB127" s="107"/>
      <c r="DC127" s="107"/>
      <c r="DD127" s="107"/>
      <c r="DE127" s="107"/>
      <c r="DF127" s="107"/>
      <c r="DG127" s="107"/>
      <c r="DH127" s="107"/>
      <c r="DI127" s="107"/>
      <c r="DJ127" s="107"/>
      <c r="DK127" s="107"/>
      <c r="DL127" s="107"/>
      <c r="DM127" s="107"/>
    </row>
    <row r="128" spans="2:117" x14ac:dyDescent="0.3">
      <c r="B128" s="90" t="s">
        <v>1642</v>
      </c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>
        <v>1</v>
      </c>
      <c r="AD128" s="90"/>
      <c r="AE128" s="90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107"/>
      <c r="CW128" s="107"/>
      <c r="CX128" s="107"/>
      <c r="CY128" s="107"/>
      <c r="CZ128" s="107"/>
      <c r="DA128" s="107"/>
      <c r="DB128" s="107"/>
      <c r="DC128" s="107"/>
      <c r="DD128" s="107"/>
      <c r="DE128" s="107"/>
      <c r="DF128" s="107"/>
      <c r="DG128" s="107"/>
      <c r="DH128" s="107"/>
      <c r="DI128" s="107"/>
      <c r="DJ128" s="107"/>
      <c r="DK128" s="107"/>
      <c r="DL128" s="107"/>
      <c r="DM128" s="107"/>
    </row>
    <row r="129" spans="2:117" x14ac:dyDescent="0.3">
      <c r="B129" s="90" t="s">
        <v>1643</v>
      </c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>
        <v>1</v>
      </c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107"/>
      <c r="CW129" s="107"/>
      <c r="CX129" s="107"/>
      <c r="CY129" s="107"/>
      <c r="CZ129" s="107"/>
      <c r="DA129" s="107"/>
      <c r="DB129" s="107"/>
      <c r="DC129" s="107"/>
      <c r="DD129" s="107"/>
      <c r="DE129" s="107"/>
      <c r="DF129" s="107"/>
      <c r="DG129" s="107"/>
      <c r="DH129" s="107"/>
      <c r="DI129" s="107"/>
      <c r="DJ129" s="107"/>
      <c r="DK129" s="107"/>
      <c r="DL129" s="107"/>
      <c r="DM129" s="107"/>
    </row>
    <row r="130" spans="2:117" x14ac:dyDescent="0.3">
      <c r="B130" s="91" t="s">
        <v>906</v>
      </c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>
        <v>1</v>
      </c>
      <c r="N130" s="91">
        <v>1</v>
      </c>
      <c r="O130" s="91">
        <v>1</v>
      </c>
      <c r="P130" s="91">
        <v>1</v>
      </c>
      <c r="Q130" s="91">
        <v>1</v>
      </c>
      <c r="R130" s="91">
        <v>1</v>
      </c>
      <c r="S130" s="91">
        <v>1</v>
      </c>
      <c r="T130" s="91">
        <v>1</v>
      </c>
      <c r="U130" s="91">
        <v>1</v>
      </c>
      <c r="V130" s="91">
        <v>1</v>
      </c>
      <c r="W130" s="91"/>
      <c r="X130" s="91"/>
      <c r="Y130" s="91"/>
      <c r="Z130" s="91"/>
      <c r="AA130" s="91"/>
      <c r="AB130" s="91">
        <v>1</v>
      </c>
      <c r="AC130" s="91"/>
      <c r="AD130" s="91">
        <v>1</v>
      </c>
      <c r="AE130" s="91"/>
      <c r="AF130" s="90">
        <v>1</v>
      </c>
      <c r="AG130" s="90">
        <v>1</v>
      </c>
      <c r="AH130" s="90">
        <v>1</v>
      </c>
      <c r="AI130" s="90">
        <v>1</v>
      </c>
      <c r="AJ130" s="90">
        <v>1</v>
      </c>
      <c r="AK130" s="90">
        <v>1</v>
      </c>
      <c r="AL130" s="90">
        <v>1</v>
      </c>
      <c r="AM130" s="91"/>
      <c r="AN130" s="91"/>
      <c r="AO130" s="91"/>
      <c r="AP130" s="91"/>
      <c r="AQ130" s="91"/>
      <c r="AR130" s="91"/>
      <c r="AS130" s="91"/>
      <c r="CD130" s="93"/>
      <c r="CE130" s="93"/>
      <c r="CF130" s="93"/>
      <c r="CG130" s="93"/>
      <c r="CH130" s="93"/>
      <c r="CI130" s="93"/>
      <c r="CJ130" s="93"/>
      <c r="CK130" s="93"/>
      <c r="CL130" s="93"/>
      <c r="CM130" s="93"/>
      <c r="CN130" s="93"/>
      <c r="CO130" s="93"/>
      <c r="CP130" s="93"/>
      <c r="CQ130" s="93"/>
      <c r="CR130" s="93"/>
      <c r="CS130" s="93"/>
      <c r="CT130" s="93"/>
      <c r="CU130" s="93"/>
      <c r="CV130" s="107"/>
      <c r="CW130" s="107"/>
      <c r="CX130" s="107"/>
      <c r="CY130" s="107"/>
      <c r="CZ130" s="107"/>
      <c r="DA130" s="107"/>
      <c r="DB130" s="107"/>
      <c r="DC130" s="107"/>
      <c r="DD130" s="107"/>
      <c r="DE130" s="107"/>
      <c r="DF130" s="107"/>
      <c r="DG130" s="107"/>
      <c r="DH130" s="107"/>
      <c r="DI130" s="107"/>
      <c r="DJ130" s="107"/>
      <c r="DK130" s="107"/>
      <c r="DL130" s="107"/>
      <c r="DM130" s="107"/>
    </row>
    <row r="131" spans="2:117" x14ac:dyDescent="0.3">
      <c r="B131" s="91" t="s">
        <v>900</v>
      </c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>
        <v>1</v>
      </c>
      <c r="N131" s="91">
        <v>1</v>
      </c>
      <c r="O131" s="91">
        <v>1</v>
      </c>
      <c r="P131" s="91">
        <v>1</v>
      </c>
      <c r="Q131" s="91">
        <v>1</v>
      </c>
      <c r="R131" s="91">
        <v>1</v>
      </c>
      <c r="S131" s="91">
        <v>1</v>
      </c>
      <c r="T131" s="91">
        <v>1</v>
      </c>
      <c r="U131" s="91">
        <v>1</v>
      </c>
      <c r="V131" s="91">
        <v>1</v>
      </c>
      <c r="W131" s="91"/>
      <c r="X131" s="91"/>
      <c r="Y131" s="91"/>
      <c r="Z131" s="91"/>
      <c r="AA131" s="91"/>
      <c r="AB131" s="91">
        <v>1</v>
      </c>
      <c r="AC131" s="91"/>
      <c r="AD131" s="91">
        <v>1</v>
      </c>
      <c r="AE131" s="91"/>
      <c r="AF131" s="90">
        <v>1</v>
      </c>
      <c r="AG131" s="90">
        <v>1</v>
      </c>
      <c r="AH131" s="90">
        <v>1</v>
      </c>
      <c r="AI131" s="90">
        <v>1</v>
      </c>
      <c r="AJ131" s="90">
        <v>1</v>
      </c>
      <c r="AK131" s="90">
        <v>1</v>
      </c>
      <c r="AL131" s="90">
        <v>1</v>
      </c>
      <c r="AM131" s="91"/>
      <c r="AN131" s="91"/>
      <c r="AO131" s="91"/>
      <c r="AP131" s="91"/>
      <c r="AQ131" s="91"/>
      <c r="AR131" s="91"/>
      <c r="AS131" s="91"/>
      <c r="CD131" s="93"/>
      <c r="CE131" s="93"/>
      <c r="CF131" s="93"/>
      <c r="CG131" s="93"/>
      <c r="CH131" s="93"/>
      <c r="CI131" s="93"/>
      <c r="CJ131" s="93"/>
      <c r="CK131" s="93"/>
      <c r="CL131" s="93"/>
      <c r="CM131" s="93"/>
      <c r="CN131" s="93"/>
      <c r="CO131" s="93"/>
      <c r="CP131" s="93"/>
      <c r="CQ131" s="93"/>
      <c r="CR131" s="93"/>
      <c r="CS131" s="93"/>
      <c r="CT131" s="93"/>
      <c r="CU131" s="93"/>
      <c r="CV131" s="107"/>
      <c r="CW131" s="107"/>
      <c r="CX131" s="107"/>
      <c r="CY131" s="107"/>
      <c r="CZ131" s="107"/>
      <c r="DA131" s="107"/>
      <c r="DB131" s="107"/>
      <c r="DC131" s="107"/>
      <c r="DD131" s="107"/>
      <c r="DE131" s="107"/>
      <c r="DF131" s="107"/>
      <c r="DG131" s="107"/>
      <c r="DH131" s="107"/>
      <c r="DI131" s="107"/>
      <c r="DJ131" s="107"/>
      <c r="DK131" s="107"/>
      <c r="DL131" s="107"/>
      <c r="DM131" s="107"/>
    </row>
    <row r="132" spans="2:117" x14ac:dyDescent="0.3">
      <c r="B132" s="91" t="s">
        <v>901</v>
      </c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>
        <v>1</v>
      </c>
      <c r="N132" s="91">
        <v>1</v>
      </c>
      <c r="O132" s="91">
        <v>1</v>
      </c>
      <c r="P132" s="91">
        <v>1</v>
      </c>
      <c r="Q132" s="91">
        <v>1</v>
      </c>
      <c r="R132" s="91">
        <v>1</v>
      </c>
      <c r="S132" s="91">
        <v>1</v>
      </c>
      <c r="T132" s="91">
        <v>1</v>
      </c>
      <c r="U132" s="91">
        <v>1</v>
      </c>
      <c r="V132" s="91">
        <v>1</v>
      </c>
      <c r="W132" s="91"/>
      <c r="X132" s="91"/>
      <c r="Y132" s="91"/>
      <c r="Z132" s="91"/>
      <c r="AA132" s="91"/>
      <c r="AB132" s="91">
        <v>1</v>
      </c>
      <c r="AC132" s="91"/>
      <c r="AD132" s="91">
        <v>1</v>
      </c>
      <c r="AE132" s="91"/>
      <c r="AF132" s="90">
        <v>1</v>
      </c>
      <c r="AG132" s="90">
        <v>1</v>
      </c>
      <c r="AH132" s="90">
        <v>1</v>
      </c>
      <c r="AI132" s="90">
        <v>1</v>
      </c>
      <c r="AJ132" s="90">
        <v>1</v>
      </c>
      <c r="AK132" s="90">
        <v>1</v>
      </c>
      <c r="AL132" s="90">
        <v>1</v>
      </c>
      <c r="AM132" s="91"/>
      <c r="AN132" s="91"/>
      <c r="AO132" s="91"/>
      <c r="AP132" s="91"/>
      <c r="AQ132" s="91"/>
      <c r="AR132" s="91"/>
      <c r="AS132" s="91"/>
      <c r="CD132" s="93"/>
      <c r="CE132" s="93"/>
      <c r="CF132" s="93"/>
      <c r="CG132" s="93"/>
      <c r="CH132" s="93"/>
      <c r="CI132" s="93"/>
      <c r="CJ132" s="93"/>
      <c r="CK132" s="93"/>
      <c r="CL132" s="93"/>
      <c r="CM132" s="93"/>
      <c r="CN132" s="93"/>
      <c r="CO132" s="93"/>
      <c r="CP132" s="93"/>
      <c r="CQ132" s="93"/>
      <c r="CR132" s="93"/>
      <c r="CS132" s="93"/>
      <c r="CT132" s="93"/>
      <c r="CU132" s="93"/>
      <c r="CV132" s="107"/>
      <c r="CW132" s="107"/>
      <c r="CX132" s="107"/>
      <c r="CY132" s="107"/>
      <c r="CZ132" s="107"/>
      <c r="DA132" s="107"/>
      <c r="DB132" s="107"/>
      <c r="DC132" s="107"/>
      <c r="DD132" s="107"/>
      <c r="DE132" s="107"/>
      <c r="DF132" s="107"/>
      <c r="DG132" s="107"/>
      <c r="DH132" s="107"/>
      <c r="DI132" s="107"/>
      <c r="DJ132" s="107"/>
      <c r="DK132" s="107"/>
      <c r="DL132" s="107"/>
      <c r="DM132" s="107"/>
    </row>
    <row r="133" spans="2:117" x14ac:dyDescent="0.3">
      <c r="B133" s="113" t="s">
        <v>1055</v>
      </c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3"/>
      <c r="BU133" s="93"/>
      <c r="BV133" s="93"/>
      <c r="BW133" s="93"/>
      <c r="BX133" s="93"/>
      <c r="BY133" s="93"/>
      <c r="BZ133" s="93"/>
      <c r="CA133" s="93"/>
      <c r="CB133" s="93"/>
      <c r="CC133" s="93"/>
      <c r="CD133" s="93">
        <v>1</v>
      </c>
      <c r="CE133" s="93"/>
      <c r="CF133" s="93"/>
      <c r="CG133" s="93"/>
      <c r="CH133" s="93"/>
      <c r="CI133" s="93"/>
      <c r="CJ133" s="93"/>
      <c r="CK133" s="93"/>
      <c r="CL133" s="93"/>
      <c r="CM133" s="93"/>
      <c r="CN133" s="93"/>
      <c r="CO133" s="93"/>
      <c r="CP133" s="93"/>
      <c r="CQ133" s="93"/>
      <c r="CR133" s="93"/>
      <c r="CS133" s="93"/>
      <c r="CT133" s="93"/>
      <c r="CU133" s="93"/>
      <c r="CV133" s="107"/>
      <c r="CW133" s="107"/>
      <c r="CX133" s="107"/>
      <c r="CY133" s="107"/>
      <c r="CZ133" s="107"/>
      <c r="DA133" s="107"/>
      <c r="DB133" s="107"/>
      <c r="DC133" s="107"/>
      <c r="DD133" s="107"/>
      <c r="DE133" s="107"/>
      <c r="DF133" s="107"/>
      <c r="DG133" s="107"/>
      <c r="DH133" s="107"/>
      <c r="DI133" s="107"/>
      <c r="DJ133" s="107"/>
      <c r="DK133" s="107"/>
      <c r="DL133" s="107"/>
      <c r="DM133" s="107"/>
    </row>
    <row r="134" spans="2:117" x14ac:dyDescent="0.3">
      <c r="B134" s="113" t="s">
        <v>1056</v>
      </c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  <c r="CA134" s="93"/>
      <c r="CB134" s="93"/>
      <c r="CC134" s="93"/>
      <c r="CD134" s="93"/>
      <c r="CE134" s="93">
        <v>1</v>
      </c>
      <c r="CF134" s="93"/>
      <c r="CG134" s="93"/>
      <c r="CH134" s="93"/>
      <c r="CI134" s="93"/>
      <c r="CJ134" s="93"/>
      <c r="CK134" s="93"/>
      <c r="CL134" s="93"/>
      <c r="CM134" s="93"/>
      <c r="CN134" s="93"/>
      <c r="CO134" s="93"/>
      <c r="CP134" s="93"/>
      <c r="CQ134" s="93"/>
      <c r="CR134" s="93"/>
      <c r="CS134" s="93"/>
      <c r="CT134" s="93"/>
      <c r="CU134" s="93"/>
      <c r="CV134" s="107"/>
      <c r="CW134" s="107"/>
      <c r="CX134" s="107"/>
      <c r="CY134" s="107"/>
      <c r="CZ134" s="107"/>
      <c r="DA134" s="107"/>
      <c r="DB134" s="107"/>
      <c r="DC134" s="107"/>
      <c r="DD134" s="107"/>
      <c r="DE134" s="107"/>
      <c r="DF134" s="107"/>
      <c r="DG134" s="107"/>
      <c r="DH134" s="107"/>
      <c r="DI134" s="107"/>
      <c r="DJ134" s="107"/>
      <c r="DK134" s="107"/>
      <c r="DL134" s="107"/>
      <c r="DM134" s="107"/>
    </row>
    <row r="135" spans="2:117" x14ac:dyDescent="0.3">
      <c r="B135" s="113" t="s">
        <v>1057</v>
      </c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93"/>
      <c r="BF135" s="93"/>
      <c r="BG135" s="93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93"/>
      <c r="CA135" s="93"/>
      <c r="CB135" s="93"/>
      <c r="CC135" s="93"/>
      <c r="CD135" s="93"/>
      <c r="CE135" s="93"/>
      <c r="CF135" s="93">
        <v>1</v>
      </c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  <c r="CU135" s="93"/>
      <c r="CV135" s="107"/>
      <c r="CW135" s="107"/>
      <c r="CX135" s="107"/>
      <c r="CY135" s="107"/>
      <c r="CZ135" s="107"/>
      <c r="DA135" s="107"/>
      <c r="DB135" s="107"/>
      <c r="DC135" s="107"/>
      <c r="DD135" s="107"/>
      <c r="DE135" s="107"/>
      <c r="DF135" s="107"/>
      <c r="DG135" s="107"/>
      <c r="DH135" s="107"/>
      <c r="DI135" s="107"/>
      <c r="DJ135" s="107"/>
      <c r="DK135" s="107"/>
      <c r="DL135" s="107"/>
      <c r="DM135" s="107"/>
    </row>
    <row r="136" spans="2:117" x14ac:dyDescent="0.3">
      <c r="B136" s="113" t="s">
        <v>1058</v>
      </c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/>
      <c r="AT136" s="93"/>
      <c r="AU136" s="93"/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3"/>
      <c r="BH136" s="93"/>
      <c r="BI136" s="93"/>
      <c r="BJ136" s="93"/>
      <c r="BK136" s="93"/>
      <c r="BL136" s="93"/>
      <c r="BM136" s="93"/>
      <c r="BN136" s="93"/>
      <c r="BO136" s="93"/>
      <c r="BP136" s="93"/>
      <c r="BQ136" s="93"/>
      <c r="BR136" s="93"/>
      <c r="BS136" s="93"/>
      <c r="BT136" s="93"/>
      <c r="BU136" s="93"/>
      <c r="BV136" s="93"/>
      <c r="BW136" s="93"/>
      <c r="BX136" s="93"/>
      <c r="BY136" s="93"/>
      <c r="BZ136" s="93"/>
      <c r="CA136" s="93"/>
      <c r="CB136" s="93"/>
      <c r="CC136" s="93"/>
      <c r="CD136" s="93"/>
      <c r="CE136" s="93"/>
      <c r="CF136" s="93"/>
      <c r="CG136" s="93">
        <v>1</v>
      </c>
      <c r="CH136" s="93"/>
      <c r="CI136" s="93"/>
      <c r="CJ136" s="93"/>
      <c r="CK136" s="93"/>
      <c r="CL136" s="93"/>
      <c r="CM136" s="93"/>
      <c r="CN136" s="93"/>
      <c r="CO136" s="93"/>
      <c r="CP136" s="93"/>
      <c r="CQ136" s="93"/>
      <c r="CR136" s="93"/>
      <c r="CS136" s="93"/>
      <c r="CT136" s="93"/>
      <c r="CU136" s="93"/>
      <c r="CV136" s="107"/>
      <c r="CW136" s="107"/>
      <c r="CX136" s="107"/>
      <c r="CY136" s="107"/>
      <c r="CZ136" s="107"/>
      <c r="DA136" s="107"/>
      <c r="DB136" s="107"/>
      <c r="DC136" s="107"/>
      <c r="DD136" s="107"/>
      <c r="DE136" s="107"/>
      <c r="DF136" s="107"/>
      <c r="DG136" s="107"/>
      <c r="DH136" s="107"/>
      <c r="DI136" s="107"/>
      <c r="DJ136" s="107"/>
      <c r="DK136" s="107"/>
      <c r="DL136" s="107"/>
      <c r="DM136" s="107"/>
    </row>
    <row r="137" spans="2:117" x14ac:dyDescent="0.3">
      <c r="B137" s="113" t="s">
        <v>1059</v>
      </c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  <c r="AT137" s="93"/>
      <c r="AU137" s="93"/>
      <c r="AV137" s="93"/>
      <c r="AW137" s="93"/>
      <c r="AX137" s="93"/>
      <c r="AY137" s="93"/>
      <c r="AZ137" s="93"/>
      <c r="BA137" s="93"/>
      <c r="BB137" s="93"/>
      <c r="BC137" s="93"/>
      <c r="BD137" s="93"/>
      <c r="BE137" s="93"/>
      <c r="BF137" s="93"/>
      <c r="BG137" s="93"/>
      <c r="BH137" s="93"/>
      <c r="BI137" s="93"/>
      <c r="BJ137" s="93"/>
      <c r="BK137" s="93"/>
      <c r="BL137" s="93"/>
      <c r="BM137" s="93"/>
      <c r="BN137" s="93"/>
      <c r="BO137" s="93"/>
      <c r="BP137" s="93"/>
      <c r="BQ137" s="93"/>
      <c r="BR137" s="93"/>
      <c r="BS137" s="93"/>
      <c r="BT137" s="93"/>
      <c r="BU137" s="93"/>
      <c r="BV137" s="93"/>
      <c r="BW137" s="93"/>
      <c r="BX137" s="93"/>
      <c r="BY137" s="93"/>
      <c r="BZ137" s="93"/>
      <c r="CA137" s="93"/>
      <c r="CB137" s="93"/>
      <c r="CC137" s="93"/>
      <c r="CD137" s="93"/>
      <c r="CE137" s="93"/>
      <c r="CF137" s="93"/>
      <c r="CG137" s="93"/>
      <c r="CH137" s="93">
        <v>1</v>
      </c>
      <c r="CI137" s="93"/>
      <c r="CJ137" s="93"/>
      <c r="CK137" s="93"/>
      <c r="CL137" s="93"/>
      <c r="CM137" s="93"/>
      <c r="CN137" s="93"/>
      <c r="CO137" s="93"/>
      <c r="CP137" s="93"/>
      <c r="CQ137" s="93"/>
      <c r="CR137" s="93"/>
      <c r="CS137" s="93"/>
      <c r="CT137" s="93"/>
      <c r="CU137" s="93"/>
      <c r="CV137" s="107"/>
      <c r="CW137" s="107"/>
      <c r="CX137" s="107"/>
      <c r="CY137" s="107"/>
      <c r="CZ137" s="107"/>
      <c r="DA137" s="107"/>
      <c r="DB137" s="107"/>
      <c r="DC137" s="107"/>
      <c r="DD137" s="107"/>
      <c r="DE137" s="107"/>
      <c r="DF137" s="107"/>
      <c r="DG137" s="107"/>
      <c r="DH137" s="107"/>
      <c r="DI137" s="107"/>
      <c r="DJ137" s="107"/>
      <c r="DK137" s="107"/>
      <c r="DL137" s="107"/>
      <c r="DM137" s="107"/>
    </row>
    <row r="138" spans="2:117" x14ac:dyDescent="0.3">
      <c r="B138" s="113" t="s">
        <v>1060</v>
      </c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  <c r="AQ138" s="93"/>
      <c r="AR138" s="93"/>
      <c r="AS138" s="93"/>
      <c r="AT138" s="93"/>
      <c r="AU138" s="93"/>
      <c r="AV138" s="93"/>
      <c r="AW138" s="93"/>
      <c r="AX138" s="93"/>
      <c r="AY138" s="93"/>
      <c r="AZ138" s="93"/>
      <c r="BA138" s="93"/>
      <c r="BB138" s="93"/>
      <c r="BC138" s="93"/>
      <c r="BD138" s="93"/>
      <c r="BE138" s="93"/>
      <c r="BF138" s="93"/>
      <c r="BG138" s="93"/>
      <c r="BH138" s="93"/>
      <c r="BI138" s="93"/>
      <c r="BJ138" s="93"/>
      <c r="BK138" s="93"/>
      <c r="BL138" s="93"/>
      <c r="BM138" s="93"/>
      <c r="BN138" s="93"/>
      <c r="BO138" s="93"/>
      <c r="BP138" s="93"/>
      <c r="BQ138" s="93"/>
      <c r="BR138" s="93"/>
      <c r="BS138" s="93"/>
      <c r="BT138" s="93"/>
      <c r="BU138" s="93"/>
      <c r="BV138" s="93"/>
      <c r="BW138" s="93"/>
      <c r="BX138" s="93"/>
      <c r="BY138" s="93"/>
      <c r="BZ138" s="93"/>
      <c r="CA138" s="93"/>
      <c r="CB138" s="93"/>
      <c r="CC138" s="93"/>
      <c r="CD138" s="93"/>
      <c r="CE138" s="93"/>
      <c r="CF138" s="93"/>
      <c r="CG138" s="93"/>
      <c r="CH138" s="93"/>
      <c r="CI138" s="93">
        <v>1</v>
      </c>
      <c r="CJ138" s="93"/>
      <c r="CK138" s="93"/>
      <c r="CL138" s="93"/>
      <c r="CM138" s="93"/>
      <c r="CN138" s="93"/>
      <c r="CO138" s="93"/>
      <c r="CP138" s="93"/>
      <c r="CQ138" s="93"/>
      <c r="CR138" s="93"/>
      <c r="CS138" s="93"/>
      <c r="CT138" s="93"/>
      <c r="CU138" s="93"/>
      <c r="CV138" s="107"/>
      <c r="CW138" s="107"/>
      <c r="CX138" s="107"/>
      <c r="CY138" s="107"/>
      <c r="CZ138" s="107"/>
      <c r="DA138" s="107"/>
      <c r="DB138" s="107"/>
      <c r="DC138" s="107"/>
      <c r="DD138" s="107"/>
      <c r="DE138" s="107"/>
      <c r="DF138" s="107"/>
      <c r="DG138" s="107"/>
      <c r="DH138" s="107"/>
      <c r="DI138" s="107"/>
      <c r="DJ138" s="107"/>
      <c r="DK138" s="107"/>
      <c r="DL138" s="107"/>
      <c r="DM138" s="107"/>
    </row>
    <row r="139" spans="2:117" x14ac:dyDescent="0.3">
      <c r="B139" s="113" t="s">
        <v>1061</v>
      </c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93"/>
      <c r="BF139" s="93"/>
      <c r="BG139" s="93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93"/>
      <c r="CA139" s="93"/>
      <c r="CB139" s="93"/>
      <c r="CC139" s="93"/>
      <c r="CD139" s="93"/>
      <c r="CE139" s="93"/>
      <c r="CF139" s="93"/>
      <c r="CG139" s="93"/>
      <c r="CH139" s="93"/>
      <c r="CI139" s="93"/>
      <c r="CJ139" s="93">
        <v>1</v>
      </c>
      <c r="CK139" s="93"/>
      <c r="CL139" s="93"/>
      <c r="CM139" s="93"/>
      <c r="CN139" s="93"/>
      <c r="CO139" s="93"/>
      <c r="CP139" s="93"/>
      <c r="CQ139" s="93"/>
      <c r="CR139" s="93"/>
      <c r="CS139" s="93"/>
      <c r="CT139" s="93"/>
      <c r="CU139" s="93"/>
      <c r="CV139" s="107"/>
      <c r="CW139" s="107"/>
      <c r="CX139" s="107"/>
      <c r="CY139" s="107"/>
      <c r="CZ139" s="107"/>
      <c r="DA139" s="107"/>
      <c r="DB139" s="107"/>
      <c r="DC139" s="107"/>
      <c r="DD139" s="107"/>
      <c r="DE139" s="107"/>
      <c r="DF139" s="107"/>
      <c r="DG139" s="107"/>
      <c r="DH139" s="107"/>
      <c r="DI139" s="107"/>
      <c r="DJ139" s="107"/>
      <c r="DK139" s="107"/>
      <c r="DL139" s="107"/>
      <c r="DM139" s="107"/>
    </row>
    <row r="140" spans="2:117" x14ac:dyDescent="0.3">
      <c r="B140" s="113" t="s">
        <v>1062</v>
      </c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  <c r="AQ140" s="93"/>
      <c r="AR140" s="93"/>
      <c r="AS140" s="93"/>
      <c r="AT140" s="93"/>
      <c r="AU140" s="93"/>
      <c r="AV140" s="93"/>
      <c r="AW140" s="93"/>
      <c r="AX140" s="93"/>
      <c r="AY140" s="93"/>
      <c r="AZ140" s="93"/>
      <c r="BA140" s="93"/>
      <c r="BB140" s="93"/>
      <c r="BC140" s="93"/>
      <c r="BD140" s="93"/>
      <c r="BE140" s="93"/>
      <c r="BF140" s="93"/>
      <c r="BG140" s="93"/>
      <c r="BH140" s="93"/>
      <c r="BI140" s="93"/>
      <c r="BJ140" s="93"/>
      <c r="BK140" s="93"/>
      <c r="BL140" s="93"/>
      <c r="BM140" s="93"/>
      <c r="BN140" s="93"/>
      <c r="BO140" s="93"/>
      <c r="BP140" s="93"/>
      <c r="BQ140" s="93"/>
      <c r="BR140" s="93"/>
      <c r="BS140" s="93"/>
      <c r="BT140" s="93"/>
      <c r="BU140" s="93"/>
      <c r="BV140" s="93"/>
      <c r="BW140" s="93"/>
      <c r="BX140" s="93"/>
      <c r="BY140" s="93"/>
      <c r="BZ140" s="93"/>
      <c r="CA140" s="93"/>
      <c r="CB140" s="93"/>
      <c r="CC140" s="93"/>
      <c r="CD140" s="93"/>
      <c r="CE140" s="93"/>
      <c r="CF140" s="93"/>
      <c r="CG140" s="93"/>
      <c r="CH140" s="93"/>
      <c r="CI140" s="93"/>
      <c r="CJ140" s="93"/>
      <c r="CK140" s="93">
        <v>1</v>
      </c>
      <c r="CL140" s="93"/>
      <c r="CM140" s="93"/>
      <c r="CN140" s="93"/>
      <c r="CO140" s="93"/>
      <c r="CP140" s="93"/>
      <c r="CQ140" s="93"/>
      <c r="CR140" s="93"/>
      <c r="CS140" s="93"/>
      <c r="CT140" s="93"/>
      <c r="CU140" s="93"/>
      <c r="CV140" s="107"/>
      <c r="CW140" s="107"/>
      <c r="CX140" s="107"/>
      <c r="CY140" s="107"/>
      <c r="CZ140" s="107"/>
      <c r="DA140" s="107"/>
      <c r="DB140" s="107"/>
      <c r="DC140" s="107"/>
      <c r="DD140" s="107"/>
      <c r="DE140" s="107"/>
      <c r="DF140" s="107"/>
      <c r="DG140" s="107"/>
      <c r="DH140" s="107"/>
      <c r="DI140" s="107"/>
      <c r="DJ140" s="107"/>
      <c r="DK140" s="107"/>
      <c r="DL140" s="107"/>
      <c r="DM140" s="107"/>
    </row>
    <row r="141" spans="2:117" x14ac:dyDescent="0.3">
      <c r="B141" s="113" t="s">
        <v>1063</v>
      </c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  <c r="BB141" s="93"/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  <c r="BP141" s="93"/>
      <c r="BQ141" s="93"/>
      <c r="BR141" s="93"/>
      <c r="BS141" s="93"/>
      <c r="BT141" s="93"/>
      <c r="BU141" s="93"/>
      <c r="BV141" s="93"/>
      <c r="BW141" s="93"/>
      <c r="BX141" s="93"/>
      <c r="BY141" s="93"/>
      <c r="BZ141" s="93"/>
      <c r="CA141" s="93"/>
      <c r="CB141" s="93"/>
      <c r="CC141" s="93"/>
      <c r="CD141" s="93"/>
      <c r="CE141" s="93"/>
      <c r="CF141" s="93"/>
      <c r="CG141" s="93"/>
      <c r="CH141" s="93"/>
      <c r="CI141" s="93"/>
      <c r="CJ141" s="93"/>
      <c r="CK141" s="93"/>
      <c r="CL141" s="93">
        <v>1</v>
      </c>
      <c r="CM141" s="93"/>
      <c r="CN141" s="93"/>
      <c r="CO141" s="93"/>
      <c r="CP141" s="93"/>
      <c r="CQ141" s="93"/>
      <c r="CR141" s="93"/>
      <c r="CS141" s="93"/>
      <c r="CT141" s="93"/>
      <c r="CU141" s="93"/>
      <c r="CV141" s="107"/>
      <c r="CW141" s="107"/>
      <c r="CX141" s="107"/>
      <c r="CY141" s="107"/>
      <c r="CZ141" s="107"/>
      <c r="DA141" s="107"/>
      <c r="DB141" s="107"/>
      <c r="DC141" s="107"/>
      <c r="DD141" s="107"/>
      <c r="DE141" s="107"/>
      <c r="DF141" s="107"/>
      <c r="DG141" s="107"/>
      <c r="DH141" s="107"/>
      <c r="DI141" s="107"/>
      <c r="DJ141" s="107"/>
      <c r="DK141" s="107"/>
      <c r="DL141" s="107"/>
      <c r="DM141" s="107"/>
    </row>
    <row r="142" spans="2:117" x14ac:dyDescent="0.3">
      <c r="B142" s="113" t="s">
        <v>1064</v>
      </c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>
        <v>1</v>
      </c>
      <c r="CN142" s="93"/>
      <c r="CO142" s="93"/>
      <c r="CP142" s="93"/>
      <c r="CQ142" s="93"/>
      <c r="CR142" s="93"/>
      <c r="CS142" s="93"/>
      <c r="CT142" s="93"/>
      <c r="CU142" s="93"/>
      <c r="CV142" s="107"/>
      <c r="CW142" s="107"/>
      <c r="CX142" s="107"/>
      <c r="CY142" s="107"/>
      <c r="CZ142" s="107"/>
      <c r="DA142" s="107"/>
      <c r="DB142" s="107"/>
      <c r="DC142" s="107"/>
      <c r="DD142" s="107"/>
      <c r="DE142" s="107"/>
      <c r="DF142" s="107"/>
      <c r="DG142" s="107"/>
      <c r="DH142" s="107"/>
      <c r="DI142" s="107"/>
      <c r="DJ142" s="107"/>
      <c r="DK142" s="107"/>
      <c r="DL142" s="107"/>
      <c r="DM142" s="107"/>
    </row>
    <row r="143" spans="2:117" x14ac:dyDescent="0.3">
      <c r="B143" s="113" t="s">
        <v>1065</v>
      </c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  <c r="CG143" s="93"/>
      <c r="CH143" s="93"/>
      <c r="CI143" s="93"/>
      <c r="CJ143" s="93"/>
      <c r="CK143" s="93"/>
      <c r="CL143" s="93"/>
      <c r="CM143" s="93"/>
      <c r="CN143" s="93">
        <v>1</v>
      </c>
      <c r="CO143" s="93"/>
      <c r="CP143" s="93"/>
      <c r="CQ143" s="93"/>
      <c r="CR143" s="93"/>
      <c r="CS143" s="93"/>
      <c r="CT143" s="93"/>
      <c r="CU143" s="93"/>
      <c r="CV143" s="107"/>
      <c r="CW143" s="107"/>
      <c r="CX143" s="107"/>
      <c r="CY143" s="107"/>
      <c r="CZ143" s="107"/>
      <c r="DA143" s="107"/>
      <c r="DB143" s="107"/>
      <c r="DC143" s="107"/>
      <c r="DD143" s="107"/>
      <c r="DE143" s="107"/>
      <c r="DF143" s="107"/>
      <c r="DG143" s="107"/>
      <c r="DH143" s="107"/>
      <c r="DI143" s="107"/>
      <c r="DJ143" s="107"/>
      <c r="DK143" s="107"/>
      <c r="DL143" s="107"/>
      <c r="DM143" s="107"/>
    </row>
    <row r="144" spans="2:117" x14ac:dyDescent="0.3">
      <c r="B144" s="113" t="s">
        <v>1066</v>
      </c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  <c r="CG144" s="93"/>
      <c r="CH144" s="93"/>
      <c r="CI144" s="93"/>
      <c r="CJ144" s="93"/>
      <c r="CK144" s="93"/>
      <c r="CL144" s="93"/>
      <c r="CM144" s="93"/>
      <c r="CN144" s="93"/>
      <c r="CO144" s="93">
        <v>1</v>
      </c>
      <c r="CP144" s="93"/>
      <c r="CQ144" s="93"/>
      <c r="CR144" s="93"/>
      <c r="CS144" s="93"/>
      <c r="CT144" s="93"/>
      <c r="CU144" s="93"/>
      <c r="CV144" s="107"/>
      <c r="CW144" s="107"/>
      <c r="CX144" s="107"/>
      <c r="CY144" s="107"/>
      <c r="CZ144" s="107"/>
      <c r="DA144" s="107"/>
      <c r="DB144" s="107"/>
      <c r="DC144" s="107"/>
      <c r="DD144" s="107"/>
      <c r="DE144" s="107"/>
      <c r="DF144" s="107"/>
      <c r="DG144" s="107"/>
      <c r="DH144" s="107"/>
      <c r="DI144" s="107"/>
      <c r="DJ144" s="107"/>
      <c r="DK144" s="107"/>
      <c r="DL144" s="107"/>
      <c r="DM144" s="107"/>
    </row>
    <row r="145" spans="2:117" x14ac:dyDescent="0.3">
      <c r="B145" s="113" t="s">
        <v>1067</v>
      </c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  <c r="CI145" s="93"/>
      <c r="CJ145" s="93"/>
      <c r="CK145" s="93"/>
      <c r="CL145" s="93"/>
      <c r="CM145" s="93"/>
      <c r="CN145" s="93"/>
      <c r="CO145" s="93"/>
      <c r="CP145" s="93">
        <v>1</v>
      </c>
      <c r="CQ145" s="93"/>
      <c r="CR145" s="93"/>
      <c r="CS145" s="93"/>
      <c r="CT145" s="93"/>
      <c r="CU145" s="93"/>
      <c r="CV145" s="107"/>
      <c r="CW145" s="107"/>
      <c r="CX145" s="107"/>
      <c r="CY145" s="107"/>
      <c r="CZ145" s="107"/>
      <c r="DA145" s="107"/>
      <c r="DB145" s="107"/>
      <c r="DC145" s="107"/>
      <c r="DD145" s="107"/>
      <c r="DE145" s="107"/>
      <c r="DF145" s="107"/>
      <c r="DG145" s="107"/>
      <c r="DH145" s="107"/>
      <c r="DI145" s="107"/>
      <c r="DJ145" s="107"/>
      <c r="DK145" s="107"/>
      <c r="DL145" s="107"/>
      <c r="DM145" s="107"/>
    </row>
    <row r="146" spans="2:117" x14ac:dyDescent="0.3">
      <c r="B146" s="113" t="s">
        <v>1068</v>
      </c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>
        <v>1</v>
      </c>
      <c r="CR146" s="93"/>
      <c r="CS146" s="93"/>
      <c r="CT146" s="93"/>
      <c r="CU146" s="93"/>
      <c r="CV146" s="107"/>
      <c r="CW146" s="107"/>
      <c r="CX146" s="107"/>
      <c r="CY146" s="107"/>
      <c r="CZ146" s="107"/>
      <c r="DA146" s="107"/>
      <c r="DB146" s="107"/>
      <c r="DC146" s="107"/>
      <c r="DD146" s="107"/>
      <c r="DE146" s="107"/>
      <c r="DF146" s="107"/>
      <c r="DG146" s="107"/>
      <c r="DH146" s="107"/>
      <c r="DI146" s="107"/>
      <c r="DJ146" s="107"/>
      <c r="DK146" s="107"/>
      <c r="DL146" s="107"/>
      <c r="DM146" s="107"/>
    </row>
    <row r="147" spans="2:117" x14ac:dyDescent="0.3">
      <c r="B147" s="113" t="s">
        <v>1069</v>
      </c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  <c r="CG147" s="93"/>
      <c r="CH147" s="93"/>
      <c r="CI147" s="93"/>
      <c r="CJ147" s="93"/>
      <c r="CK147" s="93"/>
      <c r="CL147" s="93"/>
      <c r="CM147" s="93"/>
      <c r="CN147" s="93"/>
      <c r="CO147" s="93"/>
      <c r="CP147" s="93"/>
      <c r="CQ147" s="93"/>
      <c r="CR147" s="93">
        <v>1</v>
      </c>
      <c r="CS147" s="93"/>
      <c r="CT147" s="93"/>
      <c r="CU147" s="93"/>
      <c r="CV147" s="107"/>
      <c r="CW147" s="107"/>
      <c r="CX147" s="107"/>
      <c r="CY147" s="107"/>
      <c r="CZ147" s="107"/>
      <c r="DA147" s="107"/>
      <c r="DB147" s="107"/>
      <c r="DC147" s="107"/>
      <c r="DD147" s="107"/>
      <c r="DE147" s="107"/>
      <c r="DF147" s="107"/>
      <c r="DG147" s="107"/>
      <c r="DH147" s="107"/>
      <c r="DI147" s="107"/>
      <c r="DJ147" s="107"/>
      <c r="DK147" s="107"/>
      <c r="DL147" s="107"/>
      <c r="DM147" s="107"/>
    </row>
    <row r="148" spans="2:117" x14ac:dyDescent="0.3">
      <c r="B148" s="113" t="s">
        <v>1070</v>
      </c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93"/>
      <c r="CG148" s="93"/>
      <c r="CH148" s="93"/>
      <c r="CI148" s="93"/>
      <c r="CJ148" s="93"/>
      <c r="CK148" s="93"/>
      <c r="CL148" s="93"/>
      <c r="CM148" s="93"/>
      <c r="CN148" s="93"/>
      <c r="CO148" s="93"/>
      <c r="CP148" s="93"/>
      <c r="CQ148" s="93"/>
      <c r="CR148" s="93"/>
      <c r="CS148" s="93">
        <v>1</v>
      </c>
      <c r="CT148" s="93"/>
      <c r="CU148" s="93"/>
      <c r="CV148" s="107"/>
      <c r="CW148" s="107"/>
      <c r="CX148" s="107"/>
      <c r="CY148" s="107"/>
      <c r="CZ148" s="107"/>
      <c r="DA148" s="107"/>
      <c r="DB148" s="107"/>
      <c r="DC148" s="107"/>
      <c r="DD148" s="107"/>
      <c r="DE148" s="107"/>
      <c r="DF148" s="107"/>
      <c r="DG148" s="107"/>
      <c r="DH148" s="107"/>
      <c r="DI148" s="107"/>
      <c r="DJ148" s="107"/>
      <c r="DK148" s="107"/>
      <c r="DL148" s="107"/>
      <c r="DM148" s="107"/>
    </row>
    <row r="149" spans="2:117" x14ac:dyDescent="0.3">
      <c r="B149" s="113" t="s">
        <v>1071</v>
      </c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93"/>
      <c r="CG149" s="93"/>
      <c r="CH149" s="93"/>
      <c r="CI149" s="93"/>
      <c r="CJ149" s="93"/>
      <c r="CK149" s="93"/>
      <c r="CL149" s="93"/>
      <c r="CM149" s="93"/>
      <c r="CN149" s="93"/>
      <c r="CO149" s="93"/>
      <c r="CP149" s="93"/>
      <c r="CQ149" s="93"/>
      <c r="CR149" s="93"/>
      <c r="CS149" s="93"/>
      <c r="CT149" s="93">
        <v>1</v>
      </c>
      <c r="CU149" s="93"/>
      <c r="CV149" s="107"/>
      <c r="CW149" s="107"/>
      <c r="CX149" s="107"/>
      <c r="CY149" s="107"/>
      <c r="CZ149" s="107"/>
      <c r="DA149" s="107"/>
      <c r="DB149" s="107"/>
      <c r="DC149" s="107"/>
      <c r="DD149" s="107"/>
      <c r="DE149" s="107"/>
      <c r="DF149" s="107"/>
      <c r="DG149" s="107"/>
      <c r="DH149" s="107"/>
      <c r="DI149" s="107"/>
      <c r="DJ149" s="107"/>
      <c r="DK149" s="107"/>
      <c r="DL149" s="107"/>
      <c r="DM149" s="107"/>
    </row>
    <row r="150" spans="2:117" x14ac:dyDescent="0.3">
      <c r="B150" s="113" t="s">
        <v>1072</v>
      </c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93"/>
      <c r="CG150" s="93"/>
      <c r="CH150" s="93"/>
      <c r="CI150" s="93"/>
      <c r="CJ150" s="93"/>
      <c r="CK150" s="93"/>
      <c r="CL150" s="93"/>
      <c r="CM150" s="93"/>
      <c r="CN150" s="93"/>
      <c r="CO150" s="93"/>
      <c r="CP150" s="93"/>
      <c r="CQ150" s="93"/>
      <c r="CR150" s="93"/>
      <c r="CS150" s="93"/>
      <c r="CT150" s="93"/>
      <c r="CU150" s="93">
        <v>1</v>
      </c>
      <c r="CV150" s="107"/>
      <c r="CW150" s="107"/>
      <c r="CX150" s="107"/>
      <c r="CY150" s="107"/>
      <c r="CZ150" s="107"/>
      <c r="DA150" s="107"/>
      <c r="DB150" s="107"/>
      <c r="DC150" s="107"/>
      <c r="DD150" s="107"/>
      <c r="DE150" s="107"/>
      <c r="DF150" s="107"/>
      <c r="DG150" s="107"/>
      <c r="DH150" s="107"/>
      <c r="DI150" s="107"/>
      <c r="DJ150" s="107"/>
      <c r="DK150" s="107"/>
      <c r="DL150" s="107"/>
      <c r="DM150" s="107"/>
    </row>
    <row r="151" spans="2:117" x14ac:dyDescent="0.3">
      <c r="B151" s="93" t="s">
        <v>1091</v>
      </c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>
        <v>1</v>
      </c>
      <c r="CE151" s="93"/>
      <c r="CF151" s="93"/>
      <c r="CG151" s="93"/>
      <c r="CH151" s="93"/>
      <c r="CI151" s="93"/>
      <c r="CJ151" s="93"/>
      <c r="CK151" s="93"/>
      <c r="CL151" s="93"/>
      <c r="CM151" s="93"/>
      <c r="CN151" s="93"/>
      <c r="CO151" s="93"/>
      <c r="CP151" s="93"/>
      <c r="CQ151" s="93"/>
      <c r="CR151" s="93"/>
      <c r="CS151" s="93"/>
      <c r="CT151" s="93"/>
      <c r="CU151" s="93"/>
      <c r="CV151" s="107"/>
      <c r="CW151" s="107"/>
      <c r="CX151" s="107"/>
      <c r="CY151" s="107"/>
      <c r="CZ151" s="107"/>
      <c r="DA151" s="107"/>
      <c r="DB151" s="107"/>
      <c r="DC151" s="107"/>
      <c r="DD151" s="107"/>
      <c r="DE151" s="107"/>
      <c r="DF151" s="107"/>
      <c r="DG151" s="107"/>
      <c r="DH151" s="107"/>
      <c r="DI151" s="107"/>
      <c r="DJ151" s="107"/>
      <c r="DK151" s="107"/>
      <c r="DL151" s="107"/>
      <c r="DM151" s="107"/>
    </row>
    <row r="152" spans="2:117" x14ac:dyDescent="0.3">
      <c r="B152" s="93" t="s">
        <v>1092</v>
      </c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>
        <v>1</v>
      </c>
      <c r="CF152" s="93"/>
      <c r="CG152" s="93"/>
      <c r="CH152" s="93"/>
      <c r="CI152" s="93"/>
      <c r="CJ152" s="93"/>
      <c r="CK152" s="93"/>
      <c r="CL152" s="93"/>
      <c r="CM152" s="93"/>
      <c r="CN152" s="93"/>
      <c r="CO152" s="93"/>
      <c r="CP152" s="93"/>
      <c r="CQ152" s="93"/>
      <c r="CR152" s="93"/>
      <c r="CS152" s="93"/>
      <c r="CT152" s="93"/>
      <c r="CU152" s="93"/>
      <c r="CV152" s="107"/>
      <c r="CW152" s="107"/>
      <c r="CX152" s="107"/>
      <c r="CY152" s="107"/>
      <c r="CZ152" s="107"/>
      <c r="DA152" s="107"/>
      <c r="DB152" s="107"/>
      <c r="DC152" s="107"/>
      <c r="DD152" s="107"/>
      <c r="DE152" s="107"/>
      <c r="DF152" s="107"/>
      <c r="DG152" s="107"/>
      <c r="DH152" s="107"/>
      <c r="DI152" s="107"/>
      <c r="DJ152" s="107"/>
      <c r="DK152" s="107"/>
      <c r="DL152" s="107"/>
      <c r="DM152" s="107"/>
    </row>
    <row r="153" spans="2:117" x14ac:dyDescent="0.3">
      <c r="B153" s="93" t="s">
        <v>1093</v>
      </c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>
        <v>1</v>
      </c>
      <c r="CG153" s="93"/>
      <c r="CH153" s="93"/>
      <c r="CI153" s="93"/>
      <c r="CJ153" s="93"/>
      <c r="CK153" s="93"/>
      <c r="CL153" s="93"/>
      <c r="CM153" s="93"/>
      <c r="CN153" s="93"/>
      <c r="CO153" s="93"/>
      <c r="CP153" s="93"/>
      <c r="CQ153" s="93"/>
      <c r="CR153" s="93"/>
      <c r="CS153" s="93"/>
      <c r="CT153" s="93"/>
      <c r="CU153" s="93"/>
      <c r="CV153" s="107"/>
      <c r="CW153" s="107"/>
      <c r="CX153" s="107"/>
      <c r="CY153" s="107"/>
      <c r="CZ153" s="107"/>
      <c r="DA153" s="107"/>
      <c r="DB153" s="107"/>
      <c r="DC153" s="107"/>
      <c r="DD153" s="107"/>
      <c r="DE153" s="107"/>
      <c r="DF153" s="107"/>
      <c r="DG153" s="107"/>
      <c r="DH153" s="107"/>
      <c r="DI153" s="107"/>
      <c r="DJ153" s="107"/>
      <c r="DK153" s="107"/>
      <c r="DL153" s="107"/>
      <c r="DM153" s="107"/>
    </row>
    <row r="154" spans="2:117" x14ac:dyDescent="0.3">
      <c r="B154" s="93" t="s">
        <v>1094</v>
      </c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  <c r="CG154" s="93">
        <v>1</v>
      </c>
      <c r="CH154" s="93"/>
      <c r="CI154" s="93"/>
      <c r="CJ154" s="93"/>
      <c r="CK154" s="93"/>
      <c r="CL154" s="93"/>
      <c r="CM154" s="93"/>
      <c r="CN154" s="93"/>
      <c r="CO154" s="93"/>
      <c r="CP154" s="93"/>
      <c r="CQ154" s="93"/>
      <c r="CR154" s="93"/>
      <c r="CS154" s="93"/>
      <c r="CT154" s="93"/>
      <c r="CU154" s="93"/>
      <c r="CV154" s="107"/>
      <c r="CW154" s="107"/>
      <c r="CX154" s="107"/>
      <c r="CY154" s="107"/>
      <c r="CZ154" s="107"/>
      <c r="DA154" s="107"/>
      <c r="DB154" s="107"/>
      <c r="DC154" s="107"/>
      <c r="DD154" s="107"/>
      <c r="DE154" s="107"/>
      <c r="DF154" s="107"/>
      <c r="DG154" s="107"/>
      <c r="DH154" s="107"/>
      <c r="DI154" s="107"/>
      <c r="DJ154" s="107"/>
      <c r="DK154" s="107"/>
      <c r="DL154" s="107"/>
      <c r="DM154" s="107"/>
    </row>
    <row r="155" spans="2:117" x14ac:dyDescent="0.3">
      <c r="B155" s="93" t="s">
        <v>1095</v>
      </c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  <c r="CG155" s="93"/>
      <c r="CH155" s="93">
        <v>1</v>
      </c>
      <c r="CI155" s="93"/>
      <c r="CJ155" s="93"/>
      <c r="CK155" s="93"/>
      <c r="CL155" s="93"/>
      <c r="CM155" s="93"/>
      <c r="CN155" s="93"/>
      <c r="CO155" s="93"/>
      <c r="CP155" s="93"/>
      <c r="CQ155" s="93"/>
      <c r="CR155" s="93"/>
      <c r="CS155" s="93"/>
      <c r="CT155" s="93"/>
      <c r="CU155" s="93"/>
      <c r="CV155" s="107"/>
      <c r="CW155" s="107"/>
      <c r="CX155" s="107"/>
      <c r="CY155" s="107"/>
      <c r="CZ155" s="107"/>
      <c r="DA155" s="107"/>
      <c r="DB155" s="107"/>
      <c r="DC155" s="107"/>
      <c r="DD155" s="107"/>
      <c r="DE155" s="107"/>
      <c r="DF155" s="107"/>
      <c r="DG155" s="107"/>
      <c r="DH155" s="107"/>
      <c r="DI155" s="107"/>
      <c r="DJ155" s="107"/>
      <c r="DK155" s="107"/>
      <c r="DL155" s="107"/>
      <c r="DM155" s="107"/>
    </row>
    <row r="156" spans="2:117" x14ac:dyDescent="0.3">
      <c r="B156" s="93" t="s">
        <v>1096</v>
      </c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  <c r="CG156" s="93"/>
      <c r="CH156" s="93"/>
      <c r="CI156" s="93">
        <v>1</v>
      </c>
      <c r="CJ156" s="93"/>
      <c r="CK156" s="93"/>
      <c r="CL156" s="93"/>
      <c r="CM156" s="93"/>
      <c r="CN156" s="93"/>
      <c r="CO156" s="93"/>
      <c r="CP156" s="93"/>
      <c r="CQ156" s="93"/>
      <c r="CR156" s="93"/>
      <c r="CS156" s="93"/>
      <c r="CT156" s="93"/>
      <c r="CU156" s="93"/>
      <c r="CV156" s="107"/>
      <c r="CW156" s="107"/>
      <c r="CX156" s="107"/>
      <c r="CY156" s="107"/>
      <c r="CZ156" s="107"/>
      <c r="DA156" s="107"/>
      <c r="DB156" s="107"/>
      <c r="DC156" s="107"/>
      <c r="DD156" s="107"/>
      <c r="DE156" s="107"/>
      <c r="DF156" s="107"/>
      <c r="DG156" s="107"/>
      <c r="DH156" s="107"/>
      <c r="DI156" s="107"/>
      <c r="DJ156" s="107"/>
      <c r="DK156" s="107"/>
      <c r="DL156" s="107"/>
      <c r="DM156" s="107"/>
    </row>
    <row r="157" spans="2:117" x14ac:dyDescent="0.3">
      <c r="B157" s="93" t="s">
        <v>1097</v>
      </c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  <c r="CG157" s="93"/>
      <c r="CH157" s="93"/>
      <c r="CI157" s="93"/>
      <c r="CJ157" s="93">
        <v>1</v>
      </c>
      <c r="CK157" s="93"/>
      <c r="CL157" s="93"/>
      <c r="CM157" s="93"/>
      <c r="CN157" s="93"/>
      <c r="CO157" s="93"/>
      <c r="CP157" s="93"/>
      <c r="CQ157" s="93"/>
      <c r="CR157" s="93"/>
      <c r="CS157" s="93"/>
      <c r="CT157" s="93"/>
      <c r="CU157" s="93"/>
      <c r="CV157" s="107"/>
      <c r="CW157" s="107"/>
      <c r="CX157" s="107"/>
      <c r="CY157" s="107"/>
      <c r="CZ157" s="107"/>
      <c r="DA157" s="107"/>
      <c r="DB157" s="107"/>
      <c r="DC157" s="107"/>
      <c r="DD157" s="107"/>
      <c r="DE157" s="107"/>
      <c r="DF157" s="107"/>
      <c r="DG157" s="107"/>
      <c r="DH157" s="107"/>
      <c r="DI157" s="107"/>
      <c r="DJ157" s="107"/>
      <c r="DK157" s="107"/>
      <c r="DL157" s="107"/>
      <c r="DM157" s="107"/>
    </row>
    <row r="158" spans="2:117" x14ac:dyDescent="0.3">
      <c r="B158" s="93" t="s">
        <v>1098</v>
      </c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  <c r="CG158" s="93"/>
      <c r="CH158" s="93"/>
      <c r="CI158" s="93"/>
      <c r="CJ158" s="93"/>
      <c r="CK158" s="93">
        <v>1</v>
      </c>
      <c r="CL158" s="93"/>
      <c r="CM158" s="93"/>
      <c r="CN158" s="93"/>
      <c r="CO158" s="93"/>
      <c r="CP158" s="93"/>
      <c r="CQ158" s="93"/>
      <c r="CR158" s="93"/>
      <c r="CS158" s="93"/>
      <c r="CT158" s="93"/>
      <c r="CU158" s="93"/>
      <c r="CV158" s="107"/>
      <c r="CW158" s="107"/>
      <c r="CX158" s="107"/>
      <c r="CY158" s="107"/>
      <c r="CZ158" s="107"/>
      <c r="DA158" s="107"/>
      <c r="DB158" s="107"/>
      <c r="DC158" s="107"/>
      <c r="DD158" s="107"/>
      <c r="DE158" s="107"/>
      <c r="DF158" s="107"/>
      <c r="DG158" s="107"/>
      <c r="DH158" s="107"/>
      <c r="DI158" s="107"/>
      <c r="DJ158" s="107"/>
      <c r="DK158" s="107"/>
      <c r="DL158" s="107"/>
      <c r="DM158" s="107"/>
    </row>
    <row r="159" spans="2:117" x14ac:dyDescent="0.3">
      <c r="B159" s="93" t="s">
        <v>1099</v>
      </c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  <c r="CG159" s="93"/>
      <c r="CH159" s="93"/>
      <c r="CI159" s="93"/>
      <c r="CJ159" s="93"/>
      <c r="CK159" s="93"/>
      <c r="CL159" s="93">
        <v>1</v>
      </c>
      <c r="CM159" s="93"/>
      <c r="CN159" s="93"/>
      <c r="CO159" s="93"/>
      <c r="CP159" s="93"/>
      <c r="CQ159" s="93"/>
      <c r="CR159" s="93"/>
      <c r="CS159" s="93"/>
      <c r="CT159" s="93"/>
      <c r="CU159" s="93"/>
      <c r="CV159" s="107"/>
      <c r="CW159" s="107"/>
      <c r="CX159" s="107"/>
      <c r="CY159" s="107"/>
      <c r="CZ159" s="107"/>
      <c r="DA159" s="107"/>
      <c r="DB159" s="107"/>
      <c r="DC159" s="107"/>
      <c r="DD159" s="107"/>
      <c r="DE159" s="107"/>
      <c r="DF159" s="107"/>
      <c r="DG159" s="107"/>
      <c r="DH159" s="107"/>
      <c r="DI159" s="107"/>
      <c r="DJ159" s="107"/>
      <c r="DK159" s="107"/>
      <c r="DL159" s="107"/>
      <c r="DM159" s="107"/>
    </row>
    <row r="160" spans="2:117" x14ac:dyDescent="0.3">
      <c r="B160" s="93" t="s">
        <v>1100</v>
      </c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  <c r="CG160" s="93"/>
      <c r="CH160" s="93"/>
      <c r="CI160" s="93"/>
      <c r="CJ160" s="93"/>
      <c r="CK160" s="93"/>
      <c r="CL160" s="93"/>
      <c r="CM160" s="93">
        <v>1</v>
      </c>
      <c r="CN160" s="93"/>
      <c r="CO160" s="93"/>
      <c r="CP160" s="93"/>
      <c r="CQ160" s="93"/>
      <c r="CR160" s="93"/>
      <c r="CS160" s="93"/>
      <c r="CT160" s="93"/>
      <c r="CU160" s="93"/>
      <c r="CV160" s="107"/>
      <c r="CW160" s="107"/>
      <c r="CX160" s="107"/>
      <c r="CY160" s="107"/>
      <c r="CZ160" s="107"/>
      <c r="DA160" s="107"/>
      <c r="DB160" s="107"/>
      <c r="DC160" s="107"/>
      <c r="DD160" s="107"/>
      <c r="DE160" s="107"/>
      <c r="DF160" s="107"/>
      <c r="DG160" s="107"/>
      <c r="DH160" s="107"/>
      <c r="DI160" s="107"/>
      <c r="DJ160" s="107"/>
      <c r="DK160" s="107"/>
      <c r="DL160" s="107"/>
      <c r="DM160" s="107"/>
    </row>
    <row r="161" spans="2:117" x14ac:dyDescent="0.3">
      <c r="B161" s="93" t="s">
        <v>1101</v>
      </c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  <c r="CG161" s="93"/>
      <c r="CH161" s="93"/>
      <c r="CI161" s="93"/>
      <c r="CJ161" s="93"/>
      <c r="CK161" s="93"/>
      <c r="CL161" s="93"/>
      <c r="CM161" s="93"/>
      <c r="CN161" s="93">
        <v>1</v>
      </c>
      <c r="CO161" s="93"/>
      <c r="CP161" s="93"/>
      <c r="CQ161" s="93"/>
      <c r="CR161" s="93"/>
      <c r="CS161" s="93"/>
      <c r="CT161" s="93"/>
      <c r="CU161" s="93"/>
      <c r="CV161" s="107"/>
      <c r="CW161" s="107"/>
      <c r="CX161" s="107"/>
      <c r="CY161" s="107"/>
      <c r="CZ161" s="107"/>
      <c r="DA161" s="107"/>
      <c r="DB161" s="107"/>
      <c r="DC161" s="107"/>
      <c r="DD161" s="107"/>
      <c r="DE161" s="107"/>
      <c r="DF161" s="107"/>
      <c r="DG161" s="107"/>
      <c r="DH161" s="107"/>
      <c r="DI161" s="107"/>
      <c r="DJ161" s="107"/>
      <c r="DK161" s="107"/>
      <c r="DL161" s="107"/>
      <c r="DM161" s="107"/>
    </row>
    <row r="162" spans="2:117" x14ac:dyDescent="0.3">
      <c r="B162" s="93" t="s">
        <v>1102</v>
      </c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  <c r="CG162" s="93"/>
      <c r="CH162" s="93"/>
      <c r="CI162" s="93"/>
      <c r="CJ162" s="93"/>
      <c r="CK162" s="93"/>
      <c r="CL162" s="93"/>
      <c r="CM162" s="93"/>
      <c r="CN162" s="93"/>
      <c r="CO162" s="93">
        <v>1</v>
      </c>
      <c r="CP162" s="93"/>
      <c r="CQ162" s="93"/>
      <c r="CR162" s="93"/>
      <c r="CS162" s="93"/>
      <c r="CT162" s="93"/>
      <c r="CU162" s="93"/>
      <c r="CV162" s="107"/>
      <c r="CW162" s="107"/>
      <c r="CX162" s="107"/>
      <c r="CY162" s="107"/>
      <c r="CZ162" s="107"/>
      <c r="DA162" s="107"/>
      <c r="DB162" s="107"/>
      <c r="DC162" s="107"/>
      <c r="DD162" s="107"/>
      <c r="DE162" s="107"/>
      <c r="DF162" s="107"/>
      <c r="DG162" s="107"/>
      <c r="DH162" s="107"/>
      <c r="DI162" s="107"/>
      <c r="DJ162" s="107"/>
      <c r="DK162" s="107"/>
      <c r="DL162" s="107"/>
      <c r="DM162" s="107"/>
    </row>
    <row r="163" spans="2:117" x14ac:dyDescent="0.3">
      <c r="B163" s="93" t="s">
        <v>1103</v>
      </c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  <c r="CG163" s="93"/>
      <c r="CH163" s="93"/>
      <c r="CI163" s="93"/>
      <c r="CJ163" s="93"/>
      <c r="CK163" s="93"/>
      <c r="CL163" s="93"/>
      <c r="CM163" s="93"/>
      <c r="CN163" s="93"/>
      <c r="CO163" s="93"/>
      <c r="CP163" s="93">
        <v>1</v>
      </c>
      <c r="CQ163" s="93"/>
      <c r="CR163" s="93"/>
      <c r="CS163" s="93"/>
      <c r="CT163" s="93"/>
      <c r="CU163" s="93"/>
      <c r="CV163" s="107"/>
      <c r="CW163" s="107"/>
      <c r="CX163" s="107"/>
      <c r="CY163" s="107"/>
      <c r="CZ163" s="107"/>
      <c r="DA163" s="107"/>
      <c r="DB163" s="107"/>
      <c r="DC163" s="107"/>
      <c r="DD163" s="107"/>
      <c r="DE163" s="107"/>
      <c r="DF163" s="107"/>
      <c r="DG163" s="107"/>
      <c r="DH163" s="107"/>
      <c r="DI163" s="107"/>
      <c r="DJ163" s="107"/>
      <c r="DK163" s="107"/>
      <c r="DL163" s="107"/>
      <c r="DM163" s="107"/>
    </row>
    <row r="164" spans="2:117" x14ac:dyDescent="0.3">
      <c r="B164" s="93" t="s">
        <v>1104</v>
      </c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  <c r="CG164" s="93"/>
      <c r="CH164" s="93"/>
      <c r="CI164" s="93"/>
      <c r="CJ164" s="93"/>
      <c r="CK164" s="93"/>
      <c r="CL164" s="93"/>
      <c r="CM164" s="93"/>
      <c r="CN164" s="93"/>
      <c r="CO164" s="93"/>
      <c r="CP164" s="93"/>
      <c r="CQ164" s="93">
        <v>1</v>
      </c>
      <c r="CR164" s="93"/>
      <c r="CS164" s="93"/>
      <c r="CT164" s="93"/>
      <c r="CU164" s="93"/>
      <c r="CV164" s="107"/>
      <c r="CW164" s="107"/>
      <c r="CX164" s="107"/>
      <c r="CY164" s="107"/>
      <c r="CZ164" s="107"/>
      <c r="DA164" s="107"/>
      <c r="DB164" s="107"/>
      <c r="DC164" s="107"/>
      <c r="DD164" s="107"/>
      <c r="DE164" s="107"/>
      <c r="DF164" s="107"/>
      <c r="DG164" s="107"/>
      <c r="DH164" s="107"/>
      <c r="DI164" s="107"/>
      <c r="DJ164" s="107"/>
      <c r="DK164" s="107"/>
      <c r="DL164" s="107"/>
      <c r="DM164" s="107"/>
    </row>
    <row r="165" spans="2:117" x14ac:dyDescent="0.3">
      <c r="B165" s="93" t="s">
        <v>1105</v>
      </c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  <c r="BB165" s="93"/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  <c r="CG165" s="93"/>
      <c r="CH165" s="93"/>
      <c r="CI165" s="93"/>
      <c r="CJ165" s="93"/>
      <c r="CK165" s="93"/>
      <c r="CL165" s="93"/>
      <c r="CM165" s="93"/>
      <c r="CN165" s="93"/>
      <c r="CO165" s="93"/>
      <c r="CP165" s="93"/>
      <c r="CQ165" s="93"/>
      <c r="CR165" s="93">
        <v>1</v>
      </c>
      <c r="CS165" s="93"/>
      <c r="CT165" s="93"/>
      <c r="CU165" s="93"/>
      <c r="CV165" s="107"/>
      <c r="CW165" s="107"/>
      <c r="CX165" s="107"/>
      <c r="CY165" s="107"/>
      <c r="CZ165" s="107"/>
      <c r="DA165" s="107"/>
      <c r="DB165" s="107"/>
      <c r="DC165" s="107"/>
      <c r="DD165" s="107"/>
      <c r="DE165" s="107"/>
      <c r="DF165" s="107"/>
      <c r="DG165" s="107"/>
      <c r="DH165" s="107"/>
      <c r="DI165" s="107"/>
      <c r="DJ165" s="107"/>
      <c r="DK165" s="107"/>
      <c r="DL165" s="107"/>
      <c r="DM165" s="107"/>
    </row>
    <row r="166" spans="2:117" x14ac:dyDescent="0.3">
      <c r="B166" s="93" t="s">
        <v>1106</v>
      </c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  <c r="CG166" s="93"/>
      <c r="CH166" s="93"/>
      <c r="CI166" s="93"/>
      <c r="CJ166" s="93"/>
      <c r="CK166" s="93"/>
      <c r="CL166" s="93"/>
      <c r="CM166" s="93"/>
      <c r="CN166" s="93"/>
      <c r="CO166" s="93"/>
      <c r="CP166" s="93"/>
      <c r="CQ166" s="93"/>
      <c r="CR166" s="93"/>
      <c r="CS166" s="93">
        <v>1</v>
      </c>
      <c r="CT166" s="93"/>
      <c r="CU166" s="93"/>
      <c r="CV166" s="107"/>
      <c r="CW166" s="107"/>
      <c r="CX166" s="107"/>
      <c r="CY166" s="107"/>
      <c r="CZ166" s="107"/>
      <c r="DA166" s="107"/>
      <c r="DB166" s="107"/>
      <c r="DC166" s="107"/>
      <c r="DD166" s="107"/>
      <c r="DE166" s="107"/>
      <c r="DF166" s="107"/>
      <c r="DG166" s="107"/>
      <c r="DH166" s="107"/>
      <c r="DI166" s="107"/>
      <c r="DJ166" s="107"/>
      <c r="DK166" s="107"/>
      <c r="DL166" s="107"/>
      <c r="DM166" s="107"/>
    </row>
    <row r="167" spans="2:117" x14ac:dyDescent="0.3">
      <c r="B167" s="93" t="s">
        <v>1107</v>
      </c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3"/>
      <c r="BF167" s="93"/>
      <c r="BG167" s="93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  <c r="CG167" s="93"/>
      <c r="CH167" s="93"/>
      <c r="CI167" s="93"/>
      <c r="CJ167" s="93"/>
      <c r="CK167" s="93"/>
      <c r="CL167" s="93"/>
      <c r="CM167" s="93"/>
      <c r="CN167" s="93"/>
      <c r="CO167" s="93"/>
      <c r="CP167" s="93"/>
      <c r="CQ167" s="93"/>
      <c r="CR167" s="93"/>
      <c r="CS167" s="93"/>
      <c r="CT167" s="93">
        <v>1</v>
      </c>
      <c r="CU167" s="93"/>
      <c r="CV167" s="107"/>
      <c r="CW167" s="107"/>
      <c r="CX167" s="107"/>
      <c r="CY167" s="107"/>
      <c r="CZ167" s="107"/>
      <c r="DA167" s="107"/>
      <c r="DB167" s="107"/>
      <c r="DC167" s="107"/>
      <c r="DD167" s="107"/>
      <c r="DE167" s="107"/>
      <c r="DF167" s="107"/>
      <c r="DG167" s="107"/>
      <c r="DH167" s="107"/>
      <c r="DI167" s="107"/>
      <c r="DJ167" s="107"/>
      <c r="DK167" s="107"/>
      <c r="DL167" s="107"/>
      <c r="DM167" s="107"/>
    </row>
    <row r="168" spans="2:117" x14ac:dyDescent="0.3">
      <c r="B168" s="93" t="s">
        <v>1108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  <c r="CG168" s="93"/>
      <c r="CH168" s="93"/>
      <c r="CI168" s="93"/>
      <c r="CJ168" s="93"/>
      <c r="CK168" s="93"/>
      <c r="CL168" s="93"/>
      <c r="CM168" s="93"/>
      <c r="CN168" s="93"/>
      <c r="CO168" s="93"/>
      <c r="CP168" s="93"/>
      <c r="CQ168" s="93"/>
      <c r="CR168" s="93"/>
      <c r="CS168" s="93"/>
      <c r="CT168" s="93"/>
      <c r="CU168" s="93">
        <v>1</v>
      </c>
      <c r="CV168" s="107"/>
      <c r="CW168" s="107"/>
      <c r="CX168" s="107"/>
      <c r="CY168" s="107"/>
      <c r="CZ168" s="107"/>
      <c r="DA168" s="107"/>
      <c r="DB168" s="107"/>
      <c r="DC168" s="107"/>
      <c r="DD168" s="107"/>
      <c r="DE168" s="107"/>
      <c r="DF168" s="107"/>
      <c r="DG168" s="107"/>
      <c r="DH168" s="107"/>
      <c r="DI168" s="107"/>
      <c r="DJ168" s="107"/>
      <c r="DK168" s="107"/>
      <c r="DL168" s="107"/>
      <c r="DM168" s="107"/>
    </row>
    <row r="169" spans="2:117" x14ac:dyDescent="0.3">
      <c r="B169" s="107" t="s">
        <v>1073</v>
      </c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7"/>
      <c r="BB169" s="107"/>
      <c r="BC169" s="107"/>
      <c r="BD169" s="107"/>
      <c r="BE169" s="107"/>
      <c r="BF169" s="107"/>
      <c r="BG169" s="107"/>
      <c r="BH169" s="107"/>
      <c r="BI169" s="107"/>
      <c r="BJ169" s="107"/>
      <c r="BK169" s="107"/>
      <c r="BL169" s="107"/>
      <c r="BM169" s="107"/>
      <c r="BN169" s="107"/>
      <c r="BO169" s="107"/>
      <c r="BP169" s="107"/>
      <c r="BQ169" s="107"/>
      <c r="BR169" s="107"/>
      <c r="BS169" s="107"/>
      <c r="BT169" s="107"/>
      <c r="BU169" s="107"/>
      <c r="BV169" s="107"/>
      <c r="BW169" s="107"/>
      <c r="BX169" s="107"/>
      <c r="BY169" s="107"/>
      <c r="BZ169" s="107"/>
      <c r="CA169" s="107"/>
      <c r="CB169" s="107"/>
      <c r="CC169" s="107"/>
      <c r="CD169" s="107"/>
      <c r="CE169" s="107"/>
      <c r="CF169" s="107"/>
      <c r="CG169" s="107"/>
      <c r="CH169" s="107"/>
      <c r="CI169" s="107"/>
      <c r="CJ169" s="107"/>
      <c r="CK169" s="107"/>
      <c r="CL169" s="107"/>
      <c r="CM169" s="107"/>
      <c r="CN169" s="107"/>
      <c r="CO169" s="107"/>
      <c r="CP169" s="107"/>
      <c r="CQ169" s="107"/>
      <c r="CR169" s="107"/>
      <c r="CS169" s="107"/>
      <c r="CT169" s="107"/>
      <c r="CU169" s="107"/>
      <c r="CV169" s="107">
        <v>1</v>
      </c>
      <c r="CW169" s="107"/>
      <c r="CX169" s="107"/>
      <c r="CY169" s="107"/>
      <c r="CZ169" s="107"/>
      <c r="DA169" s="107"/>
      <c r="DB169" s="107"/>
      <c r="DC169" s="107"/>
      <c r="DD169" s="107"/>
      <c r="DE169" s="107"/>
      <c r="DF169" s="107"/>
      <c r="DG169" s="107"/>
      <c r="DH169" s="107"/>
      <c r="DI169" s="107"/>
      <c r="DJ169" s="107"/>
      <c r="DK169" s="107"/>
      <c r="DL169" s="107"/>
      <c r="DM169" s="107"/>
    </row>
    <row r="170" spans="2:117" x14ac:dyDescent="0.3">
      <c r="B170" s="107" t="s">
        <v>1074</v>
      </c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  <c r="BC170" s="107"/>
      <c r="BD170" s="107"/>
      <c r="BE170" s="107"/>
      <c r="BF170" s="107"/>
      <c r="BG170" s="107"/>
      <c r="BH170" s="107"/>
      <c r="BI170" s="107"/>
      <c r="BJ170" s="107"/>
      <c r="BK170" s="107"/>
      <c r="BL170" s="107"/>
      <c r="BM170" s="107"/>
      <c r="BN170" s="107"/>
      <c r="BO170" s="107"/>
      <c r="BP170" s="107"/>
      <c r="BQ170" s="107"/>
      <c r="BR170" s="107"/>
      <c r="BS170" s="107"/>
      <c r="BT170" s="107"/>
      <c r="BU170" s="107"/>
      <c r="BV170" s="107"/>
      <c r="BW170" s="107"/>
      <c r="BX170" s="107"/>
      <c r="BY170" s="107"/>
      <c r="BZ170" s="107"/>
      <c r="CA170" s="107"/>
      <c r="CB170" s="107"/>
      <c r="CC170" s="107"/>
      <c r="CD170" s="107"/>
      <c r="CE170" s="107"/>
      <c r="CF170" s="107"/>
      <c r="CG170" s="107"/>
      <c r="CH170" s="107"/>
      <c r="CI170" s="107"/>
      <c r="CJ170" s="107"/>
      <c r="CK170" s="107"/>
      <c r="CL170" s="107"/>
      <c r="CM170" s="107"/>
      <c r="CN170" s="107"/>
      <c r="CO170" s="107"/>
      <c r="CP170" s="107"/>
      <c r="CQ170" s="107"/>
      <c r="CR170" s="107"/>
      <c r="CS170" s="107"/>
      <c r="CT170" s="107"/>
      <c r="CU170" s="107"/>
      <c r="CV170" s="107"/>
      <c r="CW170" s="107">
        <v>1</v>
      </c>
      <c r="CX170" s="107"/>
      <c r="CY170" s="107"/>
      <c r="CZ170" s="107"/>
      <c r="DA170" s="107"/>
      <c r="DB170" s="107"/>
      <c r="DC170" s="107"/>
      <c r="DD170" s="107"/>
      <c r="DE170" s="107"/>
      <c r="DF170" s="107"/>
      <c r="DG170" s="107"/>
      <c r="DH170" s="107"/>
      <c r="DI170" s="107"/>
      <c r="DJ170" s="107"/>
      <c r="DK170" s="107"/>
      <c r="DL170" s="107"/>
      <c r="DM170" s="107"/>
    </row>
    <row r="171" spans="2:117" x14ac:dyDescent="0.3">
      <c r="B171" s="107" t="s">
        <v>1075</v>
      </c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  <c r="BQ171" s="107"/>
      <c r="BR171" s="107"/>
      <c r="BS171" s="107"/>
      <c r="BT171" s="107"/>
      <c r="BU171" s="107"/>
      <c r="BV171" s="107"/>
      <c r="BW171" s="107"/>
      <c r="BX171" s="107"/>
      <c r="BY171" s="107"/>
      <c r="BZ171" s="107"/>
      <c r="CA171" s="107"/>
      <c r="CB171" s="107"/>
      <c r="CC171" s="107"/>
      <c r="CD171" s="107"/>
      <c r="CE171" s="107"/>
      <c r="CF171" s="107"/>
      <c r="CG171" s="107"/>
      <c r="CH171" s="107"/>
      <c r="CI171" s="107"/>
      <c r="CJ171" s="107"/>
      <c r="CK171" s="107"/>
      <c r="CL171" s="107"/>
      <c r="CM171" s="107"/>
      <c r="CN171" s="107"/>
      <c r="CO171" s="107"/>
      <c r="CP171" s="107"/>
      <c r="CQ171" s="107"/>
      <c r="CR171" s="107"/>
      <c r="CS171" s="107"/>
      <c r="CT171" s="107"/>
      <c r="CU171" s="107"/>
      <c r="CV171" s="107"/>
      <c r="CW171" s="107"/>
      <c r="CX171" s="107">
        <v>1</v>
      </c>
      <c r="CY171" s="107"/>
      <c r="CZ171" s="107"/>
      <c r="DA171" s="107"/>
      <c r="DB171" s="107"/>
      <c r="DC171" s="107"/>
      <c r="DD171" s="107"/>
      <c r="DE171" s="107"/>
      <c r="DF171" s="107"/>
      <c r="DG171" s="107"/>
      <c r="DH171" s="107"/>
      <c r="DI171" s="107"/>
      <c r="DJ171" s="107"/>
      <c r="DK171" s="107"/>
      <c r="DL171" s="107"/>
      <c r="DM171" s="107"/>
    </row>
    <row r="172" spans="2:117" x14ac:dyDescent="0.3">
      <c r="B172" s="107" t="s">
        <v>1076</v>
      </c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  <c r="BC172" s="107"/>
      <c r="BD172" s="107"/>
      <c r="BE172" s="107"/>
      <c r="BF172" s="107"/>
      <c r="BG172" s="107"/>
      <c r="BH172" s="107"/>
      <c r="BI172" s="107"/>
      <c r="BJ172" s="107"/>
      <c r="BK172" s="107"/>
      <c r="BL172" s="107"/>
      <c r="BM172" s="107"/>
      <c r="BN172" s="107"/>
      <c r="BO172" s="107"/>
      <c r="BP172" s="107"/>
      <c r="BQ172" s="107"/>
      <c r="BR172" s="107"/>
      <c r="BS172" s="107"/>
      <c r="BT172" s="107"/>
      <c r="BU172" s="107"/>
      <c r="BV172" s="107"/>
      <c r="BW172" s="107"/>
      <c r="BX172" s="107"/>
      <c r="BY172" s="107"/>
      <c r="BZ172" s="107"/>
      <c r="CA172" s="107"/>
      <c r="CB172" s="107"/>
      <c r="CC172" s="107"/>
      <c r="CD172" s="107"/>
      <c r="CE172" s="107"/>
      <c r="CF172" s="107"/>
      <c r="CG172" s="107"/>
      <c r="CH172" s="107"/>
      <c r="CI172" s="107"/>
      <c r="CJ172" s="107"/>
      <c r="CK172" s="107"/>
      <c r="CL172" s="107"/>
      <c r="CM172" s="107"/>
      <c r="CN172" s="107"/>
      <c r="CO172" s="107"/>
      <c r="CP172" s="107"/>
      <c r="CQ172" s="107"/>
      <c r="CR172" s="107"/>
      <c r="CS172" s="107"/>
      <c r="CT172" s="107"/>
      <c r="CU172" s="107"/>
      <c r="CV172" s="107"/>
      <c r="CW172" s="107"/>
      <c r="CX172" s="107"/>
      <c r="CY172" s="107">
        <v>1</v>
      </c>
      <c r="CZ172" s="107"/>
      <c r="DA172" s="107"/>
      <c r="DB172" s="107"/>
      <c r="DC172" s="107"/>
      <c r="DD172" s="107"/>
      <c r="DE172" s="107"/>
      <c r="DF172" s="107"/>
      <c r="DG172" s="107"/>
      <c r="DH172" s="107"/>
      <c r="DI172" s="107"/>
      <c r="DJ172" s="107"/>
      <c r="DK172" s="107"/>
      <c r="DL172" s="107"/>
      <c r="DM172" s="107"/>
    </row>
    <row r="173" spans="2:117" x14ac:dyDescent="0.3">
      <c r="B173" s="107" t="s">
        <v>1077</v>
      </c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  <c r="BQ173" s="107"/>
      <c r="BR173" s="107"/>
      <c r="BS173" s="107"/>
      <c r="BT173" s="107"/>
      <c r="BU173" s="107"/>
      <c r="BV173" s="107"/>
      <c r="BW173" s="107"/>
      <c r="BX173" s="107"/>
      <c r="BY173" s="107"/>
      <c r="BZ173" s="107"/>
      <c r="CA173" s="107"/>
      <c r="CB173" s="107"/>
      <c r="CC173" s="107"/>
      <c r="CD173" s="107"/>
      <c r="CE173" s="107"/>
      <c r="CF173" s="107"/>
      <c r="CG173" s="107"/>
      <c r="CH173" s="107"/>
      <c r="CI173" s="107"/>
      <c r="CJ173" s="107"/>
      <c r="CK173" s="107"/>
      <c r="CL173" s="107"/>
      <c r="CM173" s="107"/>
      <c r="CN173" s="107"/>
      <c r="CO173" s="107"/>
      <c r="CP173" s="107"/>
      <c r="CQ173" s="107"/>
      <c r="CR173" s="107"/>
      <c r="CS173" s="107"/>
      <c r="CT173" s="107"/>
      <c r="CU173" s="107"/>
      <c r="CV173" s="107"/>
      <c r="CW173" s="107"/>
      <c r="CX173" s="107"/>
      <c r="CY173" s="107"/>
      <c r="CZ173" s="107">
        <v>1</v>
      </c>
      <c r="DA173" s="107"/>
      <c r="DB173" s="107"/>
      <c r="DC173" s="107"/>
      <c r="DD173" s="107"/>
      <c r="DE173" s="107"/>
      <c r="DF173" s="107"/>
      <c r="DG173" s="107"/>
      <c r="DH173" s="107"/>
      <c r="DI173" s="107"/>
      <c r="DJ173" s="107"/>
      <c r="DK173" s="107"/>
      <c r="DL173" s="107"/>
      <c r="DM173" s="107"/>
    </row>
    <row r="174" spans="2:117" x14ac:dyDescent="0.3">
      <c r="B174" s="107" t="s">
        <v>1078</v>
      </c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  <c r="BQ174" s="107"/>
      <c r="BR174" s="107"/>
      <c r="BS174" s="107"/>
      <c r="BT174" s="107"/>
      <c r="BU174" s="107"/>
      <c r="BV174" s="107"/>
      <c r="BW174" s="107"/>
      <c r="BX174" s="107"/>
      <c r="BY174" s="107"/>
      <c r="BZ174" s="107"/>
      <c r="CA174" s="107"/>
      <c r="CB174" s="107"/>
      <c r="CC174" s="107"/>
      <c r="CD174" s="107"/>
      <c r="CE174" s="107"/>
      <c r="CF174" s="107"/>
      <c r="CG174" s="107"/>
      <c r="CH174" s="107"/>
      <c r="CI174" s="107"/>
      <c r="CJ174" s="107"/>
      <c r="CK174" s="107"/>
      <c r="CL174" s="107"/>
      <c r="CM174" s="107"/>
      <c r="CN174" s="107"/>
      <c r="CO174" s="107"/>
      <c r="CP174" s="107"/>
      <c r="CQ174" s="107"/>
      <c r="CR174" s="107"/>
      <c r="CS174" s="107"/>
      <c r="CT174" s="107"/>
      <c r="CU174" s="107"/>
      <c r="CV174" s="107"/>
      <c r="CW174" s="107"/>
      <c r="CX174" s="107"/>
      <c r="CY174" s="107"/>
      <c r="CZ174" s="107"/>
      <c r="DA174" s="107">
        <v>1</v>
      </c>
      <c r="DB174" s="107"/>
      <c r="DC174" s="107"/>
      <c r="DD174" s="107"/>
      <c r="DE174" s="107"/>
      <c r="DF174" s="107"/>
      <c r="DG174" s="107"/>
      <c r="DH174" s="107"/>
      <c r="DI174" s="107"/>
      <c r="DJ174" s="107"/>
      <c r="DK174" s="107"/>
      <c r="DL174" s="107"/>
      <c r="DM174" s="107"/>
    </row>
    <row r="175" spans="2:117" x14ac:dyDescent="0.3">
      <c r="B175" s="107" t="s">
        <v>1079</v>
      </c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  <c r="BY175" s="107"/>
      <c r="BZ175" s="107"/>
      <c r="CA175" s="107"/>
      <c r="CB175" s="107"/>
      <c r="CC175" s="107"/>
      <c r="CD175" s="107"/>
      <c r="CE175" s="107"/>
      <c r="CF175" s="107"/>
      <c r="CG175" s="107"/>
      <c r="CH175" s="107"/>
      <c r="CI175" s="107"/>
      <c r="CJ175" s="107"/>
      <c r="CK175" s="107"/>
      <c r="CL175" s="107"/>
      <c r="CM175" s="107"/>
      <c r="CN175" s="107"/>
      <c r="CO175" s="107"/>
      <c r="CP175" s="107"/>
      <c r="CQ175" s="107"/>
      <c r="CR175" s="107"/>
      <c r="CS175" s="107"/>
      <c r="CT175" s="107"/>
      <c r="CU175" s="107"/>
      <c r="CV175" s="107"/>
      <c r="CW175" s="107"/>
      <c r="CX175" s="107"/>
      <c r="CY175" s="107"/>
      <c r="CZ175" s="107"/>
      <c r="DA175" s="107"/>
      <c r="DB175" s="107">
        <v>1</v>
      </c>
      <c r="DC175" s="107"/>
      <c r="DD175" s="107"/>
      <c r="DE175" s="107"/>
      <c r="DF175" s="107"/>
      <c r="DG175" s="107"/>
      <c r="DH175" s="107"/>
      <c r="DI175" s="107"/>
      <c r="DJ175" s="107"/>
      <c r="DK175" s="107"/>
      <c r="DL175" s="107"/>
      <c r="DM175" s="107"/>
    </row>
    <row r="176" spans="2:117" x14ac:dyDescent="0.3">
      <c r="B176" s="107" t="s">
        <v>1080</v>
      </c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  <c r="BC176" s="107"/>
      <c r="BD176" s="107"/>
      <c r="BE176" s="107"/>
      <c r="BF176" s="107"/>
      <c r="BG176" s="107"/>
      <c r="BH176" s="107"/>
      <c r="BI176" s="107"/>
      <c r="BJ176" s="107"/>
      <c r="BK176" s="107"/>
      <c r="BL176" s="107"/>
      <c r="BM176" s="107"/>
      <c r="BN176" s="107"/>
      <c r="BO176" s="107"/>
      <c r="BP176" s="107"/>
      <c r="BQ176" s="107"/>
      <c r="BR176" s="107"/>
      <c r="BS176" s="107"/>
      <c r="BT176" s="107"/>
      <c r="BU176" s="107"/>
      <c r="BV176" s="107"/>
      <c r="BW176" s="107"/>
      <c r="BX176" s="107"/>
      <c r="BY176" s="107"/>
      <c r="BZ176" s="107"/>
      <c r="CA176" s="107"/>
      <c r="CB176" s="107"/>
      <c r="CC176" s="107"/>
      <c r="CD176" s="107"/>
      <c r="CE176" s="107"/>
      <c r="CF176" s="107"/>
      <c r="CG176" s="107"/>
      <c r="CH176" s="107"/>
      <c r="CI176" s="107"/>
      <c r="CJ176" s="107"/>
      <c r="CK176" s="107"/>
      <c r="CL176" s="107"/>
      <c r="CM176" s="107"/>
      <c r="CN176" s="107"/>
      <c r="CO176" s="107"/>
      <c r="CP176" s="107"/>
      <c r="CQ176" s="107"/>
      <c r="CR176" s="107"/>
      <c r="CS176" s="107"/>
      <c r="CT176" s="107"/>
      <c r="CU176" s="107"/>
      <c r="CV176" s="107"/>
      <c r="CW176" s="107"/>
      <c r="CX176" s="107"/>
      <c r="CY176" s="107"/>
      <c r="CZ176" s="107"/>
      <c r="DA176" s="107"/>
      <c r="DB176" s="107"/>
      <c r="DC176" s="107">
        <v>1</v>
      </c>
      <c r="DD176" s="107"/>
      <c r="DE176" s="107"/>
      <c r="DF176" s="107"/>
      <c r="DG176" s="107"/>
      <c r="DH176" s="107"/>
      <c r="DI176" s="107"/>
      <c r="DJ176" s="107"/>
      <c r="DK176" s="107"/>
      <c r="DL176" s="107"/>
      <c r="DM176" s="107"/>
    </row>
    <row r="177" spans="2:117" x14ac:dyDescent="0.3">
      <c r="B177" s="107" t="s">
        <v>1081</v>
      </c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  <c r="BC177" s="107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107"/>
      <c r="BX177" s="107"/>
      <c r="BY177" s="107"/>
      <c r="BZ177" s="107"/>
      <c r="CA177" s="107"/>
      <c r="CB177" s="107"/>
      <c r="CC177" s="107"/>
      <c r="CD177" s="107"/>
      <c r="CE177" s="107"/>
      <c r="CF177" s="107"/>
      <c r="CG177" s="107"/>
      <c r="CH177" s="107"/>
      <c r="CI177" s="107"/>
      <c r="CJ177" s="107"/>
      <c r="CK177" s="107"/>
      <c r="CL177" s="107"/>
      <c r="CM177" s="107"/>
      <c r="CN177" s="107"/>
      <c r="CO177" s="107"/>
      <c r="CP177" s="107"/>
      <c r="CQ177" s="107"/>
      <c r="CR177" s="107"/>
      <c r="CS177" s="107"/>
      <c r="CT177" s="107"/>
      <c r="CU177" s="107"/>
      <c r="CV177" s="107"/>
      <c r="CW177" s="107"/>
      <c r="CX177" s="107"/>
      <c r="CY177" s="107"/>
      <c r="CZ177" s="107"/>
      <c r="DA177" s="107"/>
      <c r="DB177" s="107"/>
      <c r="DC177" s="107"/>
      <c r="DD177" s="107">
        <v>1</v>
      </c>
      <c r="DE177" s="107"/>
      <c r="DF177" s="107"/>
      <c r="DG177" s="107"/>
      <c r="DH177" s="107"/>
      <c r="DI177" s="107"/>
      <c r="DJ177" s="107"/>
      <c r="DK177" s="107"/>
      <c r="DL177" s="107"/>
      <c r="DM177" s="107"/>
    </row>
    <row r="178" spans="2:117" x14ac:dyDescent="0.3">
      <c r="B178" s="107" t="s">
        <v>1082</v>
      </c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  <c r="BC178" s="107"/>
      <c r="BD178" s="107"/>
      <c r="BE178" s="107"/>
      <c r="BF178" s="107"/>
      <c r="BG178" s="107"/>
      <c r="BH178" s="107"/>
      <c r="BI178" s="107"/>
      <c r="BJ178" s="107"/>
      <c r="BK178" s="107"/>
      <c r="BL178" s="107"/>
      <c r="BM178" s="107"/>
      <c r="BN178" s="107"/>
      <c r="BO178" s="107"/>
      <c r="BP178" s="107"/>
      <c r="BQ178" s="107"/>
      <c r="BR178" s="107"/>
      <c r="BS178" s="107"/>
      <c r="BT178" s="107"/>
      <c r="BU178" s="107"/>
      <c r="BV178" s="107"/>
      <c r="BW178" s="107"/>
      <c r="BX178" s="107"/>
      <c r="BY178" s="107"/>
      <c r="BZ178" s="107"/>
      <c r="CA178" s="107"/>
      <c r="CB178" s="107"/>
      <c r="CC178" s="107"/>
      <c r="CD178" s="107"/>
      <c r="CE178" s="107"/>
      <c r="CF178" s="107"/>
      <c r="CG178" s="107"/>
      <c r="CH178" s="107"/>
      <c r="CI178" s="107"/>
      <c r="CJ178" s="107"/>
      <c r="CK178" s="107"/>
      <c r="CL178" s="107"/>
      <c r="CM178" s="107"/>
      <c r="CN178" s="107"/>
      <c r="CO178" s="107"/>
      <c r="CP178" s="107"/>
      <c r="CQ178" s="107"/>
      <c r="CR178" s="107"/>
      <c r="CS178" s="107"/>
      <c r="CT178" s="107"/>
      <c r="CU178" s="107"/>
      <c r="CV178" s="107"/>
      <c r="CW178" s="107"/>
      <c r="CX178" s="107"/>
      <c r="CY178" s="107"/>
      <c r="CZ178" s="107"/>
      <c r="DA178" s="107"/>
      <c r="DB178" s="107"/>
      <c r="DC178" s="107"/>
      <c r="DD178" s="107"/>
      <c r="DE178" s="107">
        <v>1</v>
      </c>
      <c r="DF178" s="107"/>
      <c r="DG178" s="107"/>
      <c r="DH178" s="107"/>
      <c r="DI178" s="107"/>
      <c r="DJ178" s="107"/>
      <c r="DK178" s="107"/>
      <c r="DL178" s="107"/>
      <c r="DM178" s="107"/>
    </row>
    <row r="179" spans="2:117" x14ac:dyDescent="0.3">
      <c r="B179" s="107" t="s">
        <v>1083</v>
      </c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107"/>
      <c r="BK179" s="107"/>
      <c r="BL179" s="107"/>
      <c r="BM179" s="107"/>
      <c r="BN179" s="107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  <c r="BY179" s="107"/>
      <c r="BZ179" s="107"/>
      <c r="CA179" s="107"/>
      <c r="CB179" s="107"/>
      <c r="CC179" s="107"/>
      <c r="CD179" s="107"/>
      <c r="CE179" s="107"/>
      <c r="CF179" s="107"/>
      <c r="CG179" s="107"/>
      <c r="CH179" s="107"/>
      <c r="CI179" s="107"/>
      <c r="CJ179" s="107"/>
      <c r="CK179" s="107"/>
      <c r="CL179" s="107"/>
      <c r="CM179" s="107"/>
      <c r="CN179" s="107"/>
      <c r="CO179" s="107"/>
      <c r="CP179" s="107"/>
      <c r="CQ179" s="107"/>
      <c r="CR179" s="107"/>
      <c r="CS179" s="107"/>
      <c r="CT179" s="107"/>
      <c r="CU179" s="107"/>
      <c r="CV179" s="107"/>
      <c r="CW179" s="107"/>
      <c r="CX179" s="107"/>
      <c r="CY179" s="107"/>
      <c r="CZ179" s="107"/>
      <c r="DA179" s="107"/>
      <c r="DB179" s="107"/>
      <c r="DC179" s="107"/>
      <c r="DD179" s="107"/>
      <c r="DE179" s="107"/>
      <c r="DF179" s="107">
        <v>1</v>
      </c>
      <c r="DG179" s="107"/>
      <c r="DH179" s="107"/>
      <c r="DI179" s="107"/>
      <c r="DJ179" s="107"/>
      <c r="DK179" s="107"/>
      <c r="DL179" s="107"/>
      <c r="DM179" s="107"/>
    </row>
    <row r="180" spans="2:117" x14ac:dyDescent="0.3">
      <c r="B180" s="107" t="s">
        <v>1084</v>
      </c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  <c r="AU180" s="107"/>
      <c r="AV180" s="107"/>
      <c r="AW180" s="107"/>
      <c r="AX180" s="107"/>
      <c r="AY180" s="107"/>
      <c r="AZ180" s="107"/>
      <c r="BA180" s="107"/>
      <c r="BB180" s="107"/>
      <c r="BC180" s="107"/>
      <c r="BD180" s="107"/>
      <c r="BE180" s="107"/>
      <c r="BF180" s="107"/>
      <c r="BG180" s="107"/>
      <c r="BH180" s="107"/>
      <c r="BI180" s="107"/>
      <c r="BJ180" s="107"/>
      <c r="BK180" s="107"/>
      <c r="BL180" s="107"/>
      <c r="BM180" s="107"/>
      <c r="BN180" s="107"/>
      <c r="BO180" s="107"/>
      <c r="BP180" s="107"/>
      <c r="BQ180" s="107"/>
      <c r="BR180" s="107"/>
      <c r="BS180" s="107"/>
      <c r="BT180" s="107"/>
      <c r="BU180" s="107"/>
      <c r="BV180" s="107"/>
      <c r="BW180" s="107"/>
      <c r="BX180" s="107"/>
      <c r="BY180" s="107"/>
      <c r="BZ180" s="107"/>
      <c r="CA180" s="107"/>
      <c r="CB180" s="107"/>
      <c r="CC180" s="107"/>
      <c r="CD180" s="107"/>
      <c r="CE180" s="107"/>
      <c r="CF180" s="107"/>
      <c r="CG180" s="107"/>
      <c r="CH180" s="107"/>
      <c r="CI180" s="107"/>
      <c r="CJ180" s="107"/>
      <c r="CK180" s="107"/>
      <c r="CL180" s="107"/>
      <c r="CM180" s="107"/>
      <c r="CN180" s="107"/>
      <c r="CO180" s="107"/>
      <c r="CP180" s="107"/>
      <c r="CQ180" s="107"/>
      <c r="CR180" s="107"/>
      <c r="CS180" s="107"/>
      <c r="CT180" s="107"/>
      <c r="CU180" s="107"/>
      <c r="CV180" s="107"/>
      <c r="CW180" s="107"/>
      <c r="CX180" s="107"/>
      <c r="CY180" s="107"/>
      <c r="CZ180" s="107"/>
      <c r="DA180" s="107"/>
      <c r="DB180" s="107"/>
      <c r="DC180" s="107"/>
      <c r="DD180" s="107"/>
      <c r="DE180" s="107"/>
      <c r="DF180" s="107"/>
      <c r="DG180" s="107">
        <v>1</v>
      </c>
      <c r="DH180" s="107"/>
      <c r="DI180" s="107"/>
      <c r="DJ180" s="107"/>
      <c r="DK180" s="107"/>
      <c r="DL180" s="107"/>
      <c r="DM180" s="107"/>
    </row>
    <row r="181" spans="2:117" x14ac:dyDescent="0.3">
      <c r="B181" s="107" t="s">
        <v>1085</v>
      </c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  <c r="BQ181" s="107"/>
      <c r="BR181" s="107"/>
      <c r="BS181" s="107"/>
      <c r="BT181" s="107"/>
      <c r="BU181" s="107"/>
      <c r="BV181" s="107"/>
      <c r="BW181" s="107"/>
      <c r="BX181" s="107"/>
      <c r="BY181" s="107"/>
      <c r="BZ181" s="107"/>
      <c r="CA181" s="107"/>
      <c r="CB181" s="107"/>
      <c r="CC181" s="107"/>
      <c r="CD181" s="107"/>
      <c r="CE181" s="107"/>
      <c r="CF181" s="107"/>
      <c r="CG181" s="107"/>
      <c r="CH181" s="107"/>
      <c r="CI181" s="107"/>
      <c r="CJ181" s="107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>
        <v>1</v>
      </c>
      <c r="DI181" s="107"/>
      <c r="DJ181" s="107"/>
      <c r="DK181" s="107"/>
      <c r="DL181" s="107"/>
      <c r="DM181" s="107"/>
    </row>
    <row r="182" spans="2:117" x14ac:dyDescent="0.3">
      <c r="B182" s="107" t="s">
        <v>1086</v>
      </c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  <c r="AU182" s="107"/>
      <c r="AV182" s="107"/>
      <c r="AW182" s="107"/>
      <c r="AX182" s="107"/>
      <c r="AY182" s="107"/>
      <c r="AZ182" s="107"/>
      <c r="BA182" s="107"/>
      <c r="BB182" s="107"/>
      <c r="BC182" s="107"/>
      <c r="BD182" s="107"/>
      <c r="BE182" s="107"/>
      <c r="BF182" s="107"/>
      <c r="BG182" s="107"/>
      <c r="BH182" s="107"/>
      <c r="BI182" s="107"/>
      <c r="BJ182" s="107"/>
      <c r="BK182" s="107"/>
      <c r="BL182" s="107"/>
      <c r="BM182" s="107"/>
      <c r="BN182" s="107"/>
      <c r="BO182" s="107"/>
      <c r="BP182" s="107"/>
      <c r="BQ182" s="107"/>
      <c r="BR182" s="107"/>
      <c r="BS182" s="107"/>
      <c r="BT182" s="107"/>
      <c r="BU182" s="107"/>
      <c r="BV182" s="107"/>
      <c r="BW182" s="107"/>
      <c r="BX182" s="107"/>
      <c r="BY182" s="107"/>
      <c r="BZ182" s="107"/>
      <c r="CA182" s="107"/>
      <c r="CB182" s="107"/>
      <c r="CC182" s="107"/>
      <c r="CD182" s="107"/>
      <c r="CE182" s="107"/>
      <c r="CF182" s="107"/>
      <c r="CG182" s="107"/>
      <c r="CH182" s="107"/>
      <c r="CI182" s="107"/>
      <c r="CJ182" s="107"/>
      <c r="CK182" s="107"/>
      <c r="CL182" s="107"/>
      <c r="CM182" s="107"/>
      <c r="CN182" s="107"/>
      <c r="CO182" s="107"/>
      <c r="CP182" s="107"/>
      <c r="CQ182" s="107"/>
      <c r="CR182" s="107"/>
      <c r="CS182" s="107"/>
      <c r="CT182" s="107"/>
      <c r="CU182" s="107"/>
      <c r="CV182" s="107"/>
      <c r="CW182" s="107"/>
      <c r="CX182" s="107"/>
      <c r="CY182" s="107"/>
      <c r="CZ182" s="107"/>
      <c r="DA182" s="107"/>
      <c r="DB182" s="107"/>
      <c r="DC182" s="107"/>
      <c r="DD182" s="107"/>
      <c r="DE182" s="107"/>
      <c r="DF182" s="107"/>
      <c r="DG182" s="107"/>
      <c r="DH182" s="107"/>
      <c r="DI182" s="107">
        <v>1</v>
      </c>
      <c r="DJ182" s="107"/>
      <c r="DK182" s="107"/>
      <c r="DL182" s="107"/>
      <c r="DM182" s="107"/>
    </row>
    <row r="183" spans="2:117" x14ac:dyDescent="0.3">
      <c r="B183" s="107" t="s">
        <v>1087</v>
      </c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107"/>
      <c r="BM183" s="107"/>
      <c r="BN183" s="107"/>
      <c r="BO183" s="107"/>
      <c r="BP183" s="107"/>
      <c r="BQ183" s="107"/>
      <c r="BR183" s="107"/>
      <c r="BS183" s="107"/>
      <c r="BT183" s="107"/>
      <c r="BU183" s="107"/>
      <c r="BV183" s="107"/>
      <c r="BW183" s="107"/>
      <c r="BX183" s="107"/>
      <c r="BY183" s="107"/>
      <c r="BZ183" s="107"/>
      <c r="CA183" s="107"/>
      <c r="CB183" s="107"/>
      <c r="CC183" s="107"/>
      <c r="CD183" s="107"/>
      <c r="CE183" s="107"/>
      <c r="CF183" s="107"/>
      <c r="CG183" s="107"/>
      <c r="CH183" s="107"/>
      <c r="CI183" s="107"/>
      <c r="CJ183" s="107"/>
      <c r="CK183" s="107"/>
      <c r="CL183" s="107"/>
      <c r="CM183" s="107"/>
      <c r="CN183" s="107"/>
      <c r="CO183" s="107"/>
      <c r="CP183" s="107"/>
      <c r="CQ183" s="107"/>
      <c r="CR183" s="107"/>
      <c r="CS183" s="107"/>
      <c r="CT183" s="107"/>
      <c r="CU183" s="107"/>
      <c r="CV183" s="107"/>
      <c r="CW183" s="107"/>
      <c r="CX183" s="107"/>
      <c r="CY183" s="107"/>
      <c r="CZ183" s="107"/>
      <c r="DA183" s="107"/>
      <c r="DB183" s="107"/>
      <c r="DC183" s="107"/>
      <c r="DD183" s="107"/>
      <c r="DE183" s="107"/>
      <c r="DF183" s="107"/>
      <c r="DG183" s="107"/>
      <c r="DH183" s="107"/>
      <c r="DI183" s="107"/>
      <c r="DJ183" s="107">
        <v>1</v>
      </c>
      <c r="DK183" s="107"/>
      <c r="DL183" s="107"/>
      <c r="DM183" s="107"/>
    </row>
    <row r="184" spans="2:117" x14ac:dyDescent="0.3">
      <c r="B184" s="107" t="s">
        <v>1088</v>
      </c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  <c r="BC184" s="107"/>
      <c r="BD184" s="107"/>
      <c r="BE184" s="107"/>
      <c r="BF184" s="107"/>
      <c r="BG184" s="107"/>
      <c r="BH184" s="107"/>
      <c r="BI184" s="107"/>
      <c r="BJ184" s="107"/>
      <c r="BK184" s="107"/>
      <c r="BL184" s="107"/>
      <c r="BM184" s="107"/>
      <c r="BN184" s="107"/>
      <c r="BO184" s="107"/>
      <c r="BP184" s="107"/>
      <c r="BQ184" s="107"/>
      <c r="BR184" s="107"/>
      <c r="BS184" s="107"/>
      <c r="BT184" s="107"/>
      <c r="BU184" s="107"/>
      <c r="BV184" s="107"/>
      <c r="BW184" s="107"/>
      <c r="BX184" s="107"/>
      <c r="BY184" s="107"/>
      <c r="BZ184" s="107"/>
      <c r="CA184" s="107"/>
      <c r="CB184" s="107"/>
      <c r="CC184" s="107"/>
      <c r="CD184" s="107"/>
      <c r="CE184" s="107"/>
      <c r="CF184" s="107"/>
      <c r="CG184" s="107"/>
      <c r="CH184" s="107"/>
      <c r="CI184" s="107"/>
      <c r="CJ184" s="107"/>
      <c r="CK184" s="107"/>
      <c r="CL184" s="107"/>
      <c r="CM184" s="107"/>
      <c r="CN184" s="107"/>
      <c r="CO184" s="107"/>
      <c r="CP184" s="107"/>
      <c r="CQ184" s="107"/>
      <c r="CR184" s="107"/>
      <c r="CS184" s="107"/>
      <c r="CT184" s="107"/>
      <c r="CU184" s="107"/>
      <c r="CV184" s="107"/>
      <c r="CW184" s="107"/>
      <c r="CX184" s="107"/>
      <c r="CY184" s="107"/>
      <c r="CZ184" s="107"/>
      <c r="DA184" s="107"/>
      <c r="DB184" s="107"/>
      <c r="DC184" s="107"/>
      <c r="DD184" s="107"/>
      <c r="DE184" s="107"/>
      <c r="DF184" s="107"/>
      <c r="DG184" s="107"/>
      <c r="DH184" s="107"/>
      <c r="DI184" s="107"/>
      <c r="DJ184" s="107"/>
      <c r="DK184" s="107">
        <v>1</v>
      </c>
      <c r="DL184" s="107"/>
      <c r="DM184" s="107"/>
    </row>
    <row r="185" spans="2:117" x14ac:dyDescent="0.3">
      <c r="B185" s="107" t="s">
        <v>1089</v>
      </c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  <c r="BD185" s="107"/>
      <c r="BE185" s="107"/>
      <c r="BF185" s="107"/>
      <c r="BG185" s="107"/>
      <c r="BH185" s="107"/>
      <c r="BI185" s="107"/>
      <c r="BJ185" s="107"/>
      <c r="BK185" s="107"/>
      <c r="BL185" s="107"/>
      <c r="BM185" s="107"/>
      <c r="BN185" s="107"/>
      <c r="BO185" s="107"/>
      <c r="BP185" s="107"/>
      <c r="BQ185" s="107"/>
      <c r="BR185" s="107"/>
      <c r="BS185" s="107"/>
      <c r="BT185" s="107"/>
      <c r="BU185" s="107"/>
      <c r="BV185" s="107"/>
      <c r="BW185" s="107"/>
      <c r="BX185" s="107"/>
      <c r="BY185" s="107"/>
      <c r="BZ185" s="107"/>
      <c r="CA185" s="107"/>
      <c r="CB185" s="107"/>
      <c r="CC185" s="107"/>
      <c r="CD185" s="107"/>
      <c r="CE185" s="107"/>
      <c r="CF185" s="107"/>
      <c r="CG185" s="107"/>
      <c r="CH185" s="107"/>
      <c r="CI185" s="107"/>
      <c r="CJ185" s="107"/>
      <c r="CK185" s="107"/>
      <c r="CL185" s="107"/>
      <c r="CM185" s="107"/>
      <c r="CN185" s="107"/>
      <c r="CO185" s="107"/>
      <c r="CP185" s="107"/>
      <c r="CQ185" s="107"/>
      <c r="CR185" s="107"/>
      <c r="CS185" s="107"/>
      <c r="CT185" s="107"/>
      <c r="CU185" s="107"/>
      <c r="CV185" s="107"/>
      <c r="CW185" s="107"/>
      <c r="CX185" s="107"/>
      <c r="CY185" s="107"/>
      <c r="CZ185" s="107"/>
      <c r="DA185" s="107"/>
      <c r="DB185" s="107"/>
      <c r="DC185" s="107"/>
      <c r="DD185" s="107"/>
      <c r="DE185" s="107"/>
      <c r="DF185" s="107"/>
      <c r="DG185" s="107"/>
      <c r="DH185" s="107"/>
      <c r="DI185" s="107"/>
      <c r="DJ185" s="107"/>
      <c r="DK185" s="107"/>
      <c r="DL185" s="107">
        <v>1</v>
      </c>
      <c r="DM185" s="107"/>
    </row>
    <row r="186" spans="2:117" x14ac:dyDescent="0.3">
      <c r="B186" s="107" t="s">
        <v>1090</v>
      </c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  <c r="BC186" s="107"/>
      <c r="BD186" s="107"/>
      <c r="BE186" s="107"/>
      <c r="BF186" s="107"/>
      <c r="BG186" s="107"/>
      <c r="BH186" s="107"/>
      <c r="BI186" s="107"/>
      <c r="BJ186" s="107"/>
      <c r="BK186" s="107"/>
      <c r="BL186" s="107"/>
      <c r="BM186" s="107"/>
      <c r="BN186" s="107"/>
      <c r="BO186" s="107"/>
      <c r="BP186" s="107"/>
      <c r="BQ186" s="107"/>
      <c r="BR186" s="107"/>
      <c r="BS186" s="107"/>
      <c r="BT186" s="107"/>
      <c r="BU186" s="107"/>
      <c r="BV186" s="107"/>
      <c r="BW186" s="107"/>
      <c r="BX186" s="107"/>
      <c r="BY186" s="107"/>
      <c r="BZ186" s="107"/>
      <c r="CA186" s="107"/>
      <c r="CB186" s="107"/>
      <c r="CC186" s="107"/>
      <c r="CD186" s="107"/>
      <c r="CE186" s="107"/>
      <c r="CF186" s="107"/>
      <c r="CG186" s="107"/>
      <c r="CH186" s="107"/>
      <c r="CI186" s="107"/>
      <c r="CJ186" s="107"/>
      <c r="CK186" s="107"/>
      <c r="CL186" s="107"/>
      <c r="CM186" s="107"/>
      <c r="CN186" s="107"/>
      <c r="CO186" s="107"/>
      <c r="CP186" s="107"/>
      <c r="CQ186" s="107"/>
      <c r="CR186" s="107"/>
      <c r="CS186" s="107"/>
      <c r="CT186" s="107"/>
      <c r="CU186" s="107"/>
      <c r="CV186" s="107"/>
      <c r="CW186" s="107"/>
      <c r="CX186" s="107"/>
      <c r="CY186" s="107"/>
      <c r="CZ186" s="107"/>
      <c r="DA186" s="107"/>
      <c r="DB186" s="107"/>
      <c r="DC186" s="107"/>
      <c r="DD186" s="107"/>
      <c r="DE186" s="107"/>
      <c r="DF186" s="107"/>
      <c r="DG186" s="107"/>
      <c r="DH186" s="107"/>
      <c r="DI186" s="107"/>
      <c r="DJ186" s="107"/>
      <c r="DK186" s="107"/>
      <c r="DL186" s="107"/>
      <c r="DM186" s="107">
        <v>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9832-CB05-49FD-BD57-C36BE57D2C5B}">
  <dimension ref="A1:H59"/>
  <sheetViews>
    <sheetView topLeftCell="A31" workbookViewId="0">
      <selection sqref="A1:XFD59"/>
    </sheetView>
  </sheetViews>
  <sheetFormatPr baseColWidth="10" defaultRowHeight="14.4" x14ac:dyDescent="0.3"/>
  <sheetData>
    <row r="1" spans="1:8" x14ac:dyDescent="0.3">
      <c r="A1" s="59" t="s">
        <v>645</v>
      </c>
      <c r="B1" s="59"/>
      <c r="C1" s="59"/>
      <c r="D1" s="59"/>
      <c r="E1" s="59"/>
      <c r="F1" s="59"/>
      <c r="G1" s="59"/>
      <c r="H1" s="59">
        <v>1</v>
      </c>
    </row>
    <row r="2" spans="1:8" x14ac:dyDescent="0.3">
      <c r="A2" s="59" t="s">
        <v>646</v>
      </c>
      <c r="B2" s="59"/>
      <c r="C2" s="59"/>
      <c r="D2" s="59"/>
      <c r="E2" s="59"/>
      <c r="F2" s="59"/>
      <c r="G2" s="59"/>
      <c r="H2" s="59">
        <v>1</v>
      </c>
    </row>
    <row r="3" spans="1:8" x14ac:dyDescent="0.3">
      <c r="A3" s="59" t="s">
        <v>647</v>
      </c>
      <c r="B3" s="59"/>
      <c r="C3" s="59"/>
      <c r="D3" s="59"/>
      <c r="E3" s="59"/>
      <c r="F3" s="59"/>
      <c r="G3" s="59"/>
      <c r="H3" s="59">
        <v>1</v>
      </c>
    </row>
    <row r="4" spans="1:8" x14ac:dyDescent="0.3">
      <c r="A4" s="59" t="s">
        <v>648</v>
      </c>
      <c r="B4" s="59"/>
      <c r="C4" s="59"/>
      <c r="D4" s="59"/>
      <c r="E4" s="59"/>
      <c r="F4" s="59"/>
      <c r="G4" s="59"/>
      <c r="H4" s="59">
        <v>1</v>
      </c>
    </row>
    <row r="5" spans="1:8" x14ac:dyDescent="0.3">
      <c r="A5" s="59" t="s">
        <v>649</v>
      </c>
      <c r="B5" s="59"/>
      <c r="C5" s="59"/>
      <c r="D5" s="59"/>
      <c r="E5" s="59"/>
      <c r="F5" s="59"/>
      <c r="G5" s="59"/>
      <c r="H5" s="59">
        <v>1</v>
      </c>
    </row>
    <row r="6" spans="1:8" x14ac:dyDescent="0.3">
      <c r="A6" s="59" t="s">
        <v>650</v>
      </c>
      <c r="B6" s="59"/>
      <c r="C6" s="59"/>
      <c r="D6" s="59"/>
      <c r="E6" s="59"/>
      <c r="F6" s="59"/>
      <c r="G6" s="59"/>
      <c r="H6" s="59">
        <v>1</v>
      </c>
    </row>
    <row r="7" spans="1:8" x14ac:dyDescent="0.3">
      <c r="A7" s="59" t="s">
        <v>651</v>
      </c>
      <c r="B7" s="59"/>
      <c r="C7" s="59"/>
      <c r="D7" s="59"/>
      <c r="E7" s="59"/>
      <c r="F7" s="59"/>
      <c r="G7" s="59"/>
      <c r="H7" s="59">
        <v>1</v>
      </c>
    </row>
    <row r="8" spans="1:8" x14ac:dyDescent="0.3">
      <c r="A8" s="59" t="s">
        <v>258</v>
      </c>
      <c r="B8" s="59"/>
      <c r="C8" s="59"/>
      <c r="D8" s="59"/>
      <c r="E8" s="59"/>
      <c r="F8" s="59"/>
      <c r="G8" s="59"/>
      <c r="H8" s="59">
        <v>1</v>
      </c>
    </row>
    <row r="9" spans="1:8" x14ac:dyDescent="0.3">
      <c r="A9" s="59" t="s">
        <v>261</v>
      </c>
      <c r="B9" s="59"/>
      <c r="C9" s="59"/>
      <c r="D9" s="59"/>
      <c r="E9" s="59"/>
      <c r="F9" s="59"/>
      <c r="G9" s="59"/>
      <c r="H9" s="59">
        <v>1</v>
      </c>
    </row>
    <row r="10" spans="1:8" x14ac:dyDescent="0.3">
      <c r="A10" s="59" t="s">
        <v>652</v>
      </c>
      <c r="B10" s="59"/>
      <c r="C10" s="59"/>
      <c r="D10" s="59"/>
      <c r="E10" s="59"/>
      <c r="F10" s="59"/>
      <c r="G10" s="59"/>
      <c r="H10" s="59">
        <v>1</v>
      </c>
    </row>
    <row r="11" spans="1:8" x14ac:dyDescent="0.3">
      <c r="A11" s="59" t="s">
        <v>653</v>
      </c>
      <c r="B11" s="59"/>
      <c r="C11" s="59"/>
      <c r="D11" s="59"/>
      <c r="E11" s="59"/>
      <c r="F11" s="59"/>
      <c r="G11" s="59"/>
      <c r="H11" s="59">
        <v>1</v>
      </c>
    </row>
    <row r="12" spans="1:8" x14ac:dyDescent="0.3">
      <c r="A12" s="59" t="s">
        <v>654</v>
      </c>
      <c r="B12" s="59"/>
      <c r="C12" s="59"/>
      <c r="D12" s="59"/>
      <c r="E12" s="59"/>
      <c r="F12" s="59"/>
      <c r="G12" s="59"/>
      <c r="H12" s="59">
        <v>1</v>
      </c>
    </row>
    <row r="13" spans="1:8" x14ac:dyDescent="0.3">
      <c r="A13" s="59" t="s">
        <v>655</v>
      </c>
      <c r="B13" s="59"/>
      <c r="C13" s="59"/>
      <c r="D13" s="59"/>
      <c r="E13" s="59"/>
      <c r="F13" s="59"/>
      <c r="G13" s="59"/>
      <c r="H13" s="59">
        <v>1</v>
      </c>
    </row>
    <row r="14" spans="1:8" x14ac:dyDescent="0.3">
      <c r="A14" s="59" t="s">
        <v>253</v>
      </c>
      <c r="B14" s="59"/>
      <c r="C14" s="59"/>
      <c r="D14" s="59"/>
      <c r="E14" s="59"/>
      <c r="F14" s="59"/>
      <c r="G14" s="59"/>
      <c r="H14" s="59">
        <v>1</v>
      </c>
    </row>
    <row r="15" spans="1:8" x14ac:dyDescent="0.3">
      <c r="A15" s="59" t="s">
        <v>1469</v>
      </c>
      <c r="B15" s="59"/>
      <c r="C15" s="59"/>
      <c r="D15" s="59"/>
      <c r="E15" s="59"/>
      <c r="F15" s="59"/>
      <c r="G15" s="59"/>
      <c r="H15" s="59">
        <v>1</v>
      </c>
    </row>
    <row r="16" spans="1:8" x14ac:dyDescent="0.3">
      <c r="A16" s="59" t="s">
        <v>1486</v>
      </c>
      <c r="B16" s="59"/>
      <c r="C16" s="59"/>
      <c r="D16" s="59"/>
      <c r="E16" s="59"/>
      <c r="F16" s="59"/>
      <c r="G16" s="59"/>
      <c r="H16" s="59">
        <v>1</v>
      </c>
    </row>
    <row r="17" spans="1:8" x14ac:dyDescent="0.3">
      <c r="A17" s="59" t="s">
        <v>1470</v>
      </c>
      <c r="B17" s="59"/>
      <c r="C17" s="59"/>
      <c r="D17" s="59"/>
      <c r="E17" s="59"/>
      <c r="F17" s="59"/>
      <c r="G17" s="59"/>
      <c r="H17" s="59">
        <v>1</v>
      </c>
    </row>
    <row r="18" spans="1:8" x14ac:dyDescent="0.3">
      <c r="A18" s="59" t="s">
        <v>1555</v>
      </c>
      <c r="B18" s="59"/>
      <c r="C18" s="59"/>
      <c r="D18" s="59"/>
      <c r="E18" s="59"/>
      <c r="F18" s="59"/>
      <c r="G18" s="59"/>
      <c r="H18" s="59">
        <v>1</v>
      </c>
    </row>
    <row r="19" spans="1:8" x14ac:dyDescent="0.3">
      <c r="A19" s="59" t="s">
        <v>269</v>
      </c>
      <c r="B19" s="59"/>
      <c r="C19" s="59"/>
      <c r="D19" s="59"/>
      <c r="E19" s="59"/>
      <c r="F19" s="59"/>
      <c r="G19" s="59"/>
      <c r="H19" s="59">
        <v>1</v>
      </c>
    </row>
    <row r="20" spans="1:8" x14ac:dyDescent="0.3">
      <c r="A20" s="59" t="s">
        <v>1556</v>
      </c>
      <c r="B20" s="59"/>
      <c r="C20" s="59"/>
      <c r="D20" s="59"/>
      <c r="E20" s="59"/>
      <c r="F20" s="59"/>
      <c r="G20" s="59"/>
      <c r="H20" s="59">
        <v>1</v>
      </c>
    </row>
    <row r="21" spans="1:8" x14ac:dyDescent="0.3">
      <c r="A21" s="59" t="s">
        <v>1493</v>
      </c>
      <c r="B21" s="59"/>
      <c r="C21" s="59"/>
      <c r="D21" s="59"/>
      <c r="E21" s="59"/>
      <c r="F21" s="59"/>
      <c r="G21" s="59"/>
      <c r="H21" s="59">
        <v>1</v>
      </c>
    </row>
    <row r="22" spans="1:8" x14ac:dyDescent="0.3">
      <c r="A22" s="59" t="s">
        <v>1494</v>
      </c>
      <c r="B22" s="59"/>
      <c r="C22" s="59"/>
      <c r="D22" s="59"/>
      <c r="E22" s="59"/>
      <c r="F22" s="59"/>
      <c r="G22" s="59"/>
      <c r="H22" s="59">
        <v>1</v>
      </c>
    </row>
    <row r="23" spans="1:8" x14ac:dyDescent="0.3">
      <c r="A23" s="59" t="s">
        <v>1495</v>
      </c>
      <c r="B23" s="59"/>
      <c r="C23" s="59"/>
      <c r="D23" s="59"/>
      <c r="E23" s="59"/>
      <c r="F23" s="59"/>
      <c r="G23" s="59"/>
      <c r="H23" s="59">
        <v>1</v>
      </c>
    </row>
    <row r="24" spans="1:8" x14ac:dyDescent="0.3">
      <c r="A24" s="59" t="s">
        <v>1467</v>
      </c>
      <c r="B24" s="59"/>
      <c r="C24" s="59"/>
      <c r="D24" s="59"/>
      <c r="E24" s="59"/>
      <c r="F24" s="59"/>
      <c r="G24" s="59"/>
      <c r="H24" s="59">
        <v>1</v>
      </c>
    </row>
    <row r="25" spans="1:8" x14ac:dyDescent="0.3">
      <c r="A25" s="59" t="s">
        <v>1496</v>
      </c>
      <c r="B25" s="59"/>
      <c r="C25" s="59"/>
      <c r="D25" s="59"/>
      <c r="E25" s="59"/>
      <c r="F25" s="59"/>
      <c r="G25" s="59"/>
      <c r="H25" s="59">
        <v>1</v>
      </c>
    </row>
    <row r="26" spans="1:8" x14ac:dyDescent="0.3">
      <c r="A26" s="59" t="s">
        <v>1511</v>
      </c>
      <c r="B26" s="59"/>
      <c r="C26" s="59"/>
      <c r="D26" s="59"/>
      <c r="E26" s="59"/>
      <c r="F26" s="59"/>
      <c r="G26" s="59"/>
      <c r="H26" s="59">
        <v>1</v>
      </c>
    </row>
    <row r="27" spans="1:8" x14ac:dyDescent="0.3">
      <c r="A27" s="59" t="s">
        <v>1512</v>
      </c>
      <c r="B27" s="59"/>
      <c r="C27" s="59"/>
      <c r="D27" s="59"/>
      <c r="E27" s="59"/>
      <c r="F27" s="59"/>
      <c r="G27" s="59"/>
      <c r="H27" s="59">
        <v>1</v>
      </c>
    </row>
    <row r="28" spans="1:8" x14ac:dyDescent="0.3">
      <c r="A28" s="59" t="s">
        <v>1513</v>
      </c>
      <c r="B28" s="59"/>
      <c r="C28" s="59"/>
      <c r="D28" s="59"/>
      <c r="E28" s="59"/>
      <c r="F28" s="59"/>
      <c r="G28" s="59"/>
      <c r="H28" s="59">
        <v>1</v>
      </c>
    </row>
    <row r="29" spans="1:8" x14ac:dyDescent="0.3">
      <c r="A29" s="59" t="s">
        <v>1514</v>
      </c>
      <c r="B29" s="59"/>
      <c r="C29" s="59"/>
      <c r="D29" s="59"/>
      <c r="E29" s="59"/>
      <c r="F29" s="59"/>
      <c r="G29" s="59"/>
      <c r="H29" s="59">
        <v>1</v>
      </c>
    </row>
    <row r="30" spans="1:8" x14ac:dyDescent="0.3">
      <c r="A30" s="59" t="s">
        <v>1515</v>
      </c>
      <c r="B30" s="59"/>
      <c r="C30" s="59"/>
      <c r="D30" s="59"/>
      <c r="E30" s="59"/>
      <c r="F30" s="59"/>
      <c r="G30" s="59"/>
      <c r="H30" s="59">
        <v>1</v>
      </c>
    </row>
    <row r="31" spans="1:8" x14ac:dyDescent="0.3">
      <c r="A31" s="59" t="s">
        <v>1519</v>
      </c>
      <c r="B31" s="59"/>
      <c r="C31" s="59"/>
      <c r="D31" s="59"/>
      <c r="E31" s="59"/>
      <c r="F31" s="59"/>
      <c r="G31" s="59"/>
      <c r="H31" s="59">
        <v>1</v>
      </c>
    </row>
    <row r="32" spans="1:8" x14ac:dyDescent="0.3">
      <c r="A32" s="59" t="s">
        <v>1520</v>
      </c>
      <c r="B32" s="59"/>
      <c r="C32" s="59"/>
      <c r="D32" s="59"/>
      <c r="E32" s="59"/>
      <c r="F32" s="59"/>
      <c r="G32" s="59"/>
      <c r="H32" s="59">
        <v>1</v>
      </c>
    </row>
    <row r="33" spans="1:8" x14ac:dyDescent="0.3">
      <c r="A33" s="59" t="s">
        <v>1516</v>
      </c>
      <c r="B33" s="59"/>
      <c r="C33" s="59"/>
      <c r="D33" s="59"/>
      <c r="E33" s="59"/>
      <c r="F33" s="59"/>
      <c r="G33" s="59"/>
      <c r="H33" s="59">
        <v>1</v>
      </c>
    </row>
    <row r="34" spans="1:8" x14ac:dyDescent="0.3">
      <c r="A34" s="59" t="s">
        <v>1521</v>
      </c>
      <c r="B34" s="59"/>
      <c r="C34" s="59"/>
      <c r="D34" s="59"/>
      <c r="E34" s="59"/>
      <c r="F34" s="59"/>
      <c r="G34" s="59"/>
      <c r="H34" s="59">
        <v>1</v>
      </c>
    </row>
    <row r="35" spans="1:8" x14ac:dyDescent="0.3">
      <c r="A35" s="59" t="s">
        <v>1522</v>
      </c>
      <c r="B35" s="59"/>
      <c r="C35" s="59"/>
      <c r="D35" s="59"/>
      <c r="E35" s="59"/>
      <c r="F35" s="59"/>
      <c r="G35" s="59"/>
      <c r="H35" s="59">
        <v>1</v>
      </c>
    </row>
    <row r="36" spans="1:8" x14ac:dyDescent="0.3">
      <c r="A36" s="59" t="s">
        <v>1523</v>
      </c>
      <c r="B36" s="59"/>
      <c r="C36" s="59"/>
      <c r="D36" s="59"/>
      <c r="E36" s="59"/>
      <c r="F36" s="59"/>
      <c r="G36" s="59"/>
      <c r="H36" s="59">
        <v>1</v>
      </c>
    </row>
    <row r="37" spans="1:8" x14ac:dyDescent="0.3">
      <c r="A37" s="59" t="s">
        <v>1524</v>
      </c>
      <c r="B37" s="59"/>
      <c r="C37" s="59"/>
      <c r="D37" s="59"/>
      <c r="E37" s="59"/>
      <c r="F37" s="59"/>
      <c r="G37" s="59"/>
      <c r="H37" s="59">
        <v>1</v>
      </c>
    </row>
    <row r="38" spans="1:8" x14ac:dyDescent="0.3">
      <c r="A38" s="59" t="s">
        <v>1517</v>
      </c>
      <c r="B38" s="59"/>
      <c r="C38" s="59"/>
      <c r="D38" s="59"/>
      <c r="E38" s="59"/>
      <c r="F38" s="59"/>
      <c r="G38" s="59"/>
      <c r="H38" s="59">
        <v>1</v>
      </c>
    </row>
    <row r="39" spans="1:8" x14ac:dyDescent="0.3">
      <c r="A39" s="59" t="s">
        <v>1518</v>
      </c>
      <c r="B39" s="59"/>
      <c r="C39" s="59"/>
      <c r="D39" s="59"/>
      <c r="E39" s="59"/>
      <c r="F39" s="59"/>
      <c r="G39" s="59"/>
      <c r="H39" s="59">
        <v>1</v>
      </c>
    </row>
    <row r="40" spans="1:8" x14ac:dyDescent="0.3">
      <c r="A40" s="59" t="s">
        <v>278</v>
      </c>
      <c r="B40" s="59"/>
      <c r="C40" s="59"/>
      <c r="D40" s="59"/>
      <c r="E40" s="59"/>
      <c r="F40" s="59"/>
      <c r="G40" s="59"/>
      <c r="H40" s="59">
        <v>1</v>
      </c>
    </row>
    <row r="41" spans="1:8" x14ac:dyDescent="0.3">
      <c r="A41" s="59" t="s">
        <v>656</v>
      </c>
      <c r="B41" s="59"/>
      <c r="C41" s="59"/>
      <c r="D41" s="59"/>
      <c r="E41" s="59"/>
      <c r="F41" s="59"/>
      <c r="G41" s="59"/>
      <c r="H41" s="59">
        <v>1</v>
      </c>
    </row>
    <row r="42" spans="1:8" x14ac:dyDescent="0.3">
      <c r="A42" s="59" t="s">
        <v>657</v>
      </c>
      <c r="B42" s="59"/>
      <c r="C42" s="59"/>
      <c r="D42" s="59"/>
      <c r="E42" s="59"/>
      <c r="F42" s="59"/>
      <c r="G42" s="59"/>
      <c r="H42" s="59">
        <v>1</v>
      </c>
    </row>
    <row r="43" spans="1:8" x14ac:dyDescent="0.3">
      <c r="A43" s="59" t="s">
        <v>280</v>
      </c>
      <c r="B43" s="59"/>
      <c r="C43" s="59"/>
      <c r="D43" s="59"/>
      <c r="E43" s="59"/>
      <c r="F43" s="59"/>
      <c r="G43" s="59"/>
      <c r="H43" s="59">
        <v>1</v>
      </c>
    </row>
    <row r="44" spans="1:8" x14ac:dyDescent="0.3">
      <c r="A44" s="59" t="s">
        <v>658</v>
      </c>
      <c r="B44" s="59"/>
      <c r="C44" s="59"/>
      <c r="D44" s="59"/>
      <c r="E44" s="59"/>
      <c r="F44" s="59"/>
      <c r="G44" s="59"/>
      <c r="H44" s="59">
        <v>1</v>
      </c>
    </row>
    <row r="45" spans="1:8" x14ac:dyDescent="0.3">
      <c r="A45" s="59" t="s">
        <v>282</v>
      </c>
      <c r="B45" s="59"/>
      <c r="C45" s="59"/>
      <c r="D45" s="59"/>
      <c r="E45" s="59"/>
      <c r="F45" s="59"/>
      <c r="G45" s="59"/>
      <c r="H45" s="59">
        <v>1</v>
      </c>
    </row>
    <row r="46" spans="1:8" x14ac:dyDescent="0.3">
      <c r="A46" s="59" t="s">
        <v>283</v>
      </c>
      <c r="B46" s="59"/>
      <c r="C46" s="59"/>
      <c r="D46" s="59"/>
      <c r="E46" s="59"/>
      <c r="F46" s="59"/>
      <c r="G46" s="59"/>
      <c r="H46" s="59">
        <v>1</v>
      </c>
    </row>
    <row r="47" spans="1:8" x14ac:dyDescent="0.3">
      <c r="A47" s="112" t="s">
        <v>659</v>
      </c>
      <c r="B47" s="59"/>
      <c r="C47" s="59"/>
      <c r="D47" s="59"/>
      <c r="E47" s="59"/>
      <c r="F47" s="59"/>
      <c r="G47" s="59"/>
      <c r="H47" s="59">
        <v>1</v>
      </c>
    </row>
    <row r="48" spans="1:8" x14ac:dyDescent="0.3">
      <c r="A48" s="59" t="s">
        <v>660</v>
      </c>
      <c r="B48" s="59"/>
      <c r="C48" s="59"/>
      <c r="D48" s="59"/>
      <c r="E48" s="59"/>
      <c r="F48" s="59"/>
      <c r="G48" s="59"/>
      <c r="H48" s="59">
        <v>1</v>
      </c>
    </row>
    <row r="49" spans="1:8" x14ac:dyDescent="0.3">
      <c r="A49" s="59" t="s">
        <v>661</v>
      </c>
      <c r="B49" s="59"/>
      <c r="C49" s="59"/>
      <c r="D49" s="59"/>
      <c r="E49" s="59"/>
      <c r="F49" s="59"/>
      <c r="G49" s="59"/>
      <c r="H49" s="59">
        <v>1</v>
      </c>
    </row>
    <row r="50" spans="1:8" x14ac:dyDescent="0.3">
      <c r="A50" s="59" t="s">
        <v>662</v>
      </c>
      <c r="B50" s="59"/>
      <c r="C50" s="59"/>
      <c r="D50" s="59"/>
      <c r="E50" s="59"/>
      <c r="F50" s="59"/>
      <c r="G50" s="59"/>
      <c r="H50" s="59">
        <v>1</v>
      </c>
    </row>
    <row r="51" spans="1:8" x14ac:dyDescent="0.3">
      <c r="A51" s="59" t="s">
        <v>663</v>
      </c>
      <c r="B51" s="59"/>
      <c r="C51" s="59"/>
      <c r="D51" s="59"/>
      <c r="E51" s="59"/>
      <c r="F51" s="59"/>
      <c r="G51" s="59"/>
      <c r="H51" s="59">
        <v>1</v>
      </c>
    </row>
    <row r="52" spans="1:8" x14ac:dyDescent="0.3">
      <c r="A52" s="59" t="s">
        <v>664</v>
      </c>
      <c r="B52" s="59"/>
      <c r="C52" s="59"/>
      <c r="D52" s="59"/>
      <c r="E52" s="59"/>
      <c r="F52" s="59"/>
      <c r="G52" s="59"/>
      <c r="H52" s="59">
        <v>1</v>
      </c>
    </row>
    <row r="53" spans="1:8" x14ac:dyDescent="0.3">
      <c r="A53" s="59" t="s">
        <v>665</v>
      </c>
      <c r="B53" s="59"/>
      <c r="C53" s="59"/>
      <c r="D53" s="59"/>
      <c r="E53" s="59"/>
      <c r="F53" s="59"/>
      <c r="G53" s="59"/>
      <c r="H53" s="59">
        <v>1</v>
      </c>
    </row>
    <row r="54" spans="1:8" x14ac:dyDescent="0.3">
      <c r="A54" s="59" t="s">
        <v>250</v>
      </c>
      <c r="B54" s="59"/>
      <c r="C54" s="59"/>
      <c r="D54" s="59"/>
      <c r="E54" s="59"/>
      <c r="F54" s="59"/>
      <c r="G54" s="59"/>
      <c r="H54" s="59">
        <v>1</v>
      </c>
    </row>
    <row r="55" spans="1:8" x14ac:dyDescent="0.3">
      <c r="A55" s="59" t="s">
        <v>257</v>
      </c>
      <c r="B55" s="59"/>
      <c r="C55" s="59"/>
      <c r="D55" s="59"/>
      <c r="E55" s="59"/>
      <c r="F55" s="59"/>
      <c r="G55" s="59"/>
      <c r="H55" s="59">
        <v>1</v>
      </c>
    </row>
    <row r="56" spans="1:8" x14ac:dyDescent="0.3">
      <c r="A56" s="59" t="s">
        <v>666</v>
      </c>
      <c r="B56" s="59"/>
      <c r="C56" s="59"/>
      <c r="D56" s="59"/>
      <c r="E56" s="59"/>
      <c r="F56" s="59"/>
      <c r="G56" s="59"/>
      <c r="H56" s="59">
        <v>1</v>
      </c>
    </row>
    <row r="57" spans="1:8" x14ac:dyDescent="0.3">
      <c r="A57" s="59" t="s">
        <v>263</v>
      </c>
      <c r="B57" s="59"/>
      <c r="C57" s="59"/>
      <c r="D57" s="59"/>
      <c r="E57" s="59"/>
      <c r="F57" s="59"/>
      <c r="G57" s="59"/>
      <c r="H57" s="59">
        <v>1</v>
      </c>
    </row>
    <row r="58" spans="1:8" x14ac:dyDescent="0.3">
      <c r="A58" s="59" t="s">
        <v>667</v>
      </c>
      <c r="B58" s="59"/>
      <c r="C58" s="59"/>
      <c r="D58" s="59"/>
      <c r="E58" s="59"/>
      <c r="F58" s="59"/>
      <c r="G58" s="59"/>
      <c r="H58" s="59">
        <v>1</v>
      </c>
    </row>
    <row r="59" spans="1:8" x14ac:dyDescent="0.3">
      <c r="A59" s="59" t="s">
        <v>285</v>
      </c>
      <c r="B59" s="59"/>
      <c r="C59" s="59"/>
      <c r="D59" s="59"/>
      <c r="E59" s="59"/>
      <c r="F59" s="59"/>
      <c r="G59" s="59"/>
      <c r="H59" s="59">
        <v>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EC0C-3400-4B3A-AC23-9B8D0FB4BF91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AA70-41B9-4066-A39D-F42EF7D4265F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4"/>
  <sheetViews>
    <sheetView workbookViewId="0"/>
  </sheetViews>
  <sheetFormatPr baseColWidth="10" defaultColWidth="8.88671875" defaultRowHeight="14.4" x14ac:dyDescent="0.3"/>
  <cols>
    <col min="4" max="4" width="20" customWidth="1"/>
    <col min="5" max="5" width="20.109375" customWidth="1"/>
  </cols>
  <sheetData>
    <row r="1" spans="1:10" s="43" customFormat="1" x14ac:dyDescent="0.3">
      <c r="B1" s="114" t="s">
        <v>351</v>
      </c>
      <c r="C1" s="114" t="s">
        <v>351</v>
      </c>
      <c r="D1" s="114" t="s">
        <v>1247</v>
      </c>
      <c r="E1" s="114" t="s">
        <v>1247</v>
      </c>
      <c r="F1" s="4" t="s">
        <v>1183</v>
      </c>
      <c r="G1" s="4" t="s">
        <v>294</v>
      </c>
      <c r="H1" s="115" t="s">
        <v>1249</v>
      </c>
      <c r="I1" s="43" t="s">
        <v>1420</v>
      </c>
      <c r="J1" s="43" t="s">
        <v>1421</v>
      </c>
    </row>
    <row r="2" spans="1:10" x14ac:dyDescent="0.3">
      <c r="B2" s="4" t="s">
        <v>9</v>
      </c>
      <c r="C2" s="4" t="s">
        <v>10</v>
      </c>
      <c r="D2" s="4" t="s">
        <v>9</v>
      </c>
      <c r="E2" s="4" t="s">
        <v>10</v>
      </c>
      <c r="F2" s="4" t="s">
        <v>1250</v>
      </c>
      <c r="G2" s="4" t="s">
        <v>1250</v>
      </c>
      <c r="H2" s="4" t="s">
        <v>1250</v>
      </c>
      <c r="I2" t="s">
        <v>1422</v>
      </c>
      <c r="J2" t="s">
        <v>1422</v>
      </c>
    </row>
    <row r="3" spans="1:10" x14ac:dyDescent="0.3">
      <c r="A3" s="4" t="s">
        <v>1251</v>
      </c>
      <c r="B3">
        <v>0.19580400000000003</v>
      </c>
      <c r="C3">
        <v>0.52214400000000005</v>
      </c>
      <c r="D3">
        <v>0.1</v>
      </c>
      <c r="E3">
        <v>0.8</v>
      </c>
      <c r="F3">
        <v>3.8661728585653775E-2</v>
      </c>
      <c r="G3" s="2"/>
      <c r="H3">
        <v>2451.7069999999999</v>
      </c>
      <c r="I3">
        <v>0.05</v>
      </c>
      <c r="J3">
        <v>0.1</v>
      </c>
    </row>
    <row r="4" spans="1:10" x14ac:dyDescent="0.3">
      <c r="A4" s="4" t="s">
        <v>1252</v>
      </c>
      <c r="B4">
        <v>0.19580400000000003</v>
      </c>
      <c r="C4">
        <v>0.52214400000000005</v>
      </c>
      <c r="D4">
        <v>0.1</v>
      </c>
      <c r="E4">
        <v>0.8</v>
      </c>
      <c r="F4">
        <v>3.8661728585653775E-2</v>
      </c>
      <c r="G4" s="2"/>
      <c r="H4">
        <v>50.466999999999999</v>
      </c>
      <c r="I4">
        <v>0.05</v>
      </c>
      <c r="J4">
        <v>0.1</v>
      </c>
    </row>
    <row r="5" spans="1:10" x14ac:dyDescent="0.3">
      <c r="A5" s="4" t="s">
        <v>1253</v>
      </c>
      <c r="B5">
        <v>0.19580400000000003</v>
      </c>
      <c r="C5">
        <v>0.52214400000000005</v>
      </c>
      <c r="D5">
        <v>0.1</v>
      </c>
      <c r="E5">
        <v>0.8</v>
      </c>
      <c r="F5">
        <v>3.8661728585653775E-2</v>
      </c>
      <c r="G5" s="2"/>
      <c r="H5">
        <v>7873.1803399999999</v>
      </c>
      <c r="I5">
        <v>0.05</v>
      </c>
      <c r="J5">
        <v>0.1</v>
      </c>
    </row>
    <row r="6" spans="1:10" x14ac:dyDescent="0.3">
      <c r="A6" s="4" t="s">
        <v>1254</v>
      </c>
      <c r="B6">
        <v>0.19580400000000003</v>
      </c>
      <c r="C6">
        <v>0.52214400000000005</v>
      </c>
      <c r="D6">
        <v>0.1</v>
      </c>
      <c r="E6">
        <v>0.8</v>
      </c>
      <c r="F6">
        <v>3.8661728585653775E-2</v>
      </c>
      <c r="G6" s="2"/>
      <c r="I6">
        <v>0.05</v>
      </c>
      <c r="J6">
        <v>0.1</v>
      </c>
    </row>
    <row r="7" spans="1:10" x14ac:dyDescent="0.3">
      <c r="A7" s="4" t="s">
        <v>1255</v>
      </c>
      <c r="B7">
        <v>0.19580400000000003</v>
      </c>
      <c r="C7">
        <v>0.52214400000000005</v>
      </c>
      <c r="D7">
        <v>0.1</v>
      </c>
      <c r="E7">
        <v>0.8</v>
      </c>
      <c r="F7">
        <v>3.8661728585653775E-2</v>
      </c>
      <c r="G7" s="2"/>
      <c r="I7">
        <v>0.05</v>
      </c>
      <c r="J7">
        <v>0.1</v>
      </c>
    </row>
    <row r="8" spans="1:10" x14ac:dyDescent="0.3">
      <c r="A8" s="4" t="s">
        <v>1256</v>
      </c>
      <c r="B8">
        <v>0.19580400000000003</v>
      </c>
      <c r="C8">
        <v>0.52214400000000005</v>
      </c>
      <c r="D8">
        <v>0.1</v>
      </c>
      <c r="E8">
        <v>0.8</v>
      </c>
      <c r="F8">
        <v>3.8661728585653775E-2</v>
      </c>
      <c r="G8" s="2"/>
      <c r="H8">
        <v>3060.61</v>
      </c>
      <c r="I8">
        <v>0.05</v>
      </c>
      <c r="J8">
        <v>0.1</v>
      </c>
    </row>
    <row r="9" spans="1:10" x14ac:dyDescent="0.3">
      <c r="A9" s="4" t="s">
        <v>1257</v>
      </c>
      <c r="B9">
        <v>0.19580400000000003</v>
      </c>
      <c r="C9">
        <v>0.52214400000000005</v>
      </c>
      <c r="D9">
        <v>0.1</v>
      </c>
      <c r="E9">
        <v>0.8</v>
      </c>
      <c r="F9">
        <v>3.8661728585653775E-2</v>
      </c>
      <c r="G9" s="2"/>
      <c r="H9">
        <v>111.46869000000001</v>
      </c>
      <c r="I9">
        <v>0.05</v>
      </c>
      <c r="J9">
        <v>0.1</v>
      </c>
    </row>
    <row r="10" spans="1:10" x14ac:dyDescent="0.3">
      <c r="A10" s="4" t="s">
        <v>1258</v>
      </c>
      <c r="B10">
        <v>0.19580400000000003</v>
      </c>
      <c r="C10">
        <v>0.52214400000000005</v>
      </c>
      <c r="D10">
        <v>0.1</v>
      </c>
      <c r="E10">
        <v>0.8</v>
      </c>
      <c r="F10">
        <v>3.8661728585653775E-2</v>
      </c>
      <c r="G10" s="2"/>
      <c r="I10">
        <v>0.05</v>
      </c>
      <c r="J10">
        <v>0.1</v>
      </c>
    </row>
    <row r="11" spans="1:10" x14ac:dyDescent="0.3">
      <c r="A11" s="4" t="s">
        <v>1259</v>
      </c>
      <c r="B11">
        <v>0.19580400000000003</v>
      </c>
      <c r="C11">
        <v>0.52214400000000005</v>
      </c>
      <c r="D11">
        <v>0.1</v>
      </c>
      <c r="E11">
        <v>0.8</v>
      </c>
      <c r="F11">
        <v>9.6654321464134427E-2</v>
      </c>
      <c r="G11" s="2"/>
      <c r="H11">
        <v>8643.1980000000003</v>
      </c>
      <c r="I11">
        <v>0.05</v>
      </c>
      <c r="J11">
        <v>0.1</v>
      </c>
    </row>
    <row r="12" spans="1:10" x14ac:dyDescent="0.3">
      <c r="A12" s="4" t="s">
        <v>1260</v>
      </c>
      <c r="B12">
        <v>0.19580400000000003</v>
      </c>
      <c r="C12">
        <v>0.52214400000000005</v>
      </c>
      <c r="D12">
        <v>0.1</v>
      </c>
      <c r="E12">
        <v>0.8</v>
      </c>
      <c r="F12">
        <v>5.7992592878480652E-2</v>
      </c>
      <c r="G12" s="2"/>
      <c r="H12">
        <v>579.95400000000006</v>
      </c>
      <c r="I12">
        <v>0.05</v>
      </c>
      <c r="J12">
        <v>0.1</v>
      </c>
    </row>
    <row r="13" spans="1:10" x14ac:dyDescent="0.3">
      <c r="A13" s="4" t="s">
        <v>1261</v>
      </c>
      <c r="B13">
        <v>0.19580400000000003</v>
      </c>
      <c r="C13">
        <v>0.52214400000000005</v>
      </c>
      <c r="D13">
        <v>0.1</v>
      </c>
      <c r="E13">
        <v>0.8</v>
      </c>
      <c r="F13">
        <v>9.6654321464134427E-2</v>
      </c>
      <c r="G13" s="2"/>
      <c r="H13">
        <v>2301.6377700000003</v>
      </c>
      <c r="I13">
        <v>0.05</v>
      </c>
      <c r="J13">
        <v>0.1</v>
      </c>
    </row>
    <row r="14" spans="1:10" x14ac:dyDescent="0.3">
      <c r="A14" s="4" t="s">
        <v>1262</v>
      </c>
      <c r="B14">
        <v>0.19580400000000003</v>
      </c>
      <c r="C14">
        <v>0.52214400000000005</v>
      </c>
      <c r="D14">
        <v>0.1</v>
      </c>
      <c r="E14">
        <v>0.8</v>
      </c>
      <c r="F14">
        <v>9.6654321464134427E-2</v>
      </c>
      <c r="G14" s="2"/>
      <c r="H14">
        <v>7.3094566666666676</v>
      </c>
      <c r="I14">
        <v>0.05</v>
      </c>
      <c r="J14">
        <v>0.1</v>
      </c>
    </row>
    <row r="15" spans="1:10" x14ac:dyDescent="0.3">
      <c r="A15" s="4" t="s">
        <v>1263</v>
      </c>
      <c r="B15">
        <v>0.15000000000000002</v>
      </c>
      <c r="C15">
        <v>0.4</v>
      </c>
      <c r="D15">
        <v>0.1</v>
      </c>
      <c r="E15">
        <v>0.8</v>
      </c>
      <c r="F15">
        <v>3.8661728585653775E-2</v>
      </c>
      <c r="G15" s="2"/>
      <c r="I15">
        <v>0.05</v>
      </c>
      <c r="J15">
        <v>0.1</v>
      </c>
    </row>
    <row r="16" spans="1:10" x14ac:dyDescent="0.3">
      <c r="A16" s="4" t="s">
        <v>1264</v>
      </c>
      <c r="B16">
        <v>0.15000000000000002</v>
      </c>
      <c r="C16">
        <v>0.4</v>
      </c>
      <c r="D16">
        <v>0.1</v>
      </c>
      <c r="E16">
        <v>0.8</v>
      </c>
      <c r="F16">
        <v>3.8661728585653775E-2</v>
      </c>
      <c r="G16" s="2"/>
      <c r="I16">
        <v>0.05</v>
      </c>
      <c r="J16">
        <v>0.1</v>
      </c>
    </row>
    <row r="17" spans="1:10" x14ac:dyDescent="0.3">
      <c r="A17" s="4" t="s">
        <v>1265</v>
      </c>
      <c r="B17">
        <v>0.15000000000000002</v>
      </c>
      <c r="C17">
        <v>0.4</v>
      </c>
      <c r="D17">
        <v>0.1</v>
      </c>
      <c r="E17">
        <v>0.8</v>
      </c>
      <c r="F17">
        <v>3.8661728585653775E-2</v>
      </c>
      <c r="G17" s="2"/>
      <c r="I17">
        <v>0.05</v>
      </c>
      <c r="J17">
        <v>0.1</v>
      </c>
    </row>
    <row r="18" spans="1:10" x14ac:dyDescent="0.3">
      <c r="A18" s="4" t="s">
        <v>1266</v>
      </c>
      <c r="B18">
        <v>0.15000000000000002</v>
      </c>
      <c r="C18">
        <v>0.4</v>
      </c>
      <c r="D18">
        <v>0.1</v>
      </c>
      <c r="E18">
        <v>0.8</v>
      </c>
      <c r="F18">
        <v>3.8661728585653775E-2</v>
      </c>
      <c r="G18" s="2"/>
      <c r="I18">
        <v>0.05</v>
      </c>
      <c r="J18">
        <v>0.1</v>
      </c>
    </row>
    <row r="19" spans="1:10" x14ac:dyDescent="0.3">
      <c r="A19" s="4" t="s">
        <v>1267</v>
      </c>
      <c r="B19">
        <v>0.15000000000000002</v>
      </c>
      <c r="C19">
        <v>0.4</v>
      </c>
      <c r="D19">
        <v>0.1</v>
      </c>
      <c r="E19">
        <v>0.8</v>
      </c>
      <c r="F19">
        <v>3.8661728585653775E-2</v>
      </c>
      <c r="G19" s="2"/>
      <c r="I19">
        <v>0.05</v>
      </c>
      <c r="J19">
        <v>0.1</v>
      </c>
    </row>
    <row r="20" spans="1:10" x14ac:dyDescent="0.3">
      <c r="A20" s="4" t="s">
        <v>1426</v>
      </c>
      <c r="B20">
        <v>0.15000000000000002</v>
      </c>
      <c r="C20">
        <v>0.4</v>
      </c>
      <c r="D20">
        <v>0.1</v>
      </c>
      <c r="E20">
        <v>0.8</v>
      </c>
      <c r="F20">
        <v>3.8661728585653775E-2</v>
      </c>
      <c r="G20" s="2"/>
      <c r="I20">
        <v>0.05</v>
      </c>
      <c r="J20">
        <v>0.1</v>
      </c>
    </row>
    <row r="21" spans="1:10" x14ac:dyDescent="0.3">
      <c r="A21" s="4" t="s">
        <v>1427</v>
      </c>
      <c r="B21">
        <v>0.15000000000000002</v>
      </c>
      <c r="C21">
        <v>0.4</v>
      </c>
      <c r="D21">
        <v>0.1</v>
      </c>
      <c r="E21">
        <v>0.8</v>
      </c>
      <c r="F21">
        <v>3.8661728585653775E-2</v>
      </c>
      <c r="G21" s="2"/>
      <c r="I21">
        <v>0.05</v>
      </c>
      <c r="J21">
        <v>0.1</v>
      </c>
    </row>
    <row r="22" spans="1:10" x14ac:dyDescent="0.3">
      <c r="A22" s="4" t="s">
        <v>1428</v>
      </c>
      <c r="B22">
        <v>0.15000000000000002</v>
      </c>
      <c r="C22">
        <v>0.4</v>
      </c>
      <c r="D22">
        <v>0.1</v>
      </c>
      <c r="E22">
        <v>0.8</v>
      </c>
      <c r="F22">
        <v>3.8661728585653775E-2</v>
      </c>
      <c r="G22" s="2"/>
      <c r="I22">
        <v>0.05</v>
      </c>
      <c r="J22">
        <v>0.1</v>
      </c>
    </row>
    <row r="23" spans="1:10" x14ac:dyDescent="0.3">
      <c r="A23" s="4" t="s">
        <v>1429</v>
      </c>
      <c r="B23">
        <v>0.15000000000000002</v>
      </c>
      <c r="C23">
        <v>0.4</v>
      </c>
      <c r="D23">
        <v>0.1</v>
      </c>
      <c r="E23">
        <v>0.8</v>
      </c>
      <c r="F23">
        <v>3.8661728585653775E-2</v>
      </c>
      <c r="G23" s="2"/>
      <c r="I23">
        <v>0.05</v>
      </c>
      <c r="J23">
        <v>0.1</v>
      </c>
    </row>
    <row r="24" spans="1:10" x14ac:dyDescent="0.3">
      <c r="A24" s="4" t="s">
        <v>1430</v>
      </c>
      <c r="B24">
        <v>0.15000000000000002</v>
      </c>
      <c r="C24">
        <v>0.4</v>
      </c>
      <c r="D24">
        <v>0.1</v>
      </c>
      <c r="E24">
        <v>0.8</v>
      </c>
      <c r="F24">
        <v>3.8661728585653775E-2</v>
      </c>
      <c r="G24" s="2"/>
      <c r="I24">
        <v>0.05</v>
      </c>
      <c r="J24">
        <v>0.1</v>
      </c>
    </row>
    <row r="25" spans="1:10" x14ac:dyDescent="0.3">
      <c r="A25" s="4" t="s">
        <v>1269</v>
      </c>
      <c r="B25">
        <v>0.74</v>
      </c>
      <c r="C25">
        <v>2.2400000000000002</v>
      </c>
      <c r="D25">
        <v>0.1</v>
      </c>
      <c r="E25">
        <v>0.8</v>
      </c>
      <c r="F25">
        <v>3.8661728585653775E-2</v>
      </c>
      <c r="G25" s="2"/>
      <c r="H25">
        <v>496.2936666666667</v>
      </c>
      <c r="I25">
        <v>0.05</v>
      </c>
      <c r="J25">
        <v>0.1</v>
      </c>
    </row>
    <row r="26" spans="1:10" x14ac:dyDescent="0.3">
      <c r="A26" s="4" t="s">
        <v>1270</v>
      </c>
      <c r="B26">
        <v>0.74</v>
      </c>
      <c r="C26">
        <v>2.2400000000000002</v>
      </c>
      <c r="D26">
        <v>0.1</v>
      </c>
      <c r="E26">
        <v>0.8</v>
      </c>
      <c r="F26">
        <v>3.8661728585653775E-2</v>
      </c>
      <c r="G26" s="2"/>
      <c r="H26">
        <v>213.06187333333332</v>
      </c>
      <c r="I26">
        <v>0.05</v>
      </c>
      <c r="J26">
        <v>0.1</v>
      </c>
    </row>
    <row r="27" spans="1:10" x14ac:dyDescent="0.3">
      <c r="A27" s="4" t="s">
        <v>1271</v>
      </c>
      <c r="B27">
        <v>0.74</v>
      </c>
      <c r="C27">
        <v>2.2400000000000002</v>
      </c>
      <c r="D27">
        <v>0.1</v>
      </c>
      <c r="E27">
        <v>0.8</v>
      </c>
      <c r="F27">
        <v>3.8661728585653775E-2</v>
      </c>
      <c r="G27" s="2"/>
      <c r="I27">
        <v>0.05</v>
      </c>
      <c r="J27">
        <v>0.1</v>
      </c>
    </row>
    <row r="28" spans="1:10" x14ac:dyDescent="0.3">
      <c r="A28" s="4" t="s">
        <v>1272</v>
      </c>
      <c r="B28">
        <v>0.74</v>
      </c>
      <c r="C28">
        <v>2.2400000000000002</v>
      </c>
      <c r="D28">
        <v>0.1</v>
      </c>
      <c r="E28">
        <v>0.8</v>
      </c>
      <c r="F28">
        <v>3.8661728585653775E-2</v>
      </c>
      <c r="G28" s="2"/>
      <c r="I28">
        <v>0.05</v>
      </c>
      <c r="J28">
        <v>0.1</v>
      </c>
    </row>
    <row r="29" spans="1:10" x14ac:dyDescent="0.3">
      <c r="A29" s="4" t="s">
        <v>1273</v>
      </c>
      <c r="B29">
        <v>0.74</v>
      </c>
      <c r="C29">
        <v>2.2400000000000002</v>
      </c>
      <c r="D29">
        <v>0.1</v>
      </c>
      <c r="E29">
        <v>0.8</v>
      </c>
      <c r="F29">
        <v>3.8661728585653775E-2</v>
      </c>
      <c r="G29" s="2"/>
      <c r="I29">
        <v>0.05</v>
      </c>
      <c r="J29">
        <v>0.1</v>
      </c>
    </row>
    <row r="30" spans="1:10" x14ac:dyDescent="0.3">
      <c r="A30" s="4" t="s">
        <v>1274</v>
      </c>
      <c r="B30">
        <v>0.74</v>
      </c>
      <c r="C30">
        <v>2.2400000000000002</v>
      </c>
      <c r="D30">
        <v>0.1</v>
      </c>
      <c r="E30">
        <v>0.8</v>
      </c>
      <c r="F30">
        <v>3.8661728585653775E-2</v>
      </c>
      <c r="G30" s="2"/>
      <c r="I30">
        <v>0.05</v>
      </c>
      <c r="J30">
        <v>0.1</v>
      </c>
    </row>
    <row r="31" spans="1:10" x14ac:dyDescent="0.3">
      <c r="A31" s="4" t="s">
        <v>1275</v>
      </c>
      <c r="B31">
        <v>0.74</v>
      </c>
      <c r="C31">
        <v>2.2400000000000002</v>
      </c>
      <c r="D31">
        <v>0.1</v>
      </c>
      <c r="E31">
        <v>0.8</v>
      </c>
      <c r="F31">
        <v>3.8661728585653775E-2</v>
      </c>
      <c r="G31" s="2"/>
      <c r="I31">
        <v>0.05</v>
      </c>
      <c r="J31">
        <v>0.1</v>
      </c>
    </row>
    <row r="32" spans="1:10" x14ac:dyDescent="0.3">
      <c r="A32" s="4" t="s">
        <v>1276</v>
      </c>
      <c r="B32">
        <v>0.74</v>
      </c>
      <c r="C32">
        <v>2.2400000000000002</v>
      </c>
      <c r="D32">
        <v>0.1</v>
      </c>
      <c r="E32">
        <v>0.8</v>
      </c>
      <c r="F32">
        <v>3.8661728585653775E-2</v>
      </c>
      <c r="G32" s="2"/>
      <c r="I32">
        <v>0.05</v>
      </c>
      <c r="J32">
        <v>0.1</v>
      </c>
    </row>
    <row r="33" spans="1:10" x14ac:dyDescent="0.3">
      <c r="A33" s="4" t="s">
        <v>1277</v>
      </c>
      <c r="B33">
        <v>0.85</v>
      </c>
      <c r="C33">
        <v>2.52</v>
      </c>
      <c r="D33">
        <v>0.1</v>
      </c>
      <c r="E33">
        <v>0.8</v>
      </c>
      <c r="F33">
        <v>3.8661728585653775E-2</v>
      </c>
      <c r="G33" s="2"/>
      <c r="I33">
        <v>0.05</v>
      </c>
      <c r="J33">
        <v>0.1</v>
      </c>
    </row>
    <row r="34" spans="1:10" x14ac:dyDescent="0.3">
      <c r="A34" s="4" t="s">
        <v>1278</v>
      </c>
      <c r="B34">
        <v>0.85</v>
      </c>
      <c r="C34">
        <v>2.52</v>
      </c>
      <c r="D34">
        <v>0.1</v>
      </c>
      <c r="E34">
        <v>0.8</v>
      </c>
      <c r="F34">
        <v>3.8661728585653775E-2</v>
      </c>
      <c r="G34" s="2"/>
      <c r="I34">
        <v>0.05</v>
      </c>
      <c r="J34">
        <v>0.1</v>
      </c>
    </row>
    <row r="35" spans="1:10" x14ac:dyDescent="0.3">
      <c r="A35" s="4" t="s">
        <v>1279</v>
      </c>
      <c r="B35">
        <v>0.85</v>
      </c>
      <c r="C35">
        <v>2.52</v>
      </c>
      <c r="D35">
        <v>0.1</v>
      </c>
      <c r="E35">
        <v>0.8</v>
      </c>
      <c r="F35">
        <v>3.8661728585653775E-2</v>
      </c>
      <c r="G35" s="2"/>
      <c r="I35">
        <v>0.05</v>
      </c>
      <c r="J35">
        <v>0.1</v>
      </c>
    </row>
    <row r="36" spans="1:10" x14ac:dyDescent="0.3">
      <c r="A36" s="4" t="s">
        <v>1280</v>
      </c>
      <c r="B36">
        <v>0.85</v>
      </c>
      <c r="C36">
        <v>2.52</v>
      </c>
      <c r="D36">
        <v>0.1</v>
      </c>
      <c r="E36">
        <v>0.8</v>
      </c>
      <c r="F36">
        <v>3.8661728585653775E-2</v>
      </c>
      <c r="G36" s="2"/>
      <c r="I36">
        <v>0.05</v>
      </c>
      <c r="J36">
        <v>0.1</v>
      </c>
    </row>
    <row r="37" spans="1:10" x14ac:dyDescent="0.3">
      <c r="A37" s="4" t="s">
        <v>1281</v>
      </c>
      <c r="B37">
        <v>0.85</v>
      </c>
      <c r="C37">
        <v>2.52</v>
      </c>
      <c r="D37">
        <v>0.1</v>
      </c>
      <c r="E37">
        <v>0.8</v>
      </c>
      <c r="F37">
        <v>3.8661728585653775E-2</v>
      </c>
      <c r="G37" s="2"/>
      <c r="I37">
        <v>0.05</v>
      </c>
      <c r="J37">
        <v>0.1</v>
      </c>
    </row>
    <row r="38" spans="1:10" x14ac:dyDescent="0.3">
      <c r="A38" s="4" t="s">
        <v>1282</v>
      </c>
      <c r="B38">
        <v>0.85</v>
      </c>
      <c r="C38">
        <v>2.52</v>
      </c>
      <c r="D38">
        <v>0.1</v>
      </c>
      <c r="E38">
        <v>0.8</v>
      </c>
      <c r="F38">
        <v>3.8661728585653775E-2</v>
      </c>
      <c r="G38" s="2"/>
      <c r="I38">
        <v>0.05</v>
      </c>
      <c r="J38">
        <v>0.1</v>
      </c>
    </row>
    <row r="39" spans="1:10" x14ac:dyDescent="0.3">
      <c r="A39" s="4" t="s">
        <v>1445</v>
      </c>
      <c r="B39">
        <v>0.85</v>
      </c>
      <c r="C39">
        <v>2.52</v>
      </c>
      <c r="D39">
        <v>0.1</v>
      </c>
      <c r="E39">
        <v>0.8</v>
      </c>
      <c r="F39">
        <v>3.8661728585653775E-2</v>
      </c>
      <c r="G39" s="2"/>
      <c r="I39">
        <v>0.05</v>
      </c>
      <c r="J39">
        <v>0.1</v>
      </c>
    </row>
    <row r="40" spans="1:10" x14ac:dyDescent="0.3">
      <c r="A40" s="4" t="s">
        <v>1446</v>
      </c>
      <c r="B40">
        <v>0.85</v>
      </c>
      <c r="C40">
        <v>2.52</v>
      </c>
      <c r="D40">
        <v>0.1</v>
      </c>
      <c r="E40">
        <v>0.8</v>
      </c>
      <c r="F40">
        <v>3.8661728585653775E-2</v>
      </c>
      <c r="G40" s="2"/>
      <c r="I40">
        <v>0.05</v>
      </c>
      <c r="J40">
        <v>0.1</v>
      </c>
    </row>
    <row r="41" spans="1:10" x14ac:dyDescent="0.3">
      <c r="A41" s="4" t="s">
        <v>1447</v>
      </c>
      <c r="B41">
        <v>0.85</v>
      </c>
      <c r="C41">
        <v>2.52</v>
      </c>
      <c r="D41">
        <v>0.1</v>
      </c>
      <c r="E41">
        <v>0.8</v>
      </c>
      <c r="F41">
        <v>3.8661728585653775E-2</v>
      </c>
      <c r="G41" s="2"/>
      <c r="I41">
        <v>0.05</v>
      </c>
      <c r="J41">
        <v>0.1</v>
      </c>
    </row>
    <row r="42" spans="1:10" x14ac:dyDescent="0.3">
      <c r="A42" s="4" t="s">
        <v>1448</v>
      </c>
      <c r="B42">
        <v>0.85</v>
      </c>
      <c r="C42">
        <v>2.52</v>
      </c>
      <c r="D42">
        <v>0.1</v>
      </c>
      <c r="E42">
        <v>0.8</v>
      </c>
      <c r="F42">
        <v>3.8661728585653775E-2</v>
      </c>
      <c r="G42" s="2"/>
      <c r="I42">
        <v>0.05</v>
      </c>
      <c r="J42">
        <v>0.1</v>
      </c>
    </row>
    <row r="43" spans="1:10" x14ac:dyDescent="0.3">
      <c r="A43" s="4" t="s">
        <v>1284</v>
      </c>
      <c r="B43">
        <v>0.85</v>
      </c>
      <c r="C43">
        <v>2.52</v>
      </c>
      <c r="D43">
        <v>0.1</v>
      </c>
      <c r="E43">
        <v>0.8</v>
      </c>
      <c r="F43">
        <v>3.8661728585653775E-2</v>
      </c>
      <c r="G43" s="2"/>
      <c r="I43">
        <v>0.05</v>
      </c>
      <c r="J43">
        <v>0.1</v>
      </c>
    </row>
    <row r="44" spans="1:10" x14ac:dyDescent="0.3">
      <c r="A44" s="4" t="s">
        <v>1449</v>
      </c>
      <c r="B44">
        <v>0.85</v>
      </c>
      <c r="C44">
        <v>2.52</v>
      </c>
      <c r="D44">
        <v>0.1</v>
      </c>
      <c r="E44">
        <v>0.8</v>
      </c>
      <c r="F44">
        <v>3.8661728585653775E-2</v>
      </c>
      <c r="G44" s="2"/>
      <c r="I44">
        <v>0.05</v>
      </c>
      <c r="J44">
        <v>0.1</v>
      </c>
    </row>
    <row r="45" spans="1:10" x14ac:dyDescent="0.3">
      <c r="A45" s="4" t="s">
        <v>1450</v>
      </c>
      <c r="B45">
        <v>0.85</v>
      </c>
      <c r="C45">
        <v>2.52</v>
      </c>
      <c r="D45">
        <v>0.1</v>
      </c>
      <c r="E45">
        <v>0.8</v>
      </c>
      <c r="F45">
        <v>3.8661728585653775E-2</v>
      </c>
      <c r="G45" s="2"/>
      <c r="I45">
        <v>0.05</v>
      </c>
      <c r="J45">
        <v>0.1</v>
      </c>
    </row>
    <row r="46" spans="1:10" x14ac:dyDescent="0.3">
      <c r="A46" s="4" t="s">
        <v>1451</v>
      </c>
      <c r="B46">
        <v>0.85</v>
      </c>
      <c r="C46">
        <v>2.52</v>
      </c>
      <c r="D46">
        <v>0.1</v>
      </c>
      <c r="E46">
        <v>0.8</v>
      </c>
      <c r="F46">
        <v>3.8661728585653775E-2</v>
      </c>
      <c r="G46" s="2"/>
      <c r="I46">
        <v>0.05</v>
      </c>
      <c r="J46">
        <v>0.1</v>
      </c>
    </row>
    <row r="47" spans="1:10" x14ac:dyDescent="0.3">
      <c r="A47" s="4" t="s">
        <v>1452</v>
      </c>
      <c r="B47">
        <v>0.85</v>
      </c>
      <c r="C47">
        <v>2.52</v>
      </c>
      <c r="D47">
        <v>0.1</v>
      </c>
      <c r="E47">
        <v>0.8</v>
      </c>
      <c r="F47">
        <v>3.8661728585653775E-2</v>
      </c>
      <c r="G47" s="2"/>
      <c r="I47">
        <v>0.05</v>
      </c>
      <c r="J47">
        <v>0.1</v>
      </c>
    </row>
    <row r="48" spans="1:10" x14ac:dyDescent="0.3">
      <c r="A48" s="4" t="s">
        <v>1453</v>
      </c>
      <c r="B48">
        <v>0.85</v>
      </c>
      <c r="C48">
        <v>2.52</v>
      </c>
      <c r="D48">
        <v>0.1</v>
      </c>
      <c r="E48">
        <v>0.8</v>
      </c>
      <c r="F48">
        <v>3.8661728585653775E-2</v>
      </c>
      <c r="G48" s="2"/>
      <c r="I48">
        <v>0.05</v>
      </c>
      <c r="J48">
        <v>0.1</v>
      </c>
    </row>
    <row r="49" spans="1:10" x14ac:dyDescent="0.3">
      <c r="A49" s="4" t="s">
        <v>1454</v>
      </c>
      <c r="B49">
        <v>0.85</v>
      </c>
      <c r="C49">
        <v>2.52</v>
      </c>
      <c r="D49">
        <v>0.1</v>
      </c>
      <c r="E49">
        <v>0.8</v>
      </c>
      <c r="F49">
        <v>3.8661728585653775E-2</v>
      </c>
      <c r="G49" s="2"/>
      <c r="I49">
        <v>0.05</v>
      </c>
      <c r="J49">
        <v>0.1</v>
      </c>
    </row>
    <row r="50" spans="1:10" x14ac:dyDescent="0.3">
      <c r="A50" s="4" t="s">
        <v>1431</v>
      </c>
      <c r="B50">
        <v>0.85</v>
      </c>
      <c r="C50">
        <v>2.52</v>
      </c>
      <c r="D50">
        <v>0.1</v>
      </c>
      <c r="E50">
        <v>0.8</v>
      </c>
      <c r="F50">
        <v>3.8661728585653775E-2</v>
      </c>
      <c r="G50" s="2"/>
      <c r="I50">
        <v>0.05</v>
      </c>
      <c r="J50">
        <v>0.1</v>
      </c>
    </row>
    <row r="51" spans="1:10" x14ac:dyDescent="0.3">
      <c r="A51" s="4" t="s">
        <v>1432</v>
      </c>
      <c r="B51">
        <v>0.85</v>
      </c>
      <c r="C51">
        <v>2.52</v>
      </c>
      <c r="D51">
        <v>0.1</v>
      </c>
      <c r="E51">
        <v>0.8</v>
      </c>
      <c r="F51">
        <v>3.8661728585653775E-2</v>
      </c>
      <c r="G51" s="2"/>
      <c r="I51">
        <v>0.05</v>
      </c>
      <c r="J51">
        <v>0.1</v>
      </c>
    </row>
    <row r="52" spans="1:10" x14ac:dyDescent="0.3">
      <c r="A52" s="4" t="s">
        <v>1433</v>
      </c>
      <c r="B52">
        <v>0.85</v>
      </c>
      <c r="C52">
        <v>2.52</v>
      </c>
      <c r="D52">
        <v>0.1</v>
      </c>
      <c r="E52">
        <v>0.8</v>
      </c>
      <c r="F52">
        <v>3.8661728585653775E-2</v>
      </c>
      <c r="G52" s="2"/>
      <c r="I52">
        <v>0.05</v>
      </c>
      <c r="J52">
        <v>0.1</v>
      </c>
    </row>
    <row r="53" spans="1:10" x14ac:dyDescent="0.3">
      <c r="A53" s="4" t="s">
        <v>1434</v>
      </c>
      <c r="B53">
        <v>0.85</v>
      </c>
      <c r="C53">
        <v>2.52</v>
      </c>
      <c r="D53">
        <v>0.1</v>
      </c>
      <c r="E53">
        <v>0.8</v>
      </c>
      <c r="F53">
        <v>3.8661728585653775E-2</v>
      </c>
      <c r="G53" s="2"/>
      <c r="I53">
        <v>0.05</v>
      </c>
      <c r="J53">
        <v>0.1</v>
      </c>
    </row>
    <row r="54" spans="1:10" x14ac:dyDescent="0.3">
      <c r="A54" s="4" t="s">
        <v>1435</v>
      </c>
      <c r="B54">
        <v>0.85</v>
      </c>
      <c r="C54">
        <v>2.52</v>
      </c>
      <c r="D54">
        <v>0.1</v>
      </c>
      <c r="E54">
        <v>0.8</v>
      </c>
      <c r="F54">
        <v>3.8661728585653775E-2</v>
      </c>
      <c r="G54" s="2"/>
      <c r="I54">
        <v>0.05</v>
      </c>
      <c r="J54">
        <v>0.1</v>
      </c>
    </row>
    <row r="55" spans="1:10" x14ac:dyDescent="0.3">
      <c r="A55" s="4" t="s">
        <v>1436</v>
      </c>
      <c r="B55">
        <v>0.85</v>
      </c>
      <c r="C55">
        <v>2.52</v>
      </c>
      <c r="D55">
        <v>0.1</v>
      </c>
      <c r="E55">
        <v>0.8</v>
      </c>
      <c r="F55">
        <v>3.8661728585653775E-2</v>
      </c>
      <c r="G55" s="2"/>
      <c r="I55">
        <v>0.05</v>
      </c>
      <c r="J55">
        <v>0.1</v>
      </c>
    </row>
    <row r="56" spans="1:10" x14ac:dyDescent="0.3">
      <c r="A56" s="4" t="s">
        <v>1437</v>
      </c>
      <c r="B56">
        <v>0.85</v>
      </c>
      <c r="C56">
        <v>2.52</v>
      </c>
      <c r="D56">
        <v>0.1</v>
      </c>
      <c r="E56">
        <v>0.8</v>
      </c>
      <c r="F56">
        <v>3.8661728585653775E-2</v>
      </c>
      <c r="G56" s="2"/>
      <c r="I56">
        <v>0.05</v>
      </c>
      <c r="J56">
        <v>0.1</v>
      </c>
    </row>
    <row r="57" spans="1:10" x14ac:dyDescent="0.3">
      <c r="A57" s="4" t="s">
        <v>1438</v>
      </c>
      <c r="B57">
        <v>0.85</v>
      </c>
      <c r="C57">
        <v>2.52</v>
      </c>
      <c r="D57">
        <v>0.1</v>
      </c>
      <c r="E57">
        <v>0.8</v>
      </c>
      <c r="F57">
        <v>3.8661728585653775E-2</v>
      </c>
      <c r="G57" s="2"/>
      <c r="I57">
        <v>0.05</v>
      </c>
      <c r="J57">
        <v>0.1</v>
      </c>
    </row>
    <row r="58" spans="1:10" x14ac:dyDescent="0.3">
      <c r="A58" s="4" t="s">
        <v>1439</v>
      </c>
      <c r="B58">
        <v>0.85</v>
      </c>
      <c r="C58">
        <v>2.52</v>
      </c>
      <c r="D58">
        <v>0.1</v>
      </c>
      <c r="E58">
        <v>0.8</v>
      </c>
      <c r="F58">
        <v>3.8661728585653775E-2</v>
      </c>
      <c r="G58" s="2"/>
      <c r="I58">
        <v>0.05</v>
      </c>
      <c r="J58">
        <v>0.1</v>
      </c>
    </row>
    <row r="59" spans="1:10" x14ac:dyDescent="0.3">
      <c r="A59" s="4" t="s">
        <v>1440</v>
      </c>
      <c r="B59">
        <v>0.85</v>
      </c>
      <c r="C59">
        <v>2.52</v>
      </c>
      <c r="D59">
        <v>0.1</v>
      </c>
      <c r="E59">
        <v>0.8</v>
      </c>
      <c r="F59">
        <v>3.8661728585653775E-2</v>
      </c>
      <c r="G59" s="2"/>
      <c r="I59">
        <v>0.05</v>
      </c>
      <c r="J59">
        <v>0.1</v>
      </c>
    </row>
    <row r="60" spans="1:10" x14ac:dyDescent="0.3">
      <c r="A60" s="4" t="s">
        <v>1441</v>
      </c>
      <c r="B60">
        <v>0.85</v>
      </c>
      <c r="C60">
        <v>2.52</v>
      </c>
      <c r="D60">
        <v>0.1</v>
      </c>
      <c r="E60">
        <v>0.8</v>
      </c>
      <c r="F60">
        <v>3.8661728585653775E-2</v>
      </c>
      <c r="G60" s="2"/>
      <c r="I60">
        <v>0.05</v>
      </c>
      <c r="J60">
        <v>0.1</v>
      </c>
    </row>
    <row r="61" spans="1:10" x14ac:dyDescent="0.3">
      <c r="A61" s="4" t="s">
        <v>1442</v>
      </c>
      <c r="B61">
        <v>0.85</v>
      </c>
      <c r="C61">
        <v>2.52</v>
      </c>
      <c r="D61">
        <v>0.1</v>
      </c>
      <c r="E61">
        <v>0.8</v>
      </c>
      <c r="F61">
        <v>3.8661728585653775E-2</v>
      </c>
      <c r="G61" s="2"/>
      <c r="I61">
        <v>0.05</v>
      </c>
      <c r="J61">
        <v>0.1</v>
      </c>
    </row>
    <row r="62" spans="1:10" x14ac:dyDescent="0.3">
      <c r="A62" s="4" t="s">
        <v>1443</v>
      </c>
      <c r="B62">
        <v>0.85</v>
      </c>
      <c r="C62">
        <v>2.52</v>
      </c>
      <c r="D62">
        <v>0.1</v>
      </c>
      <c r="E62">
        <v>0.8</v>
      </c>
      <c r="F62">
        <v>3.8661728585653775E-2</v>
      </c>
      <c r="G62" s="2"/>
      <c r="I62">
        <v>0.05</v>
      </c>
      <c r="J62">
        <v>0.1</v>
      </c>
    </row>
    <row r="63" spans="1:10" x14ac:dyDescent="0.3">
      <c r="A63" s="4" t="s">
        <v>1444</v>
      </c>
      <c r="B63">
        <v>0.85</v>
      </c>
      <c r="C63">
        <v>2.52</v>
      </c>
      <c r="D63">
        <v>0.1</v>
      </c>
      <c r="E63">
        <v>0.8</v>
      </c>
      <c r="F63">
        <v>3.8661728585653775E-2</v>
      </c>
      <c r="G63" s="2"/>
      <c r="I63">
        <v>0.05</v>
      </c>
      <c r="J63">
        <v>0.1</v>
      </c>
    </row>
    <row r="64" spans="1:10" x14ac:dyDescent="0.3">
      <c r="A64" s="4" t="s">
        <v>1289</v>
      </c>
      <c r="B64">
        <v>0.85</v>
      </c>
      <c r="C64">
        <v>2.52</v>
      </c>
      <c r="D64">
        <v>0.1</v>
      </c>
      <c r="E64">
        <v>0.8</v>
      </c>
      <c r="F64">
        <v>3.8661728585653775E-2</v>
      </c>
      <c r="G64" s="2"/>
      <c r="I64">
        <v>0.05</v>
      </c>
      <c r="J64">
        <v>0.1</v>
      </c>
    </row>
    <row r="65" spans="1:10" x14ac:dyDescent="0.3">
      <c r="A65" s="4" t="s">
        <v>1290</v>
      </c>
      <c r="B65">
        <v>0.85</v>
      </c>
      <c r="C65">
        <v>2.52</v>
      </c>
      <c r="D65">
        <v>0.1</v>
      </c>
      <c r="E65">
        <v>0.8</v>
      </c>
      <c r="F65">
        <v>3.8661728585653775E-2</v>
      </c>
      <c r="G65" s="2"/>
      <c r="I65">
        <v>0.05</v>
      </c>
      <c r="J65">
        <v>0.1</v>
      </c>
    </row>
    <row r="66" spans="1:10" x14ac:dyDescent="0.3">
      <c r="A66" s="4" t="s">
        <v>1291</v>
      </c>
      <c r="B66">
        <v>0.85</v>
      </c>
      <c r="C66">
        <v>2.52</v>
      </c>
      <c r="D66">
        <v>0.1</v>
      </c>
      <c r="E66">
        <v>0.8</v>
      </c>
      <c r="F66">
        <v>3.8661728585653775E-2</v>
      </c>
      <c r="G66" s="2"/>
      <c r="I66">
        <v>0.05</v>
      </c>
      <c r="J66">
        <v>0.1</v>
      </c>
    </row>
    <row r="67" spans="1:10" x14ac:dyDescent="0.3">
      <c r="A67" s="4" t="s">
        <v>1292</v>
      </c>
      <c r="B67">
        <v>0.85</v>
      </c>
      <c r="C67">
        <v>2.52</v>
      </c>
      <c r="D67">
        <v>0.1</v>
      </c>
      <c r="E67">
        <v>0.8</v>
      </c>
      <c r="F67">
        <v>3.8661728585653775E-2</v>
      </c>
      <c r="G67" s="2"/>
      <c r="I67">
        <v>0.05</v>
      </c>
      <c r="J67">
        <v>0.1</v>
      </c>
    </row>
    <row r="68" spans="1:10" x14ac:dyDescent="0.3">
      <c r="A68" s="4" t="s">
        <v>1293</v>
      </c>
      <c r="B68">
        <v>0.85</v>
      </c>
      <c r="C68">
        <v>2.52</v>
      </c>
      <c r="D68">
        <v>0.1</v>
      </c>
      <c r="E68">
        <v>0.8</v>
      </c>
      <c r="F68">
        <v>3.8661728585653775E-2</v>
      </c>
      <c r="G68" s="2"/>
      <c r="I68">
        <v>0.05</v>
      </c>
      <c r="J68">
        <v>0.1</v>
      </c>
    </row>
    <row r="69" spans="1:10" x14ac:dyDescent="0.3">
      <c r="A69" s="4" t="s">
        <v>1294</v>
      </c>
      <c r="B69">
        <v>0.85</v>
      </c>
      <c r="C69">
        <v>2.52</v>
      </c>
      <c r="D69">
        <v>0.1</v>
      </c>
      <c r="E69">
        <v>0.8</v>
      </c>
      <c r="F69">
        <v>3.8661728585653775E-2</v>
      </c>
      <c r="G69" s="2"/>
      <c r="I69">
        <v>0.05</v>
      </c>
      <c r="J69">
        <v>0.1</v>
      </c>
    </row>
    <row r="70" spans="1:10" x14ac:dyDescent="0.3">
      <c r="A70" s="4" t="s">
        <v>1295</v>
      </c>
      <c r="B70">
        <v>0.85</v>
      </c>
      <c r="C70">
        <v>2.52</v>
      </c>
      <c r="D70">
        <v>0.1</v>
      </c>
      <c r="E70">
        <v>0.8</v>
      </c>
      <c r="F70">
        <v>3.8661728585653775E-2</v>
      </c>
      <c r="G70" s="2"/>
      <c r="I70">
        <v>0.05</v>
      </c>
      <c r="J70">
        <v>0.1</v>
      </c>
    </row>
    <row r="71" spans="1:10" x14ac:dyDescent="0.3">
      <c r="A71" s="4" t="s">
        <v>283</v>
      </c>
      <c r="B71">
        <v>0.85</v>
      </c>
      <c r="C71">
        <v>2.52</v>
      </c>
      <c r="D71">
        <v>0.1</v>
      </c>
      <c r="E71">
        <v>0.8</v>
      </c>
      <c r="F71">
        <v>3.8661728585653775E-2</v>
      </c>
      <c r="G71" s="2"/>
      <c r="I71">
        <v>0.05</v>
      </c>
      <c r="J71">
        <v>0.1</v>
      </c>
    </row>
    <row r="72" spans="1:10" x14ac:dyDescent="0.3">
      <c r="A72" s="4" t="s">
        <v>659</v>
      </c>
      <c r="B72">
        <v>0.85</v>
      </c>
      <c r="C72">
        <v>2.52</v>
      </c>
      <c r="D72">
        <v>0.1</v>
      </c>
      <c r="E72">
        <v>0.8</v>
      </c>
      <c r="F72">
        <v>2.8996296439240326E-2</v>
      </c>
      <c r="G72" s="2"/>
      <c r="I72">
        <v>0.05</v>
      </c>
      <c r="J72">
        <v>0.1</v>
      </c>
    </row>
    <row r="73" spans="1:10" x14ac:dyDescent="0.3">
      <c r="A73" s="116" t="s">
        <v>660</v>
      </c>
      <c r="B73">
        <v>0.85</v>
      </c>
      <c r="C73">
        <v>2.52</v>
      </c>
      <c r="D73">
        <v>0.1</v>
      </c>
      <c r="E73">
        <v>0.8</v>
      </c>
      <c r="F73">
        <v>2.8996296439240326E-2</v>
      </c>
      <c r="G73" s="2"/>
      <c r="I73">
        <v>0.05</v>
      </c>
      <c r="J73">
        <v>0.1</v>
      </c>
    </row>
    <row r="74" spans="1:10" x14ac:dyDescent="0.3">
      <c r="A74" s="4" t="s">
        <v>661</v>
      </c>
      <c r="B74">
        <v>0.85</v>
      </c>
      <c r="C74">
        <v>2.52</v>
      </c>
      <c r="D74">
        <v>0.1</v>
      </c>
      <c r="E74">
        <v>0.8</v>
      </c>
      <c r="F74">
        <v>2.8996296439240326E-2</v>
      </c>
      <c r="G74" s="2"/>
      <c r="I74">
        <v>0.05</v>
      </c>
      <c r="J74">
        <v>0.1</v>
      </c>
    </row>
    <row r="75" spans="1:10" x14ac:dyDescent="0.3">
      <c r="A75" s="4" t="s">
        <v>662</v>
      </c>
      <c r="B75">
        <v>0.85</v>
      </c>
      <c r="C75">
        <v>2.52</v>
      </c>
      <c r="D75">
        <v>0.1</v>
      </c>
      <c r="E75">
        <v>0.8</v>
      </c>
      <c r="F75">
        <v>2.8996296439240326E-2</v>
      </c>
      <c r="G75" s="2"/>
      <c r="I75">
        <v>0.05</v>
      </c>
      <c r="J75">
        <v>0.1</v>
      </c>
    </row>
    <row r="76" spans="1:10" x14ac:dyDescent="0.3">
      <c r="A76" s="4" t="s">
        <v>663</v>
      </c>
      <c r="B76">
        <v>0.85</v>
      </c>
      <c r="C76">
        <v>2.52</v>
      </c>
      <c r="D76">
        <v>0.1</v>
      </c>
      <c r="E76">
        <v>0.8</v>
      </c>
      <c r="F76">
        <v>2.8996296439240326E-2</v>
      </c>
      <c r="G76" s="2"/>
      <c r="I76">
        <v>0.05</v>
      </c>
      <c r="J76">
        <v>0.1</v>
      </c>
    </row>
    <row r="77" spans="1:10" x14ac:dyDescent="0.3">
      <c r="A77" s="4" t="s">
        <v>664</v>
      </c>
      <c r="B77">
        <v>0.85</v>
      </c>
      <c r="C77">
        <v>2.52</v>
      </c>
      <c r="D77">
        <v>0.1</v>
      </c>
      <c r="E77">
        <v>0.8</v>
      </c>
      <c r="F77">
        <v>2.8996296439240326E-2</v>
      </c>
      <c r="G77" s="2"/>
      <c r="I77">
        <v>0.05</v>
      </c>
      <c r="J77">
        <v>0.1</v>
      </c>
    </row>
    <row r="78" spans="1:10" x14ac:dyDescent="0.3">
      <c r="A78" s="4" t="s">
        <v>665</v>
      </c>
      <c r="B78">
        <v>0.85</v>
      </c>
      <c r="C78">
        <v>2.52</v>
      </c>
      <c r="D78">
        <v>0.1</v>
      </c>
      <c r="E78">
        <v>0.8</v>
      </c>
      <c r="F78">
        <v>2.8996296439240326E-2</v>
      </c>
      <c r="G78" s="2"/>
      <c r="I78">
        <v>0.05</v>
      </c>
      <c r="J78">
        <v>0.1</v>
      </c>
    </row>
    <row r="79" spans="1:10" x14ac:dyDescent="0.3">
      <c r="A79" s="4" t="s">
        <v>250</v>
      </c>
      <c r="B79">
        <v>0.85</v>
      </c>
      <c r="C79">
        <v>2.52</v>
      </c>
      <c r="D79">
        <v>0.1</v>
      </c>
      <c r="E79">
        <v>0.8</v>
      </c>
      <c r="F79">
        <v>2.8996296439240326E-2</v>
      </c>
      <c r="G79" s="2"/>
      <c r="I79">
        <v>0.05</v>
      </c>
      <c r="J79">
        <v>0.1</v>
      </c>
    </row>
    <row r="80" spans="1:10" x14ac:dyDescent="0.3">
      <c r="A80" s="4" t="s">
        <v>257</v>
      </c>
      <c r="B80">
        <v>0.85</v>
      </c>
      <c r="C80">
        <v>2.52</v>
      </c>
      <c r="D80">
        <v>0.1</v>
      </c>
      <c r="E80">
        <v>0.8</v>
      </c>
      <c r="F80">
        <v>2.8996296439240326E-2</v>
      </c>
      <c r="G80" s="2"/>
      <c r="I80">
        <v>0.05</v>
      </c>
      <c r="J80">
        <v>0.1</v>
      </c>
    </row>
    <row r="81" spans="1:10" x14ac:dyDescent="0.3">
      <c r="A81" s="4" t="s">
        <v>666</v>
      </c>
      <c r="B81">
        <v>0.85</v>
      </c>
      <c r="C81">
        <v>2.52</v>
      </c>
      <c r="D81">
        <v>0.1</v>
      </c>
      <c r="E81">
        <v>0.8</v>
      </c>
      <c r="F81">
        <v>2.8996296439240326E-2</v>
      </c>
      <c r="G81" s="2"/>
      <c r="I81">
        <v>0.05</v>
      </c>
      <c r="J81">
        <v>0.1</v>
      </c>
    </row>
    <row r="82" spans="1:10" x14ac:dyDescent="0.3">
      <c r="A82" s="4" t="s">
        <v>263</v>
      </c>
      <c r="B82">
        <v>0.85</v>
      </c>
      <c r="C82">
        <v>2.52</v>
      </c>
      <c r="D82">
        <v>0.1</v>
      </c>
      <c r="E82">
        <v>0.8</v>
      </c>
      <c r="F82">
        <v>2.8996296439240326E-2</v>
      </c>
      <c r="G82" s="2"/>
      <c r="I82">
        <v>0.05</v>
      </c>
      <c r="J82">
        <v>0.1</v>
      </c>
    </row>
    <row r="83" spans="1:10" x14ac:dyDescent="0.3">
      <c r="A83" s="4" t="s">
        <v>1296</v>
      </c>
      <c r="B83">
        <v>0.85</v>
      </c>
      <c r="C83">
        <v>2.52</v>
      </c>
      <c r="D83">
        <v>0.1</v>
      </c>
      <c r="E83">
        <v>0.8</v>
      </c>
      <c r="F83">
        <v>3.8661728585653775E-2</v>
      </c>
      <c r="G83" s="2"/>
      <c r="I83">
        <v>0.05</v>
      </c>
      <c r="J83">
        <v>0.1</v>
      </c>
    </row>
    <row r="84" spans="1:10" x14ac:dyDescent="0.3">
      <c r="A84" s="4" t="s">
        <v>1297</v>
      </c>
      <c r="B84">
        <v>0.85</v>
      </c>
      <c r="C84">
        <v>2.52</v>
      </c>
      <c r="D84">
        <v>0.1</v>
      </c>
      <c r="E84">
        <v>0.8</v>
      </c>
      <c r="F84">
        <v>3.8661728585653775E-2</v>
      </c>
      <c r="G84" s="2"/>
      <c r="I84">
        <v>0.05</v>
      </c>
      <c r="J84">
        <v>0.1</v>
      </c>
    </row>
    <row r="85" spans="1:10" x14ac:dyDescent="0.3">
      <c r="A85" s="4" t="s">
        <v>1298</v>
      </c>
      <c r="B85">
        <v>1.1499999999999999</v>
      </c>
      <c r="C85">
        <v>2.8</v>
      </c>
      <c r="D85">
        <v>0.1</v>
      </c>
      <c r="E85">
        <v>0.8</v>
      </c>
      <c r="F85">
        <v>3.8661728585653775E-2</v>
      </c>
      <c r="G85" s="2"/>
      <c r="I85">
        <v>0.05</v>
      </c>
      <c r="J85">
        <v>0.1</v>
      </c>
    </row>
    <row r="86" spans="1:10" x14ac:dyDescent="0.3">
      <c r="A86" s="4" t="s">
        <v>1299</v>
      </c>
      <c r="B86">
        <v>1.26</v>
      </c>
      <c r="C86">
        <v>3.36</v>
      </c>
      <c r="D86">
        <v>0.1</v>
      </c>
      <c r="E86">
        <v>0.8</v>
      </c>
      <c r="F86">
        <v>3.8661728585653775E-2</v>
      </c>
      <c r="G86" s="2"/>
      <c r="I86">
        <v>0.05</v>
      </c>
      <c r="J86">
        <v>0.1</v>
      </c>
    </row>
    <row r="87" spans="1:10" x14ac:dyDescent="0.3">
      <c r="A87" s="4" t="s">
        <v>1300</v>
      </c>
      <c r="B87">
        <v>1.26</v>
      </c>
      <c r="C87">
        <v>3.36</v>
      </c>
      <c r="D87">
        <v>0.1</v>
      </c>
      <c r="E87">
        <v>0.8</v>
      </c>
      <c r="F87">
        <v>3.8661728585653775E-2</v>
      </c>
      <c r="G87" s="2"/>
      <c r="I87">
        <v>0.05</v>
      </c>
      <c r="J87">
        <v>0.1</v>
      </c>
    </row>
    <row r="88" spans="1:10" x14ac:dyDescent="0.3">
      <c r="A88" s="4" t="s">
        <v>1301</v>
      </c>
      <c r="B88">
        <v>1.26</v>
      </c>
      <c r="C88">
        <v>3.36</v>
      </c>
      <c r="D88">
        <v>0.1</v>
      </c>
      <c r="E88">
        <v>0.8</v>
      </c>
      <c r="F88">
        <v>3.8661728585653775E-2</v>
      </c>
      <c r="G88" s="2" t="s">
        <v>1302</v>
      </c>
      <c r="I88">
        <v>0.05</v>
      </c>
      <c r="J88">
        <v>0.1</v>
      </c>
    </row>
    <row r="89" spans="1:10" x14ac:dyDescent="0.3">
      <c r="A89" s="4" t="s">
        <v>1303</v>
      </c>
      <c r="B89">
        <v>1.26</v>
      </c>
      <c r="C89">
        <v>3.36</v>
      </c>
      <c r="D89">
        <v>0.1</v>
      </c>
      <c r="E89">
        <v>0.8</v>
      </c>
      <c r="F89">
        <v>3.8661728585653775E-2</v>
      </c>
      <c r="G89" s="2"/>
      <c r="I89">
        <v>0.05</v>
      </c>
      <c r="J89">
        <v>0.1</v>
      </c>
    </row>
    <row r="90" spans="1:10" x14ac:dyDescent="0.3">
      <c r="A90" s="4" t="s">
        <v>1304</v>
      </c>
      <c r="B90">
        <v>1.26</v>
      </c>
      <c r="C90">
        <v>3.36</v>
      </c>
      <c r="D90">
        <v>0.1</v>
      </c>
      <c r="E90">
        <v>0.8</v>
      </c>
      <c r="F90">
        <v>3.8661728585653775E-2</v>
      </c>
      <c r="G90" s="2"/>
      <c r="I90">
        <v>0.05</v>
      </c>
      <c r="J90">
        <v>0.1</v>
      </c>
    </row>
    <row r="91" spans="1:10" x14ac:dyDescent="0.3">
      <c r="A91" s="4" t="s">
        <v>1305</v>
      </c>
      <c r="B91">
        <v>1.26</v>
      </c>
      <c r="C91">
        <v>3.36</v>
      </c>
      <c r="D91">
        <v>0.1</v>
      </c>
      <c r="E91">
        <v>0.8</v>
      </c>
      <c r="F91">
        <v>3.8661728585653775E-2</v>
      </c>
      <c r="G91" s="2"/>
      <c r="I91">
        <v>0.05</v>
      </c>
      <c r="J91">
        <v>0.1</v>
      </c>
    </row>
    <row r="92" spans="1:10" x14ac:dyDescent="0.3">
      <c r="A92" s="4" t="s">
        <v>1306</v>
      </c>
      <c r="B92">
        <v>0.85</v>
      </c>
      <c r="C92">
        <v>2.52</v>
      </c>
      <c r="D92">
        <v>0.1</v>
      </c>
      <c r="E92">
        <v>0.8</v>
      </c>
      <c r="F92">
        <v>3.8661728585653775E-2</v>
      </c>
      <c r="G92" s="2"/>
      <c r="I92">
        <v>0.05</v>
      </c>
      <c r="J92">
        <v>0.1</v>
      </c>
    </row>
    <row r="93" spans="1:10" x14ac:dyDescent="0.3">
      <c r="A93" s="4" t="s">
        <v>1307</v>
      </c>
      <c r="B93">
        <v>0.85</v>
      </c>
      <c r="C93">
        <v>2.52</v>
      </c>
      <c r="D93">
        <v>0.1</v>
      </c>
      <c r="E93">
        <v>0.8</v>
      </c>
      <c r="F93">
        <v>3.8661728585653775E-2</v>
      </c>
      <c r="G93" s="2"/>
      <c r="I93">
        <v>0.05</v>
      </c>
      <c r="J93">
        <v>0.1</v>
      </c>
    </row>
    <row r="94" spans="1:10" x14ac:dyDescent="0.3">
      <c r="A94" s="4" t="s">
        <v>1308</v>
      </c>
      <c r="B94">
        <v>0.85</v>
      </c>
      <c r="C94">
        <v>2.52</v>
      </c>
      <c r="D94">
        <v>0.1</v>
      </c>
      <c r="E94">
        <v>0.8</v>
      </c>
      <c r="F94">
        <v>3.8661728585653775E-2</v>
      </c>
      <c r="G94" s="2"/>
      <c r="I94">
        <v>0.05</v>
      </c>
      <c r="J94">
        <v>0.1</v>
      </c>
    </row>
    <row r="95" spans="1:10" x14ac:dyDescent="0.3">
      <c r="A95" s="4" t="s">
        <v>1309</v>
      </c>
      <c r="B95">
        <v>0.85</v>
      </c>
      <c r="C95">
        <v>2.52</v>
      </c>
      <c r="D95">
        <v>0.1</v>
      </c>
      <c r="E95">
        <v>0.8</v>
      </c>
      <c r="F95">
        <v>3.8661728585653775E-2</v>
      </c>
      <c r="G95" s="2"/>
      <c r="I95">
        <v>0.05</v>
      </c>
      <c r="J95">
        <v>0.1</v>
      </c>
    </row>
    <row r="96" spans="1:10" x14ac:dyDescent="0.3">
      <c r="A96" s="4" t="s">
        <v>1310</v>
      </c>
      <c r="B96">
        <v>0.85</v>
      </c>
      <c r="C96">
        <v>2.52</v>
      </c>
      <c r="D96">
        <v>0.1</v>
      </c>
      <c r="E96">
        <v>0.8</v>
      </c>
      <c r="F96">
        <v>3.8661728585653775E-2</v>
      </c>
      <c r="G96" s="2"/>
      <c r="I96">
        <v>0.05</v>
      </c>
      <c r="J96">
        <v>0.1</v>
      </c>
    </row>
    <row r="97" spans="1:10" x14ac:dyDescent="0.3">
      <c r="A97" s="4" t="s">
        <v>1311</v>
      </c>
      <c r="B97">
        <v>0.85</v>
      </c>
      <c r="C97">
        <v>2.52</v>
      </c>
      <c r="D97">
        <v>0.1</v>
      </c>
      <c r="E97">
        <v>0.8</v>
      </c>
      <c r="F97">
        <v>3.8661728585653775E-2</v>
      </c>
      <c r="G97" s="2"/>
      <c r="I97">
        <v>0.05</v>
      </c>
      <c r="J97">
        <v>0.1</v>
      </c>
    </row>
    <row r="98" spans="1:10" x14ac:dyDescent="0.3">
      <c r="A98" s="4" t="s">
        <v>1312</v>
      </c>
      <c r="B98">
        <v>0.85</v>
      </c>
      <c r="C98">
        <v>2.52</v>
      </c>
      <c r="D98">
        <v>0.1</v>
      </c>
      <c r="E98">
        <v>0.8</v>
      </c>
      <c r="F98">
        <v>3.8661728585653775E-2</v>
      </c>
      <c r="G98" s="2"/>
      <c r="I98">
        <v>0.05</v>
      </c>
      <c r="J98">
        <v>0.1</v>
      </c>
    </row>
    <row r="99" spans="1:10" x14ac:dyDescent="0.3">
      <c r="A99" s="4" t="s">
        <v>1313</v>
      </c>
      <c r="B99">
        <v>0.85</v>
      </c>
      <c r="C99">
        <v>2.52</v>
      </c>
      <c r="D99">
        <v>0.1</v>
      </c>
      <c r="E99">
        <v>0.8</v>
      </c>
      <c r="F99">
        <v>3.8661728585653775E-2</v>
      </c>
      <c r="G99" s="2"/>
      <c r="I99">
        <v>0.05</v>
      </c>
      <c r="J99">
        <v>0.1</v>
      </c>
    </row>
    <row r="100" spans="1:10" x14ac:dyDescent="0.3">
      <c r="A100" s="4" t="s">
        <v>1314</v>
      </c>
      <c r="B100">
        <v>0.85</v>
      </c>
      <c r="C100">
        <v>2.52</v>
      </c>
      <c r="D100">
        <v>0.1</v>
      </c>
      <c r="E100">
        <v>0.8</v>
      </c>
      <c r="F100">
        <v>3.8661728585653775E-2</v>
      </c>
      <c r="G100" s="2"/>
      <c r="I100">
        <v>0.05</v>
      </c>
      <c r="J100">
        <v>0.1</v>
      </c>
    </row>
    <row r="101" spans="1:10" x14ac:dyDescent="0.3">
      <c r="A101" s="4" t="s">
        <v>1315</v>
      </c>
      <c r="B101">
        <v>0.85</v>
      </c>
      <c r="C101">
        <v>2.52</v>
      </c>
      <c r="D101">
        <v>0.1</v>
      </c>
      <c r="E101">
        <v>0.8</v>
      </c>
      <c r="F101">
        <v>3.8661728585653775E-2</v>
      </c>
      <c r="G101" s="2"/>
      <c r="I101">
        <v>0.05</v>
      </c>
      <c r="J101">
        <v>0.1</v>
      </c>
    </row>
    <row r="102" spans="1:10" x14ac:dyDescent="0.3">
      <c r="A102" s="4" t="s">
        <v>1166</v>
      </c>
      <c r="B102">
        <v>0.19580400000000003</v>
      </c>
      <c r="C102">
        <v>0.52214400000000005</v>
      </c>
      <c r="D102">
        <v>0.1</v>
      </c>
      <c r="E102">
        <v>0.8</v>
      </c>
      <c r="F102">
        <v>9.6654321464134427E-2</v>
      </c>
      <c r="G102" s="2"/>
      <c r="H102">
        <v>42030.990666666665</v>
      </c>
      <c r="I102">
        <v>0.05</v>
      </c>
      <c r="J102">
        <v>0.1</v>
      </c>
    </row>
    <row r="103" spans="1:10" x14ac:dyDescent="0.3">
      <c r="A103" s="4" t="s">
        <v>1174</v>
      </c>
      <c r="B103">
        <v>1.26</v>
      </c>
      <c r="C103">
        <v>3.36</v>
      </c>
      <c r="D103">
        <v>0.1</v>
      </c>
      <c r="E103">
        <v>0.8</v>
      </c>
      <c r="F103">
        <v>3.8661728585653775E-2</v>
      </c>
      <c r="G103" s="2" t="s">
        <v>1302</v>
      </c>
      <c r="I103">
        <v>0.05</v>
      </c>
      <c r="J103">
        <v>0.1</v>
      </c>
    </row>
    <row r="104" spans="1:10" x14ac:dyDescent="0.3">
      <c r="A104" s="4" t="s">
        <v>1118</v>
      </c>
      <c r="B104">
        <v>0.85</v>
      </c>
      <c r="C104">
        <v>2.52</v>
      </c>
      <c r="D104">
        <v>0.1</v>
      </c>
      <c r="E104">
        <v>0.8</v>
      </c>
      <c r="F104">
        <v>0.04</v>
      </c>
      <c r="G104" s="2"/>
      <c r="I104">
        <v>0.05</v>
      </c>
      <c r="J104">
        <v>0.1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0"/>
  <sheetViews>
    <sheetView topLeftCell="A19" workbookViewId="0">
      <selection activeCell="A40" sqref="A40"/>
    </sheetView>
  </sheetViews>
  <sheetFormatPr baseColWidth="10" defaultColWidth="8.88671875" defaultRowHeight="14.4" x14ac:dyDescent="0.3"/>
  <sheetData>
    <row r="1" spans="1:10" x14ac:dyDescent="0.3">
      <c r="B1" s="23" t="s">
        <v>14</v>
      </c>
      <c r="C1" s="23" t="s">
        <v>13</v>
      </c>
      <c r="D1" s="23" t="s">
        <v>405</v>
      </c>
      <c r="E1" s="23" t="s">
        <v>18</v>
      </c>
      <c r="F1" s="23" t="s">
        <v>29</v>
      </c>
      <c r="G1" s="23" t="s">
        <v>30</v>
      </c>
      <c r="H1" s="23" t="s">
        <v>895</v>
      </c>
      <c r="I1" t="s">
        <v>890</v>
      </c>
      <c r="J1" t="s">
        <v>892</v>
      </c>
    </row>
    <row r="2" spans="1:10" x14ac:dyDescent="0.3">
      <c r="A2" t="s">
        <v>673</v>
      </c>
      <c r="B2" s="23"/>
      <c r="C2">
        <v>5.05</v>
      </c>
      <c r="D2">
        <v>5.05</v>
      </c>
      <c r="E2" s="23"/>
      <c r="F2" s="23"/>
      <c r="G2" s="23"/>
      <c r="H2">
        <v>0.4</v>
      </c>
    </row>
    <row r="3" spans="1:10" x14ac:dyDescent="0.3">
      <c r="A3" t="s">
        <v>674</v>
      </c>
      <c r="B3" s="1"/>
      <c r="C3">
        <v>4.45</v>
      </c>
      <c r="D3">
        <v>4.45</v>
      </c>
      <c r="H3">
        <v>0.4</v>
      </c>
    </row>
    <row r="4" spans="1:10" x14ac:dyDescent="0.3">
      <c r="A4" t="s">
        <v>675</v>
      </c>
      <c r="B4" s="1"/>
      <c r="C4">
        <v>1.3</v>
      </c>
      <c r="D4">
        <v>1.3</v>
      </c>
      <c r="H4">
        <v>0.4</v>
      </c>
    </row>
    <row r="5" spans="1:10" x14ac:dyDescent="0.3">
      <c r="A5" t="s">
        <v>676</v>
      </c>
      <c r="B5" s="1"/>
      <c r="C5">
        <v>1.85</v>
      </c>
      <c r="D5">
        <v>1.85</v>
      </c>
      <c r="H5">
        <v>0.4</v>
      </c>
    </row>
    <row r="6" spans="1:10" x14ac:dyDescent="0.3">
      <c r="A6" t="s">
        <v>677</v>
      </c>
      <c r="B6" s="1"/>
      <c r="C6">
        <v>2.4500000000000002</v>
      </c>
      <c r="D6">
        <v>2.4500000000000002</v>
      </c>
      <c r="H6">
        <v>0.4</v>
      </c>
    </row>
    <row r="7" spans="1:10" x14ac:dyDescent="0.3">
      <c r="A7" t="s">
        <v>678</v>
      </c>
      <c r="B7" s="1"/>
      <c r="C7">
        <v>2.7</v>
      </c>
      <c r="D7">
        <v>2.7</v>
      </c>
      <c r="H7">
        <v>0.4</v>
      </c>
    </row>
    <row r="8" spans="1:10" x14ac:dyDescent="0.3">
      <c r="A8" t="s">
        <v>679</v>
      </c>
      <c r="B8" s="1"/>
      <c r="C8">
        <v>2.5</v>
      </c>
      <c r="D8">
        <v>2.5</v>
      </c>
      <c r="H8">
        <v>0.4</v>
      </c>
    </row>
    <row r="9" spans="1:10" x14ac:dyDescent="0.3">
      <c r="A9" t="s">
        <v>680</v>
      </c>
      <c r="B9" s="1"/>
      <c r="C9">
        <v>3.25</v>
      </c>
      <c r="D9">
        <v>3.25</v>
      </c>
      <c r="H9">
        <v>0.4</v>
      </c>
    </row>
    <row r="10" spans="1:10" x14ac:dyDescent="0.3">
      <c r="A10" t="s">
        <v>681</v>
      </c>
      <c r="B10" s="1"/>
      <c r="C10">
        <v>2</v>
      </c>
      <c r="D10">
        <v>2</v>
      </c>
    </row>
    <row r="11" spans="1:10" x14ac:dyDescent="0.3">
      <c r="A11" t="s">
        <v>682</v>
      </c>
      <c r="B11" s="1"/>
      <c r="C11">
        <v>1.3</v>
      </c>
      <c r="D11">
        <v>1.3</v>
      </c>
    </row>
    <row r="12" spans="1:10" x14ac:dyDescent="0.3">
      <c r="A12" t="s">
        <v>683</v>
      </c>
      <c r="B12" s="1"/>
      <c r="C12">
        <v>3.65</v>
      </c>
      <c r="D12">
        <v>3.65</v>
      </c>
    </row>
    <row r="13" spans="1:10" x14ac:dyDescent="0.3">
      <c r="A13" t="s">
        <v>684</v>
      </c>
      <c r="B13" s="1"/>
      <c r="C13">
        <v>6.45</v>
      </c>
      <c r="D13">
        <v>6.45</v>
      </c>
    </row>
    <row r="14" spans="1:10" x14ac:dyDescent="0.3">
      <c r="A14" t="s">
        <v>142</v>
      </c>
      <c r="B14" s="1"/>
      <c r="C14">
        <v>2.5</v>
      </c>
      <c r="D14">
        <v>2.5</v>
      </c>
    </row>
    <row r="15" spans="1:10" x14ac:dyDescent="0.3">
      <c r="A15" t="s">
        <v>685</v>
      </c>
      <c r="C15">
        <v>1.25</v>
      </c>
      <c r="D15">
        <v>1.25</v>
      </c>
    </row>
    <row r="16" spans="1:10" x14ac:dyDescent="0.3">
      <c r="A16" t="s">
        <v>239</v>
      </c>
      <c r="B16" s="1"/>
      <c r="C16">
        <v>3.05</v>
      </c>
      <c r="D16">
        <v>3.05</v>
      </c>
    </row>
    <row r="17" spans="1:13" x14ac:dyDescent="0.3">
      <c r="A17" t="s">
        <v>246</v>
      </c>
      <c r="B17" s="1"/>
      <c r="C17">
        <v>5.2</v>
      </c>
      <c r="D17">
        <v>5.2</v>
      </c>
    </row>
    <row r="18" spans="1:13" x14ac:dyDescent="0.3">
      <c r="A18" t="s">
        <v>143</v>
      </c>
      <c r="B18" s="1"/>
      <c r="C18">
        <v>10</v>
      </c>
      <c r="D18">
        <v>10</v>
      </c>
      <c r="M18" t="s">
        <v>1244</v>
      </c>
    </row>
    <row r="19" spans="1:13" x14ac:dyDescent="0.3">
      <c r="A19" t="s">
        <v>1455</v>
      </c>
      <c r="B19" s="1"/>
      <c r="C19">
        <v>2</v>
      </c>
      <c r="D19">
        <v>2</v>
      </c>
    </row>
    <row r="20" spans="1:13" x14ac:dyDescent="0.3">
      <c r="A20" t="s">
        <v>1456</v>
      </c>
      <c r="B20" s="1"/>
      <c r="C20">
        <v>2</v>
      </c>
      <c r="D20">
        <v>2</v>
      </c>
    </row>
    <row r="21" spans="1:13" x14ac:dyDescent="0.3">
      <c r="A21" t="s">
        <v>1458</v>
      </c>
      <c r="B21" s="1"/>
      <c r="C21">
        <v>2</v>
      </c>
      <c r="D21">
        <v>2</v>
      </c>
    </row>
    <row r="22" spans="1:13" x14ac:dyDescent="0.3">
      <c r="A22" t="s">
        <v>1457</v>
      </c>
      <c r="B22" s="1"/>
      <c r="C22">
        <v>0.8</v>
      </c>
      <c r="D22">
        <v>0.8</v>
      </c>
    </row>
    <row r="23" spans="1:13" x14ac:dyDescent="0.3">
      <c r="A23" t="s">
        <v>686</v>
      </c>
      <c r="B23" s="1"/>
      <c r="C23">
        <v>3.85</v>
      </c>
      <c r="D23">
        <v>3.85</v>
      </c>
    </row>
    <row r="24" spans="1:13" x14ac:dyDescent="0.3">
      <c r="A24" t="s">
        <v>687</v>
      </c>
      <c r="B24" s="1"/>
      <c r="C24">
        <v>4.4000000000000004</v>
      </c>
      <c r="D24">
        <v>4.4000000000000004</v>
      </c>
    </row>
    <row r="25" spans="1:13" x14ac:dyDescent="0.3">
      <c r="A25" t="s">
        <v>688</v>
      </c>
      <c r="B25" s="1"/>
      <c r="C25">
        <v>3.3</v>
      </c>
      <c r="D25">
        <v>3.3</v>
      </c>
    </row>
    <row r="26" spans="1:13" x14ac:dyDescent="0.3">
      <c r="A26" t="s">
        <v>689</v>
      </c>
      <c r="B26" s="1"/>
      <c r="C26">
        <v>3.65</v>
      </c>
      <c r="D26">
        <v>3.65</v>
      </c>
    </row>
    <row r="27" spans="1:13" x14ac:dyDescent="0.3">
      <c r="A27" t="s">
        <v>690</v>
      </c>
      <c r="B27" s="1"/>
      <c r="C27">
        <v>2.6</v>
      </c>
      <c r="D27">
        <v>2.6</v>
      </c>
    </row>
    <row r="28" spans="1:13" x14ac:dyDescent="0.3">
      <c r="A28" t="s">
        <v>691</v>
      </c>
      <c r="B28" s="1"/>
      <c r="C28">
        <v>2.7</v>
      </c>
      <c r="D28">
        <v>2.7</v>
      </c>
    </row>
    <row r="29" spans="1:13" x14ac:dyDescent="0.3">
      <c r="A29" t="s">
        <v>692</v>
      </c>
      <c r="B29" s="1"/>
      <c r="C29">
        <v>2</v>
      </c>
      <c r="D29">
        <v>2</v>
      </c>
    </row>
    <row r="30" spans="1:13" x14ac:dyDescent="0.3">
      <c r="A30" t="s">
        <v>145</v>
      </c>
      <c r="B30" s="1"/>
      <c r="C30">
        <v>1.1499999999999999</v>
      </c>
      <c r="D30">
        <v>1.1499999999999999</v>
      </c>
    </row>
    <row r="31" spans="1:13" x14ac:dyDescent="0.3">
      <c r="A31" t="s">
        <v>146</v>
      </c>
      <c r="B31" s="1"/>
      <c r="C31">
        <v>3.75</v>
      </c>
      <c r="D31">
        <v>3.75</v>
      </c>
    </row>
    <row r="32" spans="1:13" x14ac:dyDescent="0.3">
      <c r="A32" t="s">
        <v>693</v>
      </c>
      <c r="B32" s="1"/>
      <c r="C32">
        <v>3.7</v>
      </c>
      <c r="D32">
        <v>3.7</v>
      </c>
    </row>
    <row r="33" spans="1:4" x14ac:dyDescent="0.3">
      <c r="A33" t="s">
        <v>694</v>
      </c>
      <c r="B33" s="1"/>
      <c r="C33">
        <v>4.05</v>
      </c>
      <c r="D33">
        <v>4.05</v>
      </c>
    </row>
    <row r="34" spans="1:4" x14ac:dyDescent="0.3">
      <c r="A34" t="s">
        <v>695</v>
      </c>
      <c r="B34" s="1"/>
      <c r="C34">
        <v>3.4</v>
      </c>
      <c r="D34">
        <v>3.4</v>
      </c>
    </row>
    <row r="35" spans="1:4" x14ac:dyDescent="0.3">
      <c r="A35" t="s">
        <v>696</v>
      </c>
      <c r="B35" s="1"/>
      <c r="C35">
        <v>2.95</v>
      </c>
      <c r="D35">
        <v>2.95</v>
      </c>
    </row>
    <row r="36" spans="1:4" x14ac:dyDescent="0.3">
      <c r="A36" t="s">
        <v>147</v>
      </c>
      <c r="B36" s="1"/>
      <c r="C36">
        <v>2.1</v>
      </c>
      <c r="D36">
        <v>2.1</v>
      </c>
    </row>
    <row r="37" spans="1:4" x14ac:dyDescent="0.3">
      <c r="A37" t="s">
        <v>1462</v>
      </c>
      <c r="B37" s="1"/>
      <c r="C37">
        <v>3.3</v>
      </c>
      <c r="D37">
        <v>3.3</v>
      </c>
    </row>
    <row r="38" spans="1:4" x14ac:dyDescent="0.3">
      <c r="A38" t="s">
        <v>1463</v>
      </c>
      <c r="B38" s="1"/>
      <c r="C38">
        <v>3.3</v>
      </c>
      <c r="D38">
        <v>3.3</v>
      </c>
    </row>
    <row r="39" spans="1:4" x14ac:dyDescent="0.3">
      <c r="A39" t="s">
        <v>1464</v>
      </c>
      <c r="B39" s="1"/>
      <c r="C39">
        <v>3.3</v>
      </c>
      <c r="D39">
        <v>3.3</v>
      </c>
    </row>
    <row r="40" spans="1:4" x14ac:dyDescent="0.3">
      <c r="A40" t="s">
        <v>1465</v>
      </c>
      <c r="B40" s="1"/>
      <c r="C40">
        <v>3.3</v>
      </c>
      <c r="D40">
        <v>3.3</v>
      </c>
    </row>
    <row r="41" spans="1:4" x14ac:dyDescent="0.3">
      <c r="A41" t="s">
        <v>149</v>
      </c>
      <c r="C41">
        <v>3.3</v>
      </c>
      <c r="D41">
        <v>3.3</v>
      </c>
    </row>
    <row r="42" spans="1:4" x14ac:dyDescent="0.3">
      <c r="A42" t="s">
        <v>1466</v>
      </c>
      <c r="B42" s="1"/>
      <c r="C42">
        <v>3.3</v>
      </c>
      <c r="D42">
        <v>3.3</v>
      </c>
    </row>
    <row r="43" spans="1:4" x14ac:dyDescent="0.3">
      <c r="A43" t="s">
        <v>1618</v>
      </c>
      <c r="B43" s="1">
        <v>0.25</v>
      </c>
      <c r="C43">
        <v>3.3</v>
      </c>
      <c r="D43">
        <v>3.3</v>
      </c>
    </row>
    <row r="44" spans="1:4" x14ac:dyDescent="0.3">
      <c r="A44" t="s">
        <v>1459</v>
      </c>
      <c r="B44" s="1"/>
      <c r="C44">
        <v>2.9</v>
      </c>
      <c r="D44">
        <v>2.9</v>
      </c>
    </row>
    <row r="45" spans="1:4" x14ac:dyDescent="0.3">
      <c r="A45" t="s">
        <v>1460</v>
      </c>
      <c r="B45" s="1"/>
      <c r="C45">
        <v>2.9</v>
      </c>
      <c r="D45">
        <v>2.9</v>
      </c>
    </row>
    <row r="46" spans="1:4" x14ac:dyDescent="0.3">
      <c r="A46" t="s">
        <v>273</v>
      </c>
      <c r="B46" s="1">
        <v>0.25</v>
      </c>
      <c r="C46">
        <v>2.95</v>
      </c>
      <c r="D46">
        <v>2.95</v>
      </c>
    </row>
    <row r="47" spans="1:4" x14ac:dyDescent="0.3">
      <c r="A47" t="s">
        <v>1610</v>
      </c>
      <c r="B47" s="1">
        <v>0.25</v>
      </c>
      <c r="C47">
        <v>5</v>
      </c>
      <c r="D47">
        <v>5</v>
      </c>
    </row>
    <row r="48" spans="1:4" x14ac:dyDescent="0.3">
      <c r="A48" t="s">
        <v>1611</v>
      </c>
      <c r="B48" s="1">
        <v>0.25</v>
      </c>
      <c r="C48">
        <v>5</v>
      </c>
      <c r="D48">
        <v>5</v>
      </c>
    </row>
    <row r="49" spans="1:4" x14ac:dyDescent="0.3">
      <c r="A49" t="s">
        <v>1612</v>
      </c>
      <c r="B49" s="1">
        <v>0.25</v>
      </c>
      <c r="C49">
        <v>4.2</v>
      </c>
      <c r="D49">
        <v>4.2</v>
      </c>
    </row>
    <row r="50" spans="1:4" x14ac:dyDescent="0.3">
      <c r="A50" t="s">
        <v>1461</v>
      </c>
      <c r="B50" s="1">
        <v>0.25</v>
      </c>
      <c r="C50">
        <v>4.2</v>
      </c>
      <c r="D50">
        <v>4.2</v>
      </c>
    </row>
    <row r="51" spans="1:4" x14ac:dyDescent="0.3">
      <c r="A51" t="s">
        <v>277</v>
      </c>
      <c r="B51" s="1"/>
      <c r="C51">
        <v>3.75</v>
      </c>
      <c r="D51">
        <v>3.75</v>
      </c>
    </row>
    <row r="52" spans="1:4" x14ac:dyDescent="0.3">
      <c r="A52" t="s">
        <v>279</v>
      </c>
      <c r="B52" s="1"/>
      <c r="C52">
        <v>4.4000000000000004</v>
      </c>
      <c r="D52">
        <v>4.4000000000000004</v>
      </c>
    </row>
    <row r="53" spans="1:4" x14ac:dyDescent="0.3">
      <c r="A53" t="s">
        <v>697</v>
      </c>
      <c r="C53">
        <v>4.4000000000000004</v>
      </c>
      <c r="D53">
        <v>4.4000000000000004</v>
      </c>
    </row>
    <row r="54" spans="1:4" x14ac:dyDescent="0.3">
      <c r="A54" t="s">
        <v>698</v>
      </c>
      <c r="C54">
        <v>4.05</v>
      </c>
      <c r="D54">
        <v>4.05</v>
      </c>
    </row>
    <row r="55" spans="1:4" x14ac:dyDescent="0.3">
      <c r="A55" t="s">
        <v>281</v>
      </c>
      <c r="B55" s="1"/>
      <c r="C55">
        <v>2.8</v>
      </c>
      <c r="D55">
        <v>2.8</v>
      </c>
    </row>
    <row r="56" spans="1:4" x14ac:dyDescent="0.3">
      <c r="A56" t="s">
        <v>699</v>
      </c>
      <c r="C56">
        <v>4.3</v>
      </c>
      <c r="D56">
        <v>4.3</v>
      </c>
    </row>
    <row r="57" spans="1:4" x14ac:dyDescent="0.3">
      <c r="A57" t="s">
        <v>150</v>
      </c>
      <c r="B57" s="1"/>
      <c r="C57">
        <v>3.75</v>
      </c>
      <c r="D57">
        <v>3.75</v>
      </c>
    </row>
    <row r="58" spans="1:4" x14ac:dyDescent="0.3">
      <c r="A58" t="s">
        <v>284</v>
      </c>
      <c r="B58" s="6">
        <v>5</v>
      </c>
      <c r="C58">
        <v>2.8</v>
      </c>
      <c r="D58">
        <v>2.8</v>
      </c>
    </row>
    <row r="59" spans="1:4" x14ac:dyDescent="0.3">
      <c r="A59" t="s">
        <v>172</v>
      </c>
      <c r="B59" s="6">
        <v>5</v>
      </c>
      <c r="C59">
        <v>2.8</v>
      </c>
      <c r="D59">
        <v>2.8</v>
      </c>
    </row>
    <row r="60" spans="1:4" x14ac:dyDescent="0.3">
      <c r="A60" t="s">
        <v>151</v>
      </c>
      <c r="C60">
        <v>2.8</v>
      </c>
      <c r="D60">
        <v>2.8</v>
      </c>
    </row>
    <row r="61" spans="1:4" x14ac:dyDescent="0.3">
      <c r="A61" t="s">
        <v>152</v>
      </c>
      <c r="B61" s="1"/>
      <c r="C61">
        <v>2.8</v>
      </c>
      <c r="D61">
        <v>2.8</v>
      </c>
    </row>
    <row r="62" spans="1:4" x14ac:dyDescent="0.3">
      <c r="A62" t="s">
        <v>153</v>
      </c>
      <c r="B62" s="1"/>
      <c r="C62">
        <v>1.9</v>
      </c>
      <c r="D62">
        <v>1.9</v>
      </c>
    </row>
    <row r="63" spans="1:4" x14ac:dyDescent="0.3">
      <c r="A63" t="s">
        <v>154</v>
      </c>
      <c r="B63" s="1"/>
      <c r="C63">
        <v>1.9</v>
      </c>
      <c r="D63">
        <v>1.9</v>
      </c>
    </row>
    <row r="64" spans="1:4" x14ac:dyDescent="0.3">
      <c r="A64" t="s">
        <v>155</v>
      </c>
      <c r="B64" s="1"/>
      <c r="C64">
        <v>1.9</v>
      </c>
      <c r="D64">
        <v>1.9</v>
      </c>
    </row>
    <row r="65" spans="1:7" x14ac:dyDescent="0.3">
      <c r="A65" t="s">
        <v>156</v>
      </c>
      <c r="B65" s="1">
        <v>2</v>
      </c>
      <c r="C65">
        <v>1.9</v>
      </c>
      <c r="D65">
        <v>1.9</v>
      </c>
      <c r="G65">
        <v>10</v>
      </c>
    </row>
    <row r="66" spans="1:7" x14ac:dyDescent="0.3">
      <c r="A66" t="s">
        <v>157</v>
      </c>
      <c r="B66" s="1"/>
      <c r="C66">
        <v>1.9</v>
      </c>
      <c r="D66">
        <v>1.9</v>
      </c>
    </row>
    <row r="67" spans="1:7" x14ac:dyDescent="0.3">
      <c r="A67" t="s">
        <v>158</v>
      </c>
      <c r="B67" s="1"/>
      <c r="C67">
        <v>1.9</v>
      </c>
      <c r="D67">
        <v>1.9</v>
      </c>
    </row>
    <row r="68" spans="1:7" x14ac:dyDescent="0.3">
      <c r="A68" t="s">
        <v>700</v>
      </c>
      <c r="C68">
        <v>1.9</v>
      </c>
      <c r="D68">
        <v>1.9</v>
      </c>
    </row>
    <row r="69" spans="1:7" x14ac:dyDescent="0.3">
      <c r="A69" t="s">
        <v>159</v>
      </c>
      <c r="B69" s="1"/>
      <c r="C69">
        <v>1.9</v>
      </c>
      <c r="D69">
        <v>1.9</v>
      </c>
    </row>
    <row r="70" spans="1:7" x14ac:dyDescent="0.3">
      <c r="A70" s="5" t="s">
        <v>160</v>
      </c>
      <c r="B70" s="1"/>
      <c r="C70">
        <v>1.9</v>
      </c>
      <c r="D70">
        <v>1.9</v>
      </c>
    </row>
    <row r="71" spans="1:7" x14ac:dyDescent="0.3">
      <c r="A71" t="s">
        <v>161</v>
      </c>
      <c r="B71" s="1"/>
      <c r="C71">
        <v>1.9</v>
      </c>
      <c r="D71">
        <v>1.9</v>
      </c>
    </row>
    <row r="72" spans="1:7" x14ac:dyDescent="0.3">
      <c r="A72" t="s">
        <v>701</v>
      </c>
      <c r="B72" s="1"/>
      <c r="C72">
        <v>1.9</v>
      </c>
      <c r="D72">
        <v>1.9</v>
      </c>
    </row>
    <row r="73" spans="1:7" x14ac:dyDescent="0.3">
      <c r="A73" t="s">
        <v>702</v>
      </c>
      <c r="B73" s="1"/>
      <c r="C73">
        <v>1.9</v>
      </c>
      <c r="D73">
        <v>1.9</v>
      </c>
    </row>
    <row r="74" spans="1:7" x14ac:dyDescent="0.3">
      <c r="A74" t="s">
        <v>703</v>
      </c>
      <c r="B74" s="1"/>
      <c r="C74">
        <v>1.9</v>
      </c>
      <c r="D74">
        <v>1.9</v>
      </c>
    </row>
    <row r="75" spans="1:7" x14ac:dyDescent="0.3">
      <c r="A75" t="s">
        <v>162</v>
      </c>
      <c r="B75" s="1"/>
      <c r="C75">
        <v>1.9</v>
      </c>
      <c r="D75">
        <v>1.9</v>
      </c>
    </row>
    <row r="76" spans="1:7" x14ac:dyDescent="0.3">
      <c r="A76" t="s">
        <v>163</v>
      </c>
      <c r="B76" s="1"/>
      <c r="C76">
        <v>1.9</v>
      </c>
      <c r="D76">
        <v>1.9</v>
      </c>
    </row>
    <row r="77" spans="1:7" x14ac:dyDescent="0.3">
      <c r="A77" t="s">
        <v>164</v>
      </c>
      <c r="B77" s="1"/>
      <c r="C77">
        <v>1.9</v>
      </c>
      <c r="D77">
        <v>1.9</v>
      </c>
    </row>
    <row r="78" spans="1:7" x14ac:dyDescent="0.3">
      <c r="A78" t="s">
        <v>704</v>
      </c>
      <c r="C78">
        <v>1.9</v>
      </c>
      <c r="D78">
        <v>1.9</v>
      </c>
    </row>
    <row r="80" spans="1:7" x14ac:dyDescent="0.3">
      <c r="B80" s="1"/>
    </row>
    <row r="90" spans="1:1" x14ac:dyDescent="0.3">
      <c r="A90" s="2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D18"/>
  <sheetViews>
    <sheetView workbookViewId="0">
      <selection activeCell="C19" sqref="C19"/>
    </sheetView>
  </sheetViews>
  <sheetFormatPr baseColWidth="10" defaultColWidth="8.88671875" defaultRowHeight="14.4" x14ac:dyDescent="0.3"/>
  <cols>
    <col min="3" max="3" width="15.88671875" customWidth="1"/>
  </cols>
  <sheetData>
    <row r="1" spans="1:82" x14ac:dyDescent="0.3">
      <c r="B1" t="s">
        <v>1134</v>
      </c>
    </row>
    <row r="3" spans="1:82" x14ac:dyDescent="0.3">
      <c r="C3" t="s">
        <v>1123</v>
      </c>
      <c r="D3" t="s">
        <v>981</v>
      </c>
      <c r="E3" t="s">
        <v>982</v>
      </c>
      <c r="F3" t="s">
        <v>1124</v>
      </c>
      <c r="G3" t="s">
        <v>128</v>
      </c>
      <c r="H3" s="4" t="s">
        <v>1185</v>
      </c>
      <c r="I3" s="61" t="s">
        <v>1129</v>
      </c>
      <c r="J3" t="s">
        <v>130</v>
      </c>
      <c r="K3" t="s">
        <v>1321</v>
      </c>
    </row>
    <row r="4" spans="1:82" x14ac:dyDescent="0.3">
      <c r="A4" t="s">
        <v>1130</v>
      </c>
      <c r="B4" t="s">
        <v>1132</v>
      </c>
      <c r="C4">
        <v>-0.35989832621425544</v>
      </c>
      <c r="D4">
        <v>-0.26267419768331268</v>
      </c>
      <c r="E4">
        <v>-0.25350789894771697</v>
      </c>
      <c r="F4">
        <v>-0.262118874381572</v>
      </c>
      <c r="G4">
        <v>-3.8737401510850326E-3</v>
      </c>
      <c r="H4">
        <v>-0.12280264718186491</v>
      </c>
      <c r="I4">
        <v>-0.48752411595352707</v>
      </c>
      <c r="J4">
        <v>-0.32878554146818295</v>
      </c>
      <c r="K4">
        <v>-0.22094563591641825</v>
      </c>
    </row>
    <row r="5" spans="1:82" x14ac:dyDescent="0.3">
      <c r="A5" t="s">
        <v>1130</v>
      </c>
      <c r="B5" t="s">
        <v>1131</v>
      </c>
      <c r="C5">
        <v>1.6029705279502049</v>
      </c>
      <c r="D5">
        <v>1.6297386219007777</v>
      </c>
      <c r="E5">
        <v>1.4684956611809663</v>
      </c>
      <c r="F5">
        <v>1.6155830973293142</v>
      </c>
      <c r="G5">
        <v>1.0268112398561471</v>
      </c>
      <c r="H5">
        <v>1.5567055554608569</v>
      </c>
      <c r="I5">
        <v>3.3439664848289499</v>
      </c>
      <c r="J5">
        <v>2.557410792486873</v>
      </c>
      <c r="K5">
        <v>1.836450927085429</v>
      </c>
    </row>
    <row r="6" spans="1:82" x14ac:dyDescent="0.3">
      <c r="A6" t="s">
        <v>1133</v>
      </c>
      <c r="B6" t="s">
        <v>1132</v>
      </c>
      <c r="C6">
        <v>7.8237187726089952E-2</v>
      </c>
      <c r="D6">
        <v>-0.28871033138185337</v>
      </c>
      <c r="E6">
        <v>-0.25656310342851302</v>
      </c>
      <c r="F6">
        <v>-0.28728803588390833</v>
      </c>
      <c r="G6">
        <v>-0.3552906546081735</v>
      </c>
      <c r="H6">
        <v>-0.33566718828218828</v>
      </c>
      <c r="I6">
        <v>-0.28736375990142693</v>
      </c>
      <c r="J6">
        <v>-0.30851208038775951</v>
      </c>
      <c r="K6">
        <v>-0.32077305566810876</v>
      </c>
    </row>
    <row r="7" spans="1:82" x14ac:dyDescent="0.3">
      <c r="A7" t="s">
        <v>1133</v>
      </c>
      <c r="B7" t="s">
        <v>1131</v>
      </c>
      <c r="C7">
        <v>0.62104645666730318</v>
      </c>
      <c r="D7">
        <v>1.7137944299365739</v>
      </c>
      <c r="E7">
        <v>1.6471096215959933</v>
      </c>
      <c r="F7">
        <v>1.7118797158481425</v>
      </c>
      <c r="G7">
        <v>1.8671343537874039</v>
      </c>
      <c r="H7">
        <v>1.7781961747473687</v>
      </c>
      <c r="I7">
        <v>1.5435340881394615</v>
      </c>
      <c r="J7">
        <v>1.647114156125163</v>
      </c>
      <c r="K7">
        <v>1.74111709328586</v>
      </c>
    </row>
    <row r="9" spans="1:82" x14ac:dyDescent="0.3">
      <c r="C9" s="83" t="s">
        <v>16</v>
      </c>
      <c r="D9" s="83" t="s">
        <v>16</v>
      </c>
      <c r="E9" s="83" t="s">
        <v>16</v>
      </c>
      <c r="F9" s="83" t="s">
        <v>16</v>
      </c>
      <c r="G9" s="83" t="s">
        <v>16</v>
      </c>
      <c r="H9" s="83" t="s">
        <v>16</v>
      </c>
      <c r="I9" s="83" t="s">
        <v>16</v>
      </c>
      <c r="J9" s="83" t="s">
        <v>16</v>
      </c>
      <c r="K9" s="83" t="s">
        <v>16</v>
      </c>
      <c r="L9" s="83" t="s">
        <v>16</v>
      </c>
      <c r="M9" s="83" t="s">
        <v>16</v>
      </c>
      <c r="N9" s="4" t="s">
        <v>16</v>
      </c>
      <c r="O9" s="4" t="s">
        <v>16</v>
      </c>
      <c r="P9" s="4" t="s">
        <v>17</v>
      </c>
      <c r="Q9" s="4" t="s">
        <v>17</v>
      </c>
      <c r="R9" s="4" t="s">
        <v>17</v>
      </c>
      <c r="S9" s="4" t="s">
        <v>17</v>
      </c>
      <c r="T9" s="4" t="s">
        <v>17</v>
      </c>
      <c r="U9" s="4" t="s">
        <v>17</v>
      </c>
      <c r="V9" s="4" t="s">
        <v>17</v>
      </c>
      <c r="W9" s="4" t="s">
        <v>17</v>
      </c>
      <c r="X9" s="4" t="s">
        <v>17</v>
      </c>
      <c r="Y9" s="4" t="s">
        <v>17</v>
      </c>
      <c r="Z9" s="4" t="s">
        <v>17</v>
      </c>
      <c r="AA9" s="4" t="s">
        <v>17</v>
      </c>
      <c r="AB9" s="4" t="s">
        <v>17</v>
      </c>
    </row>
    <row r="10" spans="1:82" x14ac:dyDescent="0.3">
      <c r="C10" s="4" t="s">
        <v>1123</v>
      </c>
      <c r="D10" s="4" t="s">
        <v>981</v>
      </c>
      <c r="E10" s="4" t="s">
        <v>982</v>
      </c>
      <c r="F10" s="4" t="s">
        <v>1124</v>
      </c>
      <c r="G10" s="4" t="s">
        <v>128</v>
      </c>
      <c r="H10" s="4" t="s">
        <v>129</v>
      </c>
      <c r="I10" s="61" t="s">
        <v>1129</v>
      </c>
      <c r="J10" s="4" t="s">
        <v>130</v>
      </c>
      <c r="K10" s="4" t="s">
        <v>131</v>
      </c>
      <c r="L10" s="4" t="s">
        <v>471</v>
      </c>
      <c r="M10" s="4" t="s">
        <v>472</v>
      </c>
      <c r="N10" s="4" t="s">
        <v>1128</v>
      </c>
      <c r="O10" s="4" t="s">
        <v>1127</v>
      </c>
      <c r="P10" s="4" t="s">
        <v>1123</v>
      </c>
      <c r="Q10" s="4" t="s">
        <v>981</v>
      </c>
      <c r="R10" s="4" t="s">
        <v>982</v>
      </c>
      <c r="S10" s="4" t="s">
        <v>1124</v>
      </c>
      <c r="T10" s="4" t="s">
        <v>128</v>
      </c>
      <c r="U10" s="4" t="s">
        <v>129</v>
      </c>
      <c r="V10" s="4" t="s">
        <v>1125</v>
      </c>
      <c r="W10" s="4" t="s">
        <v>130</v>
      </c>
      <c r="X10" s="4" t="s">
        <v>131</v>
      </c>
      <c r="Y10" s="4" t="s">
        <v>471</v>
      </c>
      <c r="Z10" s="4" t="s">
        <v>472</v>
      </c>
      <c r="AA10" s="4" t="s">
        <v>1128</v>
      </c>
      <c r="AB10" s="4" t="s">
        <v>1127</v>
      </c>
    </row>
    <row r="11" spans="1:82" x14ac:dyDescent="0.3">
      <c r="B11" s="4" t="s">
        <v>713</v>
      </c>
      <c r="C11">
        <v>9.9869975000098365E-3</v>
      </c>
      <c r="D11">
        <v>0.89252515375440677</v>
      </c>
      <c r="E11">
        <v>0.81242082065559273</v>
      </c>
      <c r="F11">
        <v>0.88586465579329432</v>
      </c>
      <c r="G11">
        <v>1.0296549394176229</v>
      </c>
      <c r="H11">
        <v>1.0306812540873356</v>
      </c>
      <c r="I11">
        <v>1.0556797769247341</v>
      </c>
      <c r="J11">
        <v>1.0430201346486703</v>
      </c>
      <c r="K11">
        <v>1.008810180888037</v>
      </c>
      <c r="L11">
        <v>1.0099849211383043</v>
      </c>
      <c r="M11">
        <v>1.0099849211383043</v>
      </c>
      <c r="N11">
        <v>1.0099849211383043</v>
      </c>
      <c r="O11">
        <v>1.0099849211383043</v>
      </c>
      <c r="P11">
        <v>-8.934086918615183E-3</v>
      </c>
      <c r="Q11">
        <v>-0.7289344183477986</v>
      </c>
      <c r="R11">
        <v>-0.67819939568402199</v>
      </c>
      <c r="S11">
        <v>-0.72932814451141448</v>
      </c>
      <c r="T11">
        <v>-0.85781900653475573</v>
      </c>
      <c r="U11">
        <v>-0.83648712979872919</v>
      </c>
      <c r="V11">
        <v>-0.88422525348876513</v>
      </c>
      <c r="W11">
        <v>-0.90886186694708404</v>
      </c>
      <c r="X11">
        <v>-0.82599099346321025</v>
      </c>
      <c r="Y11">
        <v>-0.99661607217590653</v>
      </c>
      <c r="Z11">
        <v>-0.9945184207202421</v>
      </c>
      <c r="AA11">
        <v>-0.99911066872106236</v>
      </c>
      <c r="AB11">
        <v>-0.99778749029426417</v>
      </c>
    </row>
    <row r="15" spans="1:82" x14ac:dyDescent="0.3">
      <c r="D15" s="4" t="s">
        <v>1251</v>
      </c>
      <c r="E15" s="4" t="s">
        <v>1252</v>
      </c>
      <c r="F15" s="4" t="s">
        <v>1253</v>
      </c>
      <c r="G15" s="4" t="s">
        <v>1254</v>
      </c>
      <c r="H15" s="4" t="s">
        <v>1255</v>
      </c>
      <c r="I15" s="4" t="s">
        <v>1256</v>
      </c>
      <c r="J15" s="4" t="s">
        <v>1257</v>
      </c>
      <c r="K15" s="4" t="s">
        <v>1258</v>
      </c>
      <c r="L15" s="4" t="s">
        <v>1259</v>
      </c>
      <c r="M15" s="4" t="s">
        <v>1260</v>
      </c>
      <c r="N15" s="4" t="s">
        <v>1261</v>
      </c>
      <c r="O15" s="4" t="s">
        <v>1262</v>
      </c>
      <c r="P15" s="4" t="s">
        <v>1263</v>
      </c>
      <c r="Q15" s="4" t="s">
        <v>1264</v>
      </c>
      <c r="R15" s="4" t="s">
        <v>1265</v>
      </c>
      <c r="S15" s="4" t="s">
        <v>1266</v>
      </c>
      <c r="T15" s="4" t="s">
        <v>1267</v>
      </c>
      <c r="U15" s="4" t="s">
        <v>1268</v>
      </c>
      <c r="V15" s="4" t="s">
        <v>1269</v>
      </c>
      <c r="W15" s="4" t="s">
        <v>1270</v>
      </c>
      <c r="X15" s="4" t="s">
        <v>1271</v>
      </c>
      <c r="Y15" s="4" t="s">
        <v>1272</v>
      </c>
      <c r="Z15" s="4" t="s">
        <v>1273</v>
      </c>
      <c r="AA15" s="4" t="s">
        <v>1274</v>
      </c>
      <c r="AB15" s="4" t="s">
        <v>1275</v>
      </c>
      <c r="AC15" s="4" t="s">
        <v>1276</v>
      </c>
      <c r="AD15" s="4" t="s">
        <v>1277</v>
      </c>
      <c r="AE15" s="4" t="s">
        <v>1278</v>
      </c>
      <c r="AF15" s="4" t="s">
        <v>1279</v>
      </c>
      <c r="AG15" s="4" t="s">
        <v>1280</v>
      </c>
      <c r="AH15" s="4" t="s">
        <v>1281</v>
      </c>
      <c r="AI15" s="4" t="s">
        <v>1282</v>
      </c>
      <c r="AJ15" s="4" t="s">
        <v>1283</v>
      </c>
      <c r="AK15" s="4" t="s">
        <v>1284</v>
      </c>
      <c r="AL15" s="4" t="s">
        <v>1285</v>
      </c>
      <c r="AM15" s="4" t="s">
        <v>1286</v>
      </c>
      <c r="AN15" s="4" t="s">
        <v>1287</v>
      </c>
      <c r="AO15" s="4" t="s">
        <v>1288</v>
      </c>
      <c r="AP15" s="4" t="s">
        <v>1289</v>
      </c>
      <c r="AQ15" s="4" t="s">
        <v>1290</v>
      </c>
      <c r="AR15" s="4" t="s">
        <v>1291</v>
      </c>
      <c r="AS15" s="4" t="s">
        <v>1292</v>
      </c>
      <c r="AT15" s="4" t="s">
        <v>1293</v>
      </c>
      <c r="AU15" s="4" t="s">
        <v>1294</v>
      </c>
      <c r="AV15" s="4" t="s">
        <v>1295</v>
      </c>
      <c r="AW15" s="4" t="s">
        <v>283</v>
      </c>
      <c r="AX15" s="4" t="s">
        <v>659</v>
      </c>
      <c r="AY15" s="116" t="s">
        <v>660</v>
      </c>
      <c r="AZ15" s="4" t="s">
        <v>661</v>
      </c>
      <c r="BA15" s="4" t="s">
        <v>662</v>
      </c>
      <c r="BB15" s="4" t="s">
        <v>663</v>
      </c>
      <c r="BC15" s="4" t="s">
        <v>664</v>
      </c>
      <c r="BD15" s="4" t="s">
        <v>665</v>
      </c>
      <c r="BE15" s="4" t="s">
        <v>250</v>
      </c>
      <c r="BF15" s="4" t="s">
        <v>257</v>
      </c>
      <c r="BG15" s="4" t="s">
        <v>666</v>
      </c>
      <c r="BH15" s="4" t="s">
        <v>263</v>
      </c>
      <c r="BI15" s="4" t="s">
        <v>1296</v>
      </c>
      <c r="BJ15" s="4" t="s">
        <v>1297</v>
      </c>
      <c r="BK15" s="4" t="s">
        <v>1298</v>
      </c>
      <c r="BL15" s="4" t="s">
        <v>1299</v>
      </c>
      <c r="BM15" s="4" t="s">
        <v>1300</v>
      </c>
      <c r="BN15" s="4" t="s">
        <v>1301</v>
      </c>
      <c r="BO15" s="4" t="s">
        <v>1303</v>
      </c>
      <c r="BP15" s="4" t="s">
        <v>1304</v>
      </c>
      <c r="BQ15" s="4" t="s">
        <v>1305</v>
      </c>
      <c r="BR15" s="4" t="s">
        <v>1306</v>
      </c>
      <c r="BS15" s="4" t="s">
        <v>1307</v>
      </c>
      <c r="BT15" s="4" t="s">
        <v>1308</v>
      </c>
      <c r="BU15" s="4" t="s">
        <v>1309</v>
      </c>
      <c r="BV15" s="4" t="s">
        <v>1310</v>
      </c>
      <c r="BW15" s="4" t="s">
        <v>1311</v>
      </c>
      <c r="BX15" s="4" t="s">
        <v>1312</v>
      </c>
      <c r="BY15" s="4" t="s">
        <v>1313</v>
      </c>
      <c r="BZ15" s="4" t="s">
        <v>1314</v>
      </c>
      <c r="CA15" s="4" t="s">
        <v>1315</v>
      </c>
      <c r="CB15" s="4" t="s">
        <v>1166</v>
      </c>
      <c r="CC15" s="4" t="s">
        <v>1174</v>
      </c>
      <c r="CD15" s="4" t="s">
        <v>1118</v>
      </c>
    </row>
    <row r="16" spans="1:82" x14ac:dyDescent="0.3">
      <c r="B16" s="4" t="s">
        <v>713</v>
      </c>
      <c r="C16" t="s">
        <v>708</v>
      </c>
      <c r="D16" t="s">
        <v>111</v>
      </c>
    </row>
    <row r="17" spans="2:3" x14ac:dyDescent="0.3">
      <c r="B17" t="s">
        <v>132</v>
      </c>
      <c r="C17" t="s">
        <v>708</v>
      </c>
    </row>
    <row r="18" spans="2:3" x14ac:dyDescent="0.3">
      <c r="B18" t="s">
        <v>166</v>
      </c>
      <c r="C18" t="s">
        <v>708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468B-058E-4F08-BE75-B6719F5DDFC7}">
  <dimension ref="A1"/>
  <sheetViews>
    <sheetView workbookViewId="0"/>
  </sheetViews>
  <sheetFormatPr baseColWidth="10" defaultColWidth="10.88671875" defaultRowHeight="14.4" x14ac:dyDescent="0.3"/>
  <sheetData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97E5-E3C1-43B4-A1DD-1897CB1051C5}">
  <dimension ref="A1:J19"/>
  <sheetViews>
    <sheetView workbookViewId="0"/>
  </sheetViews>
  <sheetFormatPr baseColWidth="10" defaultColWidth="8.88671875" defaultRowHeight="14.4" x14ac:dyDescent="0.3"/>
  <cols>
    <col min="1" max="1" width="12.21875" customWidth="1"/>
    <col min="2" max="2" width="13.21875" customWidth="1"/>
    <col min="4" max="5" width="14.77734375" customWidth="1"/>
  </cols>
  <sheetData>
    <row r="1" spans="1:10" x14ac:dyDescent="0.3">
      <c r="A1" t="s">
        <v>1402</v>
      </c>
      <c r="D1" t="s">
        <v>1404</v>
      </c>
      <c r="G1" t="s">
        <v>1391</v>
      </c>
    </row>
    <row r="2" spans="1:10" ht="34.049999999999997" customHeight="1" x14ac:dyDescent="0.3">
      <c r="A2" s="119" t="s">
        <v>1403</v>
      </c>
      <c r="B2" s="119"/>
      <c r="D2" s="120" t="s">
        <v>1405</v>
      </c>
      <c r="E2" s="120"/>
    </row>
    <row r="3" spans="1:10" x14ac:dyDescent="0.3">
      <c r="A3" t="s">
        <v>1389</v>
      </c>
      <c r="D3" t="s">
        <v>1390</v>
      </c>
    </row>
    <row r="5" spans="1:10" x14ac:dyDescent="0.3">
      <c r="A5" t="s">
        <v>1392</v>
      </c>
      <c r="B5">
        <v>0.3</v>
      </c>
      <c r="D5" t="s">
        <v>1392</v>
      </c>
      <c r="E5">
        <v>0.02</v>
      </c>
      <c r="G5" t="s">
        <v>1406</v>
      </c>
      <c r="H5">
        <v>0.02</v>
      </c>
      <c r="J5" t="s">
        <v>1407</v>
      </c>
    </row>
    <row r="6" spans="1:10" x14ac:dyDescent="0.3">
      <c r="A6" t="s">
        <v>1393</v>
      </c>
      <c r="B6">
        <v>0.3</v>
      </c>
      <c r="D6" t="s">
        <v>1393</v>
      </c>
      <c r="E6">
        <v>0.02</v>
      </c>
      <c r="G6" t="s">
        <v>1394</v>
      </c>
      <c r="H6">
        <v>0.06</v>
      </c>
      <c r="J6" t="s">
        <v>1408</v>
      </c>
    </row>
    <row r="7" spans="1:10" x14ac:dyDescent="0.3">
      <c r="G7" t="s">
        <v>1395</v>
      </c>
      <c r="H7">
        <v>0.5</v>
      </c>
      <c r="J7" t="s">
        <v>1409</v>
      </c>
    </row>
    <row r="8" spans="1:10" x14ac:dyDescent="0.3">
      <c r="G8" t="s">
        <v>1396</v>
      </c>
      <c r="H8">
        <v>0.2</v>
      </c>
      <c r="J8" t="s">
        <v>1410</v>
      </c>
    </row>
    <row r="9" spans="1:10" x14ac:dyDescent="0.3">
      <c r="G9" t="s">
        <v>1397</v>
      </c>
      <c r="H9">
        <v>0.01</v>
      </c>
      <c r="J9" t="s">
        <v>1412</v>
      </c>
    </row>
    <row r="10" spans="1:10" x14ac:dyDescent="0.3">
      <c r="G10" t="s">
        <v>1398</v>
      </c>
      <c r="H10">
        <v>0.03</v>
      </c>
      <c r="J10" t="s">
        <v>1411</v>
      </c>
    </row>
    <row r="14" spans="1:10" x14ac:dyDescent="0.3">
      <c r="A14" t="s">
        <v>1399</v>
      </c>
      <c r="B14">
        <v>0.3</v>
      </c>
    </row>
    <row r="15" spans="1:10" x14ac:dyDescent="0.3">
      <c r="A15" t="s">
        <v>1400</v>
      </c>
      <c r="B15">
        <v>0.3</v>
      </c>
    </row>
    <row r="16" spans="1:10" x14ac:dyDescent="0.3">
      <c r="A16" t="s">
        <v>1401</v>
      </c>
      <c r="B16">
        <v>0.3</v>
      </c>
    </row>
    <row r="17" spans="1:2" x14ac:dyDescent="0.3">
      <c r="A17" t="s">
        <v>237</v>
      </c>
      <c r="B17">
        <v>0.3</v>
      </c>
    </row>
    <row r="18" spans="1:2" x14ac:dyDescent="0.3">
      <c r="A18" t="s">
        <v>369</v>
      </c>
      <c r="B18">
        <v>0.3</v>
      </c>
    </row>
    <row r="19" spans="1:2" x14ac:dyDescent="0.3">
      <c r="A19" t="s">
        <v>272</v>
      </c>
      <c r="B19">
        <v>0.3</v>
      </c>
    </row>
  </sheetData>
  <mergeCells count="2">
    <mergeCell ref="A2:B2"/>
    <mergeCell ref="D2:E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B1" s="23" t="s">
        <v>119</v>
      </c>
    </row>
    <row r="2" spans="1:2" x14ac:dyDescent="0.3">
      <c r="A2" t="s">
        <v>132</v>
      </c>
      <c r="B2" s="24"/>
    </row>
    <row r="3" spans="1:2" x14ac:dyDescent="0.3">
      <c r="A3" t="s">
        <v>240</v>
      </c>
      <c r="B3" s="24"/>
    </row>
    <row r="4" spans="1:2" x14ac:dyDescent="0.3">
      <c r="A4" t="s">
        <v>140</v>
      </c>
      <c r="B4" s="24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H8"/>
  <sheetViews>
    <sheetView workbookViewId="0"/>
  </sheetViews>
  <sheetFormatPr baseColWidth="10" defaultColWidth="10.88671875" defaultRowHeight="14.4" x14ac:dyDescent="0.3"/>
  <cols>
    <col min="2" max="2" width="17.21875" customWidth="1"/>
  </cols>
  <sheetData>
    <row r="1" spans="1:86" x14ac:dyDescent="0.3">
      <c r="C1" s="4">
        <v>2017</v>
      </c>
      <c r="D1" s="4">
        <f>+C1+1</f>
        <v>2018</v>
      </c>
      <c r="E1" s="4">
        <f t="shared" ref="E1:BP1" si="0">+D1+1</f>
        <v>2019</v>
      </c>
      <c r="F1" s="4">
        <f t="shared" si="0"/>
        <v>2020</v>
      </c>
      <c r="G1" s="4">
        <f t="shared" si="0"/>
        <v>2021</v>
      </c>
      <c r="H1" s="4">
        <f t="shared" si="0"/>
        <v>2022</v>
      </c>
      <c r="I1" s="4">
        <f t="shared" si="0"/>
        <v>2023</v>
      </c>
      <c r="J1" s="4">
        <f t="shared" si="0"/>
        <v>2024</v>
      </c>
      <c r="K1" s="4">
        <f t="shared" si="0"/>
        <v>2025</v>
      </c>
      <c r="L1" s="4">
        <f t="shared" si="0"/>
        <v>2026</v>
      </c>
      <c r="M1" s="4">
        <f t="shared" si="0"/>
        <v>2027</v>
      </c>
      <c r="N1" s="4">
        <f t="shared" si="0"/>
        <v>2028</v>
      </c>
      <c r="O1" s="4">
        <f t="shared" si="0"/>
        <v>2029</v>
      </c>
      <c r="P1" s="4">
        <f t="shared" si="0"/>
        <v>2030</v>
      </c>
      <c r="Q1" s="4">
        <f t="shared" si="0"/>
        <v>2031</v>
      </c>
      <c r="R1" s="4">
        <f t="shared" si="0"/>
        <v>2032</v>
      </c>
      <c r="S1" s="4">
        <f t="shared" si="0"/>
        <v>2033</v>
      </c>
      <c r="T1" s="4">
        <f t="shared" si="0"/>
        <v>2034</v>
      </c>
      <c r="U1" s="4">
        <f t="shared" si="0"/>
        <v>2035</v>
      </c>
      <c r="V1" s="4">
        <f t="shared" si="0"/>
        <v>2036</v>
      </c>
      <c r="W1" s="4">
        <f t="shared" si="0"/>
        <v>2037</v>
      </c>
      <c r="X1" s="4">
        <f t="shared" si="0"/>
        <v>2038</v>
      </c>
      <c r="Y1" s="4">
        <f t="shared" si="0"/>
        <v>2039</v>
      </c>
      <c r="Z1" s="4">
        <f t="shared" si="0"/>
        <v>2040</v>
      </c>
      <c r="AA1" s="4">
        <f t="shared" si="0"/>
        <v>2041</v>
      </c>
      <c r="AB1" s="4">
        <f t="shared" si="0"/>
        <v>2042</v>
      </c>
      <c r="AC1" s="4">
        <f t="shared" si="0"/>
        <v>2043</v>
      </c>
      <c r="AD1" s="4">
        <f t="shared" si="0"/>
        <v>2044</v>
      </c>
      <c r="AE1" s="4">
        <f t="shared" si="0"/>
        <v>2045</v>
      </c>
      <c r="AF1" s="4">
        <f t="shared" si="0"/>
        <v>2046</v>
      </c>
      <c r="AG1" s="4">
        <f t="shared" si="0"/>
        <v>2047</v>
      </c>
      <c r="AH1" s="4">
        <f t="shared" si="0"/>
        <v>2048</v>
      </c>
      <c r="AI1" s="4">
        <f t="shared" si="0"/>
        <v>2049</v>
      </c>
      <c r="AJ1" s="4">
        <f t="shared" si="0"/>
        <v>2050</v>
      </c>
      <c r="AK1" s="4">
        <f t="shared" si="0"/>
        <v>2051</v>
      </c>
      <c r="AL1" s="4">
        <f t="shared" si="0"/>
        <v>2052</v>
      </c>
      <c r="AM1" s="4">
        <f t="shared" si="0"/>
        <v>2053</v>
      </c>
      <c r="AN1" s="4">
        <f t="shared" si="0"/>
        <v>2054</v>
      </c>
      <c r="AO1" s="4">
        <f t="shared" si="0"/>
        <v>2055</v>
      </c>
      <c r="AP1" s="4">
        <f t="shared" si="0"/>
        <v>2056</v>
      </c>
      <c r="AQ1" s="4">
        <f t="shared" si="0"/>
        <v>2057</v>
      </c>
      <c r="AR1" s="4">
        <f t="shared" si="0"/>
        <v>2058</v>
      </c>
      <c r="AS1" s="4">
        <f t="shared" si="0"/>
        <v>2059</v>
      </c>
      <c r="AT1" s="4">
        <f t="shared" si="0"/>
        <v>2060</v>
      </c>
      <c r="AU1" s="4">
        <f t="shared" si="0"/>
        <v>2061</v>
      </c>
      <c r="AV1" s="4">
        <f t="shared" si="0"/>
        <v>2062</v>
      </c>
      <c r="AW1" s="4">
        <f t="shared" si="0"/>
        <v>2063</v>
      </c>
      <c r="AX1" s="4">
        <f t="shared" si="0"/>
        <v>2064</v>
      </c>
      <c r="AY1" s="4">
        <f t="shared" si="0"/>
        <v>2065</v>
      </c>
      <c r="AZ1" s="4">
        <f t="shared" si="0"/>
        <v>2066</v>
      </c>
      <c r="BA1" s="4">
        <f t="shared" si="0"/>
        <v>2067</v>
      </c>
      <c r="BB1" s="4">
        <f t="shared" si="0"/>
        <v>2068</v>
      </c>
      <c r="BC1" s="4">
        <f t="shared" si="0"/>
        <v>2069</v>
      </c>
      <c r="BD1" s="4">
        <f t="shared" si="0"/>
        <v>2070</v>
      </c>
      <c r="BE1" s="4">
        <f t="shared" si="0"/>
        <v>2071</v>
      </c>
      <c r="BF1" s="4">
        <f t="shared" si="0"/>
        <v>2072</v>
      </c>
      <c r="BG1" s="4">
        <f t="shared" si="0"/>
        <v>2073</v>
      </c>
      <c r="BH1" s="4">
        <f t="shared" si="0"/>
        <v>2074</v>
      </c>
      <c r="BI1" s="4">
        <f t="shared" si="0"/>
        <v>2075</v>
      </c>
      <c r="BJ1" s="4">
        <f t="shared" si="0"/>
        <v>2076</v>
      </c>
      <c r="BK1" s="4">
        <f t="shared" si="0"/>
        <v>2077</v>
      </c>
      <c r="BL1" s="4">
        <f t="shared" si="0"/>
        <v>2078</v>
      </c>
      <c r="BM1" s="4">
        <f t="shared" si="0"/>
        <v>2079</v>
      </c>
      <c r="BN1" s="4">
        <f t="shared" si="0"/>
        <v>2080</v>
      </c>
      <c r="BO1" s="4">
        <f t="shared" si="0"/>
        <v>2081</v>
      </c>
      <c r="BP1" s="4">
        <f t="shared" si="0"/>
        <v>2082</v>
      </c>
      <c r="BQ1" s="4">
        <f t="shared" ref="BQ1:CH1" si="1">+BP1+1</f>
        <v>2083</v>
      </c>
      <c r="BR1" s="4">
        <f t="shared" si="1"/>
        <v>2084</v>
      </c>
      <c r="BS1" s="4">
        <f t="shared" si="1"/>
        <v>2085</v>
      </c>
      <c r="BT1" s="4">
        <f t="shared" si="1"/>
        <v>2086</v>
      </c>
      <c r="BU1" s="4">
        <f t="shared" si="1"/>
        <v>2087</v>
      </c>
      <c r="BV1" s="4">
        <f t="shared" si="1"/>
        <v>2088</v>
      </c>
      <c r="BW1" s="4">
        <f t="shared" si="1"/>
        <v>2089</v>
      </c>
      <c r="BX1" s="4">
        <f t="shared" si="1"/>
        <v>2090</v>
      </c>
      <c r="BY1" s="4">
        <f t="shared" si="1"/>
        <v>2091</v>
      </c>
      <c r="BZ1" s="4">
        <f t="shared" si="1"/>
        <v>2092</v>
      </c>
      <c r="CA1" s="4">
        <f t="shared" si="1"/>
        <v>2093</v>
      </c>
      <c r="CB1" s="4">
        <f t="shared" si="1"/>
        <v>2094</v>
      </c>
      <c r="CC1" s="4">
        <f t="shared" si="1"/>
        <v>2095</v>
      </c>
      <c r="CD1" s="4">
        <f t="shared" si="1"/>
        <v>2096</v>
      </c>
      <c r="CE1" s="4">
        <f t="shared" si="1"/>
        <v>2097</v>
      </c>
      <c r="CF1" s="4">
        <f t="shared" si="1"/>
        <v>2098</v>
      </c>
      <c r="CG1" s="4">
        <f t="shared" si="1"/>
        <v>2099</v>
      </c>
      <c r="CH1" s="4">
        <f t="shared" si="1"/>
        <v>2100</v>
      </c>
    </row>
    <row r="2" spans="1:86" x14ac:dyDescent="0.3">
      <c r="A2" s="4" t="s">
        <v>970</v>
      </c>
      <c r="B2" s="4" t="s">
        <v>966</v>
      </c>
      <c r="C2">
        <v>0.5</v>
      </c>
      <c r="D2">
        <f>+C2+0.5</f>
        <v>1</v>
      </c>
      <c r="E2">
        <f t="shared" ref="E2:BP2" si="2">+D2+0.5</f>
        <v>1.5</v>
      </c>
      <c r="F2">
        <f t="shared" si="2"/>
        <v>2</v>
      </c>
      <c r="G2">
        <f t="shared" si="2"/>
        <v>2.5</v>
      </c>
      <c r="H2">
        <f t="shared" si="2"/>
        <v>3</v>
      </c>
      <c r="I2">
        <f t="shared" si="2"/>
        <v>3.5</v>
      </c>
      <c r="J2">
        <f t="shared" si="2"/>
        <v>4</v>
      </c>
      <c r="K2">
        <f t="shared" si="2"/>
        <v>4.5</v>
      </c>
      <c r="L2">
        <f t="shared" si="2"/>
        <v>5</v>
      </c>
      <c r="M2">
        <f t="shared" si="2"/>
        <v>5.5</v>
      </c>
      <c r="N2">
        <f t="shared" si="2"/>
        <v>6</v>
      </c>
      <c r="O2">
        <f t="shared" si="2"/>
        <v>6.5</v>
      </c>
      <c r="P2">
        <f t="shared" si="2"/>
        <v>7</v>
      </c>
      <c r="Q2">
        <f t="shared" si="2"/>
        <v>7.5</v>
      </c>
      <c r="R2">
        <f t="shared" si="2"/>
        <v>8</v>
      </c>
      <c r="S2">
        <f t="shared" si="2"/>
        <v>8.5</v>
      </c>
      <c r="T2">
        <f t="shared" si="2"/>
        <v>9</v>
      </c>
      <c r="U2">
        <f t="shared" si="2"/>
        <v>9.5</v>
      </c>
      <c r="V2">
        <f t="shared" si="2"/>
        <v>10</v>
      </c>
      <c r="W2">
        <f t="shared" si="2"/>
        <v>10.5</v>
      </c>
      <c r="X2">
        <f t="shared" si="2"/>
        <v>11</v>
      </c>
      <c r="Y2">
        <f t="shared" si="2"/>
        <v>11.5</v>
      </c>
      <c r="Z2">
        <f t="shared" si="2"/>
        <v>12</v>
      </c>
      <c r="AA2">
        <f t="shared" si="2"/>
        <v>12.5</v>
      </c>
      <c r="AB2">
        <f t="shared" si="2"/>
        <v>13</v>
      </c>
      <c r="AC2">
        <f t="shared" si="2"/>
        <v>13.5</v>
      </c>
      <c r="AD2">
        <f t="shared" si="2"/>
        <v>14</v>
      </c>
      <c r="AE2">
        <f t="shared" si="2"/>
        <v>14.5</v>
      </c>
      <c r="AF2">
        <f t="shared" si="2"/>
        <v>15</v>
      </c>
      <c r="AG2">
        <f t="shared" si="2"/>
        <v>15.5</v>
      </c>
      <c r="AH2">
        <f t="shared" si="2"/>
        <v>16</v>
      </c>
      <c r="AI2">
        <f t="shared" si="2"/>
        <v>16.5</v>
      </c>
      <c r="AJ2">
        <f t="shared" si="2"/>
        <v>17</v>
      </c>
      <c r="AK2">
        <f t="shared" si="2"/>
        <v>17.5</v>
      </c>
      <c r="AL2">
        <f t="shared" si="2"/>
        <v>18</v>
      </c>
      <c r="AM2">
        <f t="shared" si="2"/>
        <v>18.5</v>
      </c>
      <c r="AN2">
        <f t="shared" si="2"/>
        <v>19</v>
      </c>
      <c r="AO2">
        <f t="shared" si="2"/>
        <v>19.5</v>
      </c>
      <c r="AP2">
        <f t="shared" si="2"/>
        <v>20</v>
      </c>
      <c r="AQ2">
        <f t="shared" si="2"/>
        <v>20.5</v>
      </c>
      <c r="AR2">
        <f t="shared" si="2"/>
        <v>21</v>
      </c>
      <c r="AS2">
        <f t="shared" si="2"/>
        <v>21.5</v>
      </c>
      <c r="AT2">
        <f t="shared" si="2"/>
        <v>22</v>
      </c>
      <c r="AU2">
        <f t="shared" si="2"/>
        <v>22.5</v>
      </c>
      <c r="AV2">
        <f t="shared" si="2"/>
        <v>23</v>
      </c>
      <c r="AW2">
        <f t="shared" si="2"/>
        <v>23.5</v>
      </c>
      <c r="AX2">
        <f t="shared" si="2"/>
        <v>24</v>
      </c>
      <c r="AY2">
        <f t="shared" si="2"/>
        <v>24.5</v>
      </c>
      <c r="AZ2">
        <f t="shared" si="2"/>
        <v>25</v>
      </c>
      <c r="BA2">
        <f t="shared" si="2"/>
        <v>25.5</v>
      </c>
      <c r="BB2">
        <f t="shared" si="2"/>
        <v>26</v>
      </c>
      <c r="BC2">
        <f t="shared" si="2"/>
        <v>26.5</v>
      </c>
      <c r="BD2">
        <f t="shared" si="2"/>
        <v>27</v>
      </c>
      <c r="BE2">
        <f t="shared" si="2"/>
        <v>27.5</v>
      </c>
      <c r="BF2">
        <f t="shared" si="2"/>
        <v>28</v>
      </c>
      <c r="BG2">
        <f t="shared" si="2"/>
        <v>28.5</v>
      </c>
      <c r="BH2">
        <f t="shared" si="2"/>
        <v>29</v>
      </c>
      <c r="BI2">
        <f t="shared" si="2"/>
        <v>29.5</v>
      </c>
      <c r="BJ2">
        <f t="shared" si="2"/>
        <v>30</v>
      </c>
      <c r="BK2">
        <f t="shared" si="2"/>
        <v>30.5</v>
      </c>
      <c r="BL2">
        <f t="shared" si="2"/>
        <v>31</v>
      </c>
      <c r="BM2">
        <f t="shared" si="2"/>
        <v>31.5</v>
      </c>
      <c r="BN2">
        <f t="shared" si="2"/>
        <v>32</v>
      </c>
      <c r="BO2">
        <f t="shared" si="2"/>
        <v>32.5</v>
      </c>
      <c r="BP2">
        <f t="shared" si="2"/>
        <v>33</v>
      </c>
      <c r="BQ2">
        <f t="shared" ref="BQ2:CH2" si="3">+BP2+0.5</f>
        <v>33.5</v>
      </c>
      <c r="BR2">
        <f t="shared" si="3"/>
        <v>34</v>
      </c>
      <c r="BS2">
        <f t="shared" si="3"/>
        <v>34.5</v>
      </c>
      <c r="BT2">
        <f t="shared" si="3"/>
        <v>35</v>
      </c>
      <c r="BU2">
        <f t="shared" si="3"/>
        <v>35.5</v>
      </c>
      <c r="BV2">
        <f t="shared" si="3"/>
        <v>36</v>
      </c>
      <c r="BW2">
        <f t="shared" si="3"/>
        <v>36.5</v>
      </c>
      <c r="BX2">
        <f t="shared" si="3"/>
        <v>37</v>
      </c>
      <c r="BY2">
        <f t="shared" si="3"/>
        <v>37.5</v>
      </c>
      <c r="BZ2">
        <f t="shared" si="3"/>
        <v>38</v>
      </c>
      <c r="CA2">
        <f t="shared" si="3"/>
        <v>38.5</v>
      </c>
      <c r="CB2">
        <f t="shared" si="3"/>
        <v>39</v>
      </c>
      <c r="CC2">
        <f t="shared" si="3"/>
        <v>39.5</v>
      </c>
      <c r="CD2">
        <f t="shared" si="3"/>
        <v>40</v>
      </c>
      <c r="CE2">
        <f t="shared" si="3"/>
        <v>40.5</v>
      </c>
      <c r="CF2">
        <f t="shared" si="3"/>
        <v>41</v>
      </c>
      <c r="CG2">
        <f t="shared" si="3"/>
        <v>41.5</v>
      </c>
      <c r="CH2">
        <f t="shared" si="3"/>
        <v>42</v>
      </c>
    </row>
    <row r="3" spans="1:86" x14ac:dyDescent="0.3">
      <c r="A3" s="4" t="s">
        <v>970</v>
      </c>
      <c r="B3" s="4" t="s">
        <v>971</v>
      </c>
      <c r="C3">
        <v>1</v>
      </c>
      <c r="D3">
        <f>+MAX(+C3-0.02,0.0000000001)</f>
        <v>0.98</v>
      </c>
      <c r="E3">
        <f t="shared" ref="E3:BP4" si="4">+MAX(+D3-0.02,0.0000000001)</f>
        <v>0.96</v>
      </c>
      <c r="F3">
        <f t="shared" si="4"/>
        <v>0.94</v>
      </c>
      <c r="G3">
        <f t="shared" si="4"/>
        <v>0.91999999999999993</v>
      </c>
      <c r="H3">
        <f t="shared" si="4"/>
        <v>0.89999999999999991</v>
      </c>
      <c r="I3">
        <f t="shared" si="4"/>
        <v>0.87999999999999989</v>
      </c>
      <c r="J3">
        <f t="shared" si="4"/>
        <v>0.85999999999999988</v>
      </c>
      <c r="K3">
        <f t="shared" si="4"/>
        <v>0.83999999999999986</v>
      </c>
      <c r="L3">
        <f t="shared" si="4"/>
        <v>0.81999999999999984</v>
      </c>
      <c r="M3">
        <f t="shared" si="4"/>
        <v>0.79999999999999982</v>
      </c>
      <c r="N3">
        <f t="shared" si="4"/>
        <v>0.7799999999999998</v>
      </c>
      <c r="O3">
        <f t="shared" si="4"/>
        <v>0.75999999999999979</v>
      </c>
      <c r="P3">
        <f t="shared" si="4"/>
        <v>0.73999999999999977</v>
      </c>
      <c r="Q3">
        <f t="shared" si="4"/>
        <v>0.71999999999999975</v>
      </c>
      <c r="R3">
        <f t="shared" si="4"/>
        <v>0.69999999999999973</v>
      </c>
      <c r="S3">
        <f t="shared" si="4"/>
        <v>0.67999999999999972</v>
      </c>
      <c r="T3">
        <f t="shared" si="4"/>
        <v>0.6599999999999997</v>
      </c>
      <c r="U3">
        <f t="shared" si="4"/>
        <v>0.63999999999999968</v>
      </c>
      <c r="V3">
        <f t="shared" si="4"/>
        <v>0.61999999999999966</v>
      </c>
      <c r="W3">
        <f t="shared" si="4"/>
        <v>0.59999999999999964</v>
      </c>
      <c r="X3">
        <f t="shared" si="4"/>
        <v>0.57999999999999963</v>
      </c>
      <c r="Y3">
        <f t="shared" si="4"/>
        <v>0.55999999999999961</v>
      </c>
      <c r="Z3">
        <f t="shared" si="4"/>
        <v>0.53999999999999959</v>
      </c>
      <c r="AA3">
        <f t="shared" si="4"/>
        <v>0.51999999999999957</v>
      </c>
      <c r="AB3">
        <f t="shared" si="4"/>
        <v>0.49999999999999956</v>
      </c>
      <c r="AC3">
        <f t="shared" si="4"/>
        <v>0.47999999999999954</v>
      </c>
      <c r="AD3">
        <f t="shared" si="4"/>
        <v>0.45999999999999952</v>
      </c>
      <c r="AE3">
        <f t="shared" si="4"/>
        <v>0.4399999999999995</v>
      </c>
      <c r="AF3">
        <f t="shared" si="4"/>
        <v>0.41999999999999948</v>
      </c>
      <c r="AG3">
        <f t="shared" si="4"/>
        <v>0.39999999999999947</v>
      </c>
      <c r="AH3">
        <f t="shared" si="4"/>
        <v>0.37999999999999945</v>
      </c>
      <c r="AI3">
        <f t="shared" si="4"/>
        <v>0.35999999999999943</v>
      </c>
      <c r="AJ3">
        <f t="shared" si="4"/>
        <v>0.33999999999999941</v>
      </c>
      <c r="AK3">
        <f t="shared" si="4"/>
        <v>0.3199999999999994</v>
      </c>
      <c r="AL3">
        <f t="shared" si="4"/>
        <v>0.29999999999999938</v>
      </c>
      <c r="AM3">
        <f t="shared" si="4"/>
        <v>0.27999999999999936</v>
      </c>
      <c r="AN3">
        <f t="shared" si="4"/>
        <v>0.25999999999999934</v>
      </c>
      <c r="AO3">
        <f t="shared" si="4"/>
        <v>0.23999999999999935</v>
      </c>
      <c r="AP3">
        <f t="shared" si="4"/>
        <v>0.21999999999999936</v>
      </c>
      <c r="AQ3">
        <f t="shared" si="4"/>
        <v>0.19999999999999937</v>
      </c>
      <c r="AR3">
        <f t="shared" si="4"/>
        <v>0.17999999999999938</v>
      </c>
      <c r="AS3">
        <f t="shared" si="4"/>
        <v>0.15999999999999939</v>
      </c>
      <c r="AT3">
        <f t="shared" si="4"/>
        <v>0.1399999999999994</v>
      </c>
      <c r="AU3">
        <f t="shared" si="4"/>
        <v>0.1199999999999994</v>
      </c>
      <c r="AV3">
        <f t="shared" si="4"/>
        <v>9.9999999999999395E-2</v>
      </c>
      <c r="AW3">
        <f t="shared" si="4"/>
        <v>7.9999999999999391E-2</v>
      </c>
      <c r="AX3">
        <f t="shared" si="4"/>
        <v>5.9999999999999387E-2</v>
      </c>
      <c r="AY3">
        <f t="shared" si="4"/>
        <v>3.9999999999999383E-2</v>
      </c>
      <c r="AZ3">
        <f t="shared" si="4"/>
        <v>1.9999999999999383E-2</v>
      </c>
      <c r="BA3">
        <f t="shared" si="4"/>
        <v>1E-10</v>
      </c>
      <c r="BB3">
        <f t="shared" si="4"/>
        <v>1E-10</v>
      </c>
      <c r="BC3">
        <f t="shared" si="4"/>
        <v>1E-10</v>
      </c>
      <c r="BD3">
        <f t="shared" si="4"/>
        <v>1E-10</v>
      </c>
      <c r="BE3">
        <f t="shared" si="4"/>
        <v>1E-10</v>
      </c>
      <c r="BF3">
        <f t="shared" si="4"/>
        <v>1E-10</v>
      </c>
      <c r="BG3">
        <f t="shared" si="4"/>
        <v>1E-10</v>
      </c>
      <c r="BH3">
        <f t="shared" si="4"/>
        <v>1E-10</v>
      </c>
      <c r="BI3">
        <f t="shared" si="4"/>
        <v>1E-10</v>
      </c>
      <c r="BJ3">
        <f t="shared" si="4"/>
        <v>1E-10</v>
      </c>
      <c r="BK3">
        <f t="shared" si="4"/>
        <v>1E-10</v>
      </c>
      <c r="BL3">
        <f t="shared" si="4"/>
        <v>1E-10</v>
      </c>
      <c r="BM3">
        <f t="shared" si="4"/>
        <v>1E-10</v>
      </c>
      <c r="BN3">
        <f t="shared" si="4"/>
        <v>1E-10</v>
      </c>
      <c r="BO3">
        <f t="shared" si="4"/>
        <v>1E-10</v>
      </c>
      <c r="BP3">
        <f t="shared" si="4"/>
        <v>1E-10</v>
      </c>
      <c r="BQ3">
        <f t="shared" ref="BQ3:CH4" si="5">+MAX(+BP3-0.02,0.0000000001)</f>
        <v>1E-10</v>
      </c>
      <c r="BR3">
        <f t="shared" si="5"/>
        <v>1E-10</v>
      </c>
      <c r="BS3">
        <f t="shared" si="5"/>
        <v>1E-10</v>
      </c>
      <c r="BT3">
        <f t="shared" si="5"/>
        <v>1E-10</v>
      </c>
      <c r="BU3">
        <f t="shared" si="5"/>
        <v>1E-10</v>
      </c>
      <c r="BV3">
        <f t="shared" si="5"/>
        <v>1E-10</v>
      </c>
      <c r="BW3">
        <f t="shared" si="5"/>
        <v>1E-10</v>
      </c>
      <c r="BX3">
        <f t="shared" si="5"/>
        <v>1E-10</v>
      </c>
      <c r="BY3">
        <f t="shared" si="5"/>
        <v>1E-10</v>
      </c>
      <c r="BZ3">
        <f t="shared" si="5"/>
        <v>1E-10</v>
      </c>
      <c r="CA3">
        <f t="shared" si="5"/>
        <v>1E-10</v>
      </c>
      <c r="CB3">
        <f t="shared" si="5"/>
        <v>1E-10</v>
      </c>
      <c r="CC3">
        <f t="shared" si="5"/>
        <v>1E-10</v>
      </c>
      <c r="CD3">
        <f t="shared" si="5"/>
        <v>1E-10</v>
      </c>
      <c r="CE3">
        <f t="shared" si="5"/>
        <v>1E-10</v>
      </c>
      <c r="CF3">
        <f t="shared" si="5"/>
        <v>1E-10</v>
      </c>
      <c r="CG3">
        <f t="shared" si="5"/>
        <v>1E-10</v>
      </c>
      <c r="CH3">
        <f t="shared" si="5"/>
        <v>1E-10</v>
      </c>
    </row>
    <row r="4" spans="1:86" x14ac:dyDescent="0.3">
      <c r="A4" s="4" t="s">
        <v>970</v>
      </c>
      <c r="B4" s="4" t="s">
        <v>972</v>
      </c>
      <c r="C4">
        <v>1</v>
      </c>
      <c r="D4">
        <f t="shared" ref="D4:BO4" si="6">+MAX(+C4-0.02,0.0000000001)</f>
        <v>0.98</v>
      </c>
      <c r="E4">
        <f t="shared" si="6"/>
        <v>0.96</v>
      </c>
      <c r="F4">
        <f t="shared" si="6"/>
        <v>0.94</v>
      </c>
      <c r="G4">
        <f t="shared" si="6"/>
        <v>0.91999999999999993</v>
      </c>
      <c r="H4">
        <f t="shared" si="6"/>
        <v>0.89999999999999991</v>
      </c>
      <c r="I4">
        <f t="shared" si="6"/>
        <v>0.87999999999999989</v>
      </c>
      <c r="J4">
        <f t="shared" si="6"/>
        <v>0.85999999999999988</v>
      </c>
      <c r="K4">
        <f t="shared" si="6"/>
        <v>0.83999999999999986</v>
      </c>
      <c r="L4">
        <f t="shared" si="6"/>
        <v>0.81999999999999984</v>
      </c>
      <c r="M4">
        <f t="shared" si="6"/>
        <v>0.79999999999999982</v>
      </c>
      <c r="N4">
        <f t="shared" si="6"/>
        <v>0.7799999999999998</v>
      </c>
      <c r="O4">
        <f t="shared" si="6"/>
        <v>0.75999999999999979</v>
      </c>
      <c r="P4">
        <f t="shared" si="6"/>
        <v>0.73999999999999977</v>
      </c>
      <c r="Q4">
        <f t="shared" si="6"/>
        <v>0.71999999999999975</v>
      </c>
      <c r="R4">
        <f t="shared" si="6"/>
        <v>0.69999999999999973</v>
      </c>
      <c r="S4">
        <f t="shared" si="6"/>
        <v>0.67999999999999972</v>
      </c>
      <c r="T4">
        <f t="shared" si="6"/>
        <v>0.6599999999999997</v>
      </c>
      <c r="U4">
        <f t="shared" si="6"/>
        <v>0.63999999999999968</v>
      </c>
      <c r="V4">
        <f t="shared" si="6"/>
        <v>0.61999999999999966</v>
      </c>
      <c r="W4">
        <f t="shared" si="6"/>
        <v>0.59999999999999964</v>
      </c>
      <c r="X4">
        <f t="shared" si="6"/>
        <v>0.57999999999999963</v>
      </c>
      <c r="Y4">
        <f t="shared" si="6"/>
        <v>0.55999999999999961</v>
      </c>
      <c r="Z4">
        <f t="shared" si="6"/>
        <v>0.53999999999999959</v>
      </c>
      <c r="AA4">
        <f t="shared" si="6"/>
        <v>0.51999999999999957</v>
      </c>
      <c r="AB4">
        <f t="shared" si="6"/>
        <v>0.49999999999999956</v>
      </c>
      <c r="AC4">
        <f t="shared" si="6"/>
        <v>0.47999999999999954</v>
      </c>
      <c r="AD4">
        <f t="shared" si="6"/>
        <v>0.45999999999999952</v>
      </c>
      <c r="AE4">
        <f t="shared" si="6"/>
        <v>0.4399999999999995</v>
      </c>
      <c r="AF4">
        <f t="shared" si="6"/>
        <v>0.41999999999999948</v>
      </c>
      <c r="AG4">
        <f t="shared" si="6"/>
        <v>0.39999999999999947</v>
      </c>
      <c r="AH4">
        <f t="shared" si="6"/>
        <v>0.37999999999999945</v>
      </c>
      <c r="AI4">
        <f t="shared" si="6"/>
        <v>0.35999999999999943</v>
      </c>
      <c r="AJ4">
        <f t="shared" si="6"/>
        <v>0.33999999999999941</v>
      </c>
      <c r="AK4">
        <f t="shared" si="6"/>
        <v>0.3199999999999994</v>
      </c>
      <c r="AL4">
        <f t="shared" si="6"/>
        <v>0.29999999999999938</v>
      </c>
      <c r="AM4">
        <f t="shared" si="6"/>
        <v>0.27999999999999936</v>
      </c>
      <c r="AN4">
        <f t="shared" si="6"/>
        <v>0.25999999999999934</v>
      </c>
      <c r="AO4">
        <f t="shared" si="6"/>
        <v>0.23999999999999935</v>
      </c>
      <c r="AP4">
        <f t="shared" si="6"/>
        <v>0.21999999999999936</v>
      </c>
      <c r="AQ4">
        <f t="shared" si="6"/>
        <v>0.19999999999999937</v>
      </c>
      <c r="AR4">
        <f t="shared" si="6"/>
        <v>0.17999999999999938</v>
      </c>
      <c r="AS4">
        <f t="shared" si="6"/>
        <v>0.15999999999999939</v>
      </c>
      <c r="AT4">
        <f t="shared" si="6"/>
        <v>0.1399999999999994</v>
      </c>
      <c r="AU4">
        <f t="shared" si="6"/>
        <v>0.1199999999999994</v>
      </c>
      <c r="AV4">
        <f t="shared" si="6"/>
        <v>9.9999999999999395E-2</v>
      </c>
      <c r="AW4">
        <f t="shared" si="6"/>
        <v>7.9999999999999391E-2</v>
      </c>
      <c r="AX4">
        <f t="shared" si="6"/>
        <v>5.9999999999999387E-2</v>
      </c>
      <c r="AY4">
        <f t="shared" si="6"/>
        <v>3.9999999999999383E-2</v>
      </c>
      <c r="AZ4">
        <f t="shared" si="6"/>
        <v>1.9999999999999383E-2</v>
      </c>
      <c r="BA4">
        <f t="shared" si="6"/>
        <v>1E-10</v>
      </c>
      <c r="BB4">
        <f t="shared" si="6"/>
        <v>1E-10</v>
      </c>
      <c r="BC4">
        <f t="shared" si="6"/>
        <v>1E-10</v>
      </c>
      <c r="BD4">
        <f t="shared" si="6"/>
        <v>1E-10</v>
      </c>
      <c r="BE4">
        <f t="shared" si="6"/>
        <v>1E-10</v>
      </c>
      <c r="BF4">
        <f t="shared" si="6"/>
        <v>1E-10</v>
      </c>
      <c r="BG4">
        <f t="shared" si="6"/>
        <v>1E-10</v>
      </c>
      <c r="BH4">
        <f t="shared" si="6"/>
        <v>1E-10</v>
      </c>
      <c r="BI4">
        <f t="shared" si="6"/>
        <v>1E-10</v>
      </c>
      <c r="BJ4">
        <f t="shared" si="6"/>
        <v>1E-10</v>
      </c>
      <c r="BK4">
        <f t="shared" si="6"/>
        <v>1E-10</v>
      </c>
      <c r="BL4">
        <f t="shared" si="6"/>
        <v>1E-10</v>
      </c>
      <c r="BM4">
        <f t="shared" si="6"/>
        <v>1E-10</v>
      </c>
      <c r="BN4">
        <f t="shared" si="6"/>
        <v>1E-10</v>
      </c>
      <c r="BO4">
        <f t="shared" si="6"/>
        <v>1E-10</v>
      </c>
      <c r="BP4">
        <f t="shared" si="4"/>
        <v>1E-10</v>
      </c>
      <c r="BQ4">
        <f t="shared" si="5"/>
        <v>1E-10</v>
      </c>
      <c r="BR4">
        <f t="shared" si="5"/>
        <v>1E-10</v>
      </c>
      <c r="BS4">
        <f t="shared" si="5"/>
        <v>1E-10</v>
      </c>
      <c r="BT4">
        <f t="shared" si="5"/>
        <v>1E-10</v>
      </c>
      <c r="BU4">
        <f t="shared" si="5"/>
        <v>1E-10</v>
      </c>
      <c r="BV4">
        <f t="shared" si="5"/>
        <v>1E-10</v>
      </c>
      <c r="BW4">
        <f t="shared" si="5"/>
        <v>1E-10</v>
      </c>
      <c r="BX4">
        <f t="shared" si="5"/>
        <v>1E-10</v>
      </c>
      <c r="BY4">
        <f t="shared" si="5"/>
        <v>1E-10</v>
      </c>
      <c r="BZ4">
        <f t="shared" si="5"/>
        <v>1E-10</v>
      </c>
      <c r="CA4">
        <f t="shared" si="5"/>
        <v>1E-10</v>
      </c>
      <c r="CB4">
        <f t="shared" si="5"/>
        <v>1E-10</v>
      </c>
      <c r="CC4">
        <f t="shared" si="5"/>
        <v>1E-10</v>
      </c>
      <c r="CD4">
        <f t="shared" si="5"/>
        <v>1E-10</v>
      </c>
      <c r="CE4">
        <f t="shared" si="5"/>
        <v>1E-10</v>
      </c>
      <c r="CF4">
        <f t="shared" si="5"/>
        <v>1E-10</v>
      </c>
      <c r="CG4">
        <f t="shared" si="5"/>
        <v>1E-10</v>
      </c>
      <c r="CH4">
        <f t="shared" si="5"/>
        <v>1E-10</v>
      </c>
    </row>
    <row r="5" spans="1:86" x14ac:dyDescent="0.3">
      <c r="A5" s="4" t="s">
        <v>970</v>
      </c>
      <c r="B5" s="4" t="s">
        <v>973</v>
      </c>
    </row>
    <row r="6" spans="1:86" x14ac:dyDescent="0.3">
      <c r="A6" s="4"/>
      <c r="B6" s="4"/>
    </row>
    <row r="7" spans="1:86" x14ac:dyDescent="0.3">
      <c r="A7" s="4"/>
      <c r="B7" s="4"/>
    </row>
    <row r="8" spans="1:86" x14ac:dyDescent="0.3">
      <c r="A8" s="4"/>
      <c r="B8" s="4"/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ColWidth="10.88671875" defaultRowHeight="14.4" x14ac:dyDescent="0.3"/>
  <sheetData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74:FS175"/>
  <sheetViews>
    <sheetView workbookViewId="0"/>
  </sheetViews>
  <sheetFormatPr baseColWidth="10" defaultColWidth="10.88671875" defaultRowHeight="14.4" x14ac:dyDescent="0.3"/>
  <cols>
    <col min="1" max="1" width="27.5546875" customWidth="1"/>
  </cols>
  <sheetData>
    <row r="74" spans="2:67" x14ac:dyDescent="0.3">
      <c r="P74" s="7"/>
      <c r="R74" s="7"/>
      <c r="S74" s="7"/>
      <c r="AG74" s="7"/>
      <c r="AJ74" s="7"/>
      <c r="AL74" s="7"/>
      <c r="AM74" s="7"/>
      <c r="AN74" s="7"/>
      <c r="AO74" s="7"/>
      <c r="AR74" s="7"/>
      <c r="AS74" s="7"/>
      <c r="AV74" s="7"/>
      <c r="AW74" s="7"/>
      <c r="BB74" s="7"/>
      <c r="BC74" s="7"/>
      <c r="BD74" s="7"/>
      <c r="BJ74" s="7"/>
      <c r="BM74" s="7"/>
      <c r="BN74" s="7"/>
    </row>
    <row r="75" spans="2:67" x14ac:dyDescent="0.3">
      <c r="P75" s="7"/>
      <c r="R75" s="7"/>
      <c r="S75" s="7"/>
      <c r="AJ75" s="7"/>
      <c r="AL75" s="7"/>
      <c r="AM75" s="7"/>
      <c r="AN75" s="7"/>
      <c r="AO75" s="7"/>
      <c r="AP75" s="7"/>
      <c r="AQ75" s="7"/>
      <c r="AR75" s="7"/>
      <c r="AS75" s="7"/>
      <c r="AV75" s="7"/>
      <c r="AW75" s="7"/>
      <c r="AY75" s="7"/>
      <c r="AZ75" s="7"/>
      <c r="BA75" s="7"/>
      <c r="BB75" s="7"/>
      <c r="BC75" s="7"/>
    </row>
    <row r="76" spans="2:67" x14ac:dyDescent="0.3">
      <c r="P76" s="7"/>
      <c r="R76" s="7"/>
      <c r="S76" s="7"/>
      <c r="AG76" s="7"/>
      <c r="AL76" s="7"/>
      <c r="AM76" s="7"/>
      <c r="AN76" s="7"/>
      <c r="AO76" s="7"/>
      <c r="AP76" s="7"/>
      <c r="AR76" s="7"/>
      <c r="AS76" s="7"/>
      <c r="AV76" s="7"/>
      <c r="AW76" s="7"/>
      <c r="AY76" s="7"/>
      <c r="AZ76" s="7"/>
      <c r="BA76" s="7"/>
      <c r="BB76" s="7"/>
      <c r="BC76" s="7"/>
    </row>
    <row r="77" spans="2:67" x14ac:dyDescent="0.3">
      <c r="P77" s="7"/>
      <c r="Q77" s="7"/>
      <c r="R77" s="7"/>
      <c r="S77" s="7"/>
      <c r="AL77" s="7"/>
      <c r="AM77" s="7"/>
      <c r="AO77" s="7"/>
      <c r="AP77" s="7"/>
      <c r="AR77" s="7"/>
      <c r="AS77" s="7"/>
      <c r="AV77" s="7"/>
      <c r="AW77" s="7"/>
      <c r="AY77" s="7"/>
      <c r="AZ77" s="7"/>
      <c r="BB77" s="7"/>
      <c r="BC77" s="7"/>
      <c r="BJ77" s="7"/>
    </row>
    <row r="78" spans="2:67" x14ac:dyDescent="0.3">
      <c r="Q78" s="7"/>
      <c r="R78" s="7"/>
      <c r="S78" s="7"/>
      <c r="AF78" s="7"/>
      <c r="AG78" s="7"/>
      <c r="AJ78" s="7"/>
      <c r="AK78" s="7"/>
      <c r="AL78" s="7"/>
      <c r="AM78" s="7"/>
      <c r="AN78" s="7"/>
      <c r="AO78" s="7"/>
      <c r="AP78" s="7"/>
      <c r="AQ78" s="7"/>
      <c r="AW78" s="7"/>
      <c r="BB78" s="7"/>
      <c r="BC78" s="7"/>
      <c r="BD78" s="7"/>
      <c r="BH78" s="7"/>
      <c r="BI78" s="7"/>
      <c r="BJ78" s="7"/>
      <c r="BL78" s="7"/>
      <c r="BM78" s="7"/>
      <c r="BN78" s="7"/>
    </row>
    <row r="79" spans="2:67" x14ac:dyDescent="0.3">
      <c r="B79" s="7"/>
      <c r="H79" s="7"/>
      <c r="Q79" s="7"/>
      <c r="R79" s="7"/>
      <c r="S79" s="7"/>
      <c r="AG79" s="7"/>
      <c r="AK79" s="7"/>
      <c r="AL79" s="7"/>
      <c r="AM79" s="7"/>
      <c r="AN79" s="7"/>
      <c r="AO79" s="7"/>
      <c r="AP79" s="7"/>
      <c r="AQ79" s="7"/>
      <c r="AW79" s="7"/>
      <c r="BB79" s="7"/>
      <c r="BC79" s="7"/>
      <c r="BI79" s="7"/>
      <c r="BJ79" s="7"/>
      <c r="BM79" s="7"/>
      <c r="BN79" s="7"/>
    </row>
    <row r="80" spans="2:67" x14ac:dyDescent="0.3">
      <c r="Q80" s="7"/>
      <c r="R80" s="7"/>
      <c r="S80" s="7"/>
      <c r="AF80" s="7"/>
      <c r="AG80" s="7"/>
      <c r="AJ80" s="7"/>
      <c r="AL80" s="7"/>
      <c r="AM80" s="7"/>
      <c r="AN80" s="7"/>
      <c r="AO80" s="7"/>
      <c r="AP80" s="7"/>
      <c r="AQ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H80" s="7"/>
      <c r="BI80" s="7"/>
      <c r="BJ80" s="7"/>
      <c r="BL80" s="7"/>
      <c r="BM80" s="7"/>
      <c r="BN80" s="7"/>
      <c r="BO80" s="7"/>
    </row>
    <row r="81" spans="2:73" x14ac:dyDescent="0.3">
      <c r="P81" s="7"/>
      <c r="Q81" s="7"/>
      <c r="R81" s="7"/>
      <c r="S81" s="7"/>
      <c r="AG81" s="7"/>
      <c r="AL81" s="7"/>
      <c r="AM81" s="7"/>
      <c r="AR81" s="7"/>
      <c r="AS81" s="7"/>
      <c r="AW81" s="7"/>
      <c r="BB81" s="7"/>
      <c r="BC81" s="7"/>
      <c r="BJ81" s="7"/>
    </row>
    <row r="82" spans="2:73" x14ac:dyDescent="0.3">
      <c r="P82" s="7"/>
      <c r="R82" s="7"/>
      <c r="S82" s="7"/>
      <c r="AG82" s="7"/>
      <c r="AL82" s="7"/>
      <c r="AM82" s="7"/>
      <c r="AW82" s="7"/>
      <c r="BB82" s="7"/>
      <c r="BC82" s="7"/>
    </row>
    <row r="83" spans="2:73" x14ac:dyDescent="0.3">
      <c r="P83" s="7"/>
      <c r="S83" s="7"/>
      <c r="AL83" s="7"/>
      <c r="AM83" s="7"/>
      <c r="AW83" s="7"/>
      <c r="BB83" s="7"/>
      <c r="BC83" s="7"/>
    </row>
    <row r="84" spans="2:73" x14ac:dyDescent="0.3">
      <c r="P84" s="7"/>
      <c r="Q84" s="7"/>
      <c r="R84" s="7"/>
      <c r="S84" s="7"/>
      <c r="AG84" s="7"/>
      <c r="AJ84" s="7"/>
      <c r="AL84" s="7"/>
      <c r="AM84" s="7"/>
      <c r="AN84" s="7"/>
      <c r="AO84" s="7"/>
      <c r="AP84" s="7"/>
      <c r="AW84" s="7"/>
      <c r="BB84" s="7"/>
      <c r="BC84" s="7"/>
      <c r="BN84" s="7"/>
    </row>
    <row r="85" spans="2:73" x14ac:dyDescent="0.3">
      <c r="Q85" s="7"/>
      <c r="R85" s="7"/>
      <c r="AE85" s="7"/>
      <c r="AF85" s="7"/>
      <c r="AG85" s="7"/>
      <c r="AK85" s="7"/>
      <c r="AN85" s="7"/>
      <c r="AO85" s="7"/>
      <c r="AP85" s="7"/>
      <c r="AQ85" s="7"/>
      <c r="AR85" s="7"/>
      <c r="AS85" s="7"/>
      <c r="AU85" s="7"/>
      <c r="AV85" s="7"/>
      <c r="AW85" s="7"/>
      <c r="AX85" s="7"/>
      <c r="AY85" s="7"/>
      <c r="AZ85" s="7"/>
      <c r="BA85" s="7"/>
      <c r="BB85" s="7"/>
      <c r="BC85" s="7"/>
      <c r="BH85" s="7"/>
      <c r="BI85" s="7"/>
      <c r="BJ85" s="7"/>
      <c r="BK85" s="7"/>
      <c r="BL85" s="7"/>
      <c r="BM85" s="7"/>
      <c r="BN85" s="7"/>
      <c r="BO85" s="7"/>
      <c r="BU85" s="7"/>
    </row>
    <row r="86" spans="2:73" x14ac:dyDescent="0.3">
      <c r="AL86" s="7"/>
      <c r="AM86" s="7"/>
      <c r="AW86" s="7"/>
      <c r="BB86" s="7"/>
      <c r="BC86" s="7"/>
    </row>
    <row r="87" spans="2:73" x14ac:dyDescent="0.3">
      <c r="M87" s="7"/>
      <c r="P87" s="7"/>
      <c r="Q87" s="7"/>
      <c r="R87" s="7"/>
      <c r="S87" s="7"/>
      <c r="AG87" s="7"/>
      <c r="AJ87" s="7"/>
      <c r="AL87" s="7"/>
      <c r="AM87" s="7"/>
      <c r="AR87" s="7"/>
      <c r="AS87" s="7"/>
      <c r="AV87" s="7"/>
      <c r="AW87" s="7"/>
      <c r="AY87" s="7"/>
      <c r="AZ87" s="7"/>
      <c r="BB87" s="7"/>
      <c r="BC87" s="7"/>
      <c r="BJ87" s="7"/>
      <c r="BU87" s="7"/>
    </row>
    <row r="88" spans="2:73" x14ac:dyDescent="0.3">
      <c r="B88" s="7"/>
      <c r="C88" s="7"/>
      <c r="D88" s="7"/>
      <c r="F88" s="7"/>
      <c r="G88" s="7"/>
      <c r="H88" s="7"/>
      <c r="J88" s="7"/>
      <c r="L88" s="7"/>
      <c r="M88" s="7"/>
      <c r="O88" s="7"/>
      <c r="Q88" s="7"/>
      <c r="R88" s="7"/>
      <c r="X88" s="7"/>
      <c r="AD88" s="7"/>
      <c r="AO88" s="7"/>
      <c r="AP88" s="7"/>
      <c r="BJ88" s="7"/>
      <c r="BN88" s="7"/>
      <c r="BU88" s="7"/>
    </row>
    <row r="89" spans="2:73" x14ac:dyDescent="0.3"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T89" s="7"/>
      <c r="U89" s="7"/>
      <c r="W89" s="7"/>
      <c r="X89" s="7"/>
      <c r="AA89" s="7"/>
      <c r="AB89" s="7"/>
      <c r="AC89" s="7"/>
      <c r="AD89" s="7"/>
      <c r="AL89" s="7"/>
      <c r="AM89" s="7"/>
      <c r="AR89" s="7"/>
      <c r="AS89" s="7"/>
      <c r="AT89" s="7"/>
      <c r="BF89" s="7"/>
      <c r="BG89" s="7"/>
      <c r="BL89" s="7"/>
      <c r="BM89" s="7"/>
      <c r="BN89" s="7"/>
      <c r="BO89" s="7"/>
      <c r="BQ89" s="7"/>
      <c r="BR89" s="7"/>
      <c r="BS89" s="7"/>
      <c r="BT89" s="7"/>
      <c r="BU89" s="7"/>
    </row>
    <row r="90" spans="2:73" x14ac:dyDescent="0.3">
      <c r="B90" s="7"/>
      <c r="C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T90" s="7"/>
      <c r="U90" s="7"/>
      <c r="X90" s="7"/>
      <c r="AB90" s="7"/>
      <c r="AC90" s="7"/>
      <c r="AD90" s="7"/>
      <c r="AR90" s="7"/>
      <c r="BN90" s="7"/>
      <c r="BU90" s="7"/>
    </row>
    <row r="91" spans="2:73" x14ac:dyDescent="0.3">
      <c r="P91" s="7"/>
    </row>
    <row r="92" spans="2:73" x14ac:dyDescent="0.3">
      <c r="P92" s="7"/>
      <c r="R92" s="7"/>
      <c r="AL92" s="7"/>
      <c r="AM92" s="7"/>
      <c r="AO92" s="7"/>
      <c r="AW92" s="7"/>
      <c r="BB92" s="7"/>
      <c r="BC92" s="7"/>
    </row>
    <row r="93" spans="2:73" x14ac:dyDescent="0.3">
      <c r="P93" s="7"/>
      <c r="R93" s="7"/>
      <c r="S93" s="7"/>
      <c r="AL93" s="7"/>
      <c r="AM93" s="7"/>
      <c r="AO93" s="7"/>
      <c r="AP93" s="7"/>
      <c r="AW93" s="7"/>
      <c r="BB93" s="7"/>
      <c r="BC93" s="7"/>
    </row>
    <row r="94" spans="2:73" x14ac:dyDescent="0.3">
      <c r="P94" s="7"/>
      <c r="R94" s="7"/>
      <c r="S94" s="7"/>
      <c r="AL94" s="7"/>
      <c r="AM94" s="7"/>
      <c r="AO94" s="7"/>
      <c r="AP94" s="7"/>
      <c r="AQ94" s="7"/>
      <c r="AR94" s="7"/>
      <c r="AS94" s="7"/>
      <c r="AV94" s="7"/>
      <c r="AW94" s="7"/>
      <c r="BB94" s="7"/>
      <c r="BC94" s="7"/>
    </row>
    <row r="95" spans="2:73" x14ac:dyDescent="0.3">
      <c r="C95" s="7"/>
      <c r="H95" s="7"/>
      <c r="M95" s="7"/>
      <c r="P95" s="7"/>
      <c r="R95" s="7"/>
      <c r="AL95" s="7"/>
      <c r="AM95" s="7"/>
      <c r="AP95" s="7"/>
      <c r="AR95" s="7"/>
      <c r="AW95" s="7"/>
      <c r="BB95" s="7"/>
      <c r="BC95" s="7"/>
    </row>
    <row r="96" spans="2:73" x14ac:dyDescent="0.3">
      <c r="B96" s="7"/>
      <c r="H96" s="7"/>
      <c r="M96" s="7"/>
      <c r="R96" s="7"/>
      <c r="S96" s="7"/>
      <c r="AG96" s="7"/>
      <c r="AJ96" s="7"/>
      <c r="AL96" s="7"/>
      <c r="AM96" s="7"/>
      <c r="AO96" s="7"/>
      <c r="AP96" s="7"/>
      <c r="AQ96" s="7"/>
      <c r="AR96" s="7"/>
      <c r="AS96" s="7"/>
      <c r="AV96" s="7"/>
      <c r="AW96" s="7"/>
      <c r="AY96" s="7"/>
      <c r="AZ96" s="7"/>
      <c r="BA96" s="7"/>
      <c r="BB96" s="7"/>
      <c r="BC96" s="7"/>
      <c r="BU96" s="7"/>
    </row>
    <row r="97" spans="2:55" x14ac:dyDescent="0.3">
      <c r="P97" s="7"/>
      <c r="R97" s="7"/>
      <c r="AL97" s="7"/>
      <c r="AM97" s="7"/>
      <c r="AO97" s="7"/>
      <c r="AP97" s="7"/>
      <c r="AQ97" s="7"/>
      <c r="AR97" s="7"/>
      <c r="AS97" s="7"/>
      <c r="AW97" s="7"/>
      <c r="BB97" s="7"/>
      <c r="BC97" s="7"/>
    </row>
    <row r="98" spans="2:55" x14ac:dyDescent="0.3">
      <c r="P98" s="7"/>
      <c r="AW98" s="7"/>
      <c r="BB98" s="7"/>
    </row>
    <row r="99" spans="2:55" x14ac:dyDescent="0.3">
      <c r="M99" s="7"/>
      <c r="P99" s="7"/>
      <c r="AL99" s="7"/>
      <c r="AW99" s="7"/>
      <c r="BB99" s="7"/>
    </row>
    <row r="101" spans="2:55" x14ac:dyDescent="0.3">
      <c r="P101" s="7"/>
      <c r="BB101" s="7"/>
    </row>
    <row r="102" spans="2:55" x14ac:dyDescent="0.3">
      <c r="B102" s="7"/>
      <c r="C102" s="7"/>
      <c r="M102" s="7"/>
      <c r="P102" s="7"/>
      <c r="AL102" s="7"/>
      <c r="AM102" s="7"/>
    </row>
    <row r="103" spans="2:55" x14ac:dyDescent="0.3">
      <c r="BC103" s="7"/>
    </row>
    <row r="107" spans="2:55" x14ac:dyDescent="0.3">
      <c r="BC107" s="7"/>
    </row>
    <row r="111" spans="2:55" x14ac:dyDescent="0.3">
      <c r="C111" s="7"/>
      <c r="M111" s="7"/>
      <c r="P111" s="7"/>
    </row>
    <row r="117" spans="2:73" x14ac:dyDescent="0.3">
      <c r="M117" s="7"/>
      <c r="P117" s="7"/>
      <c r="AL117" s="7"/>
    </row>
    <row r="120" spans="2:73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AG120" s="7"/>
      <c r="AW120" s="7"/>
      <c r="AZ120" s="7"/>
      <c r="BB120" s="7"/>
      <c r="BC120" s="7"/>
      <c r="BU120" s="7"/>
    </row>
    <row r="121" spans="2:73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AG121" s="7"/>
      <c r="AW121" s="7"/>
      <c r="BB121" s="7"/>
      <c r="BC121" s="7"/>
      <c r="BU121" s="7"/>
    </row>
    <row r="122" spans="2:73" x14ac:dyDescent="0.3">
      <c r="B122" s="7"/>
      <c r="C122" s="7"/>
      <c r="M122" s="7"/>
      <c r="N122" s="7"/>
      <c r="P122" s="7"/>
    </row>
    <row r="123" spans="2:73" x14ac:dyDescent="0.3">
      <c r="B123" s="7"/>
      <c r="C123" s="7"/>
      <c r="D123" s="7"/>
      <c r="F123" s="7"/>
      <c r="G123" s="7"/>
      <c r="H123" s="7"/>
      <c r="I123" s="7"/>
      <c r="M123" s="7"/>
      <c r="N123" s="7"/>
      <c r="P123" s="7"/>
      <c r="R123" s="7"/>
      <c r="AG123" s="7"/>
      <c r="BC123" s="7"/>
      <c r="BU123" s="7"/>
    </row>
    <row r="125" spans="2:73" x14ac:dyDescent="0.3">
      <c r="B125" s="7"/>
      <c r="C125" s="7"/>
      <c r="M125" s="7"/>
      <c r="N125" s="7"/>
    </row>
    <row r="126" spans="2:73" x14ac:dyDescent="0.3">
      <c r="B126" s="7"/>
      <c r="C126" s="7"/>
      <c r="M126" s="7"/>
      <c r="N126" s="7"/>
      <c r="P126" s="7"/>
      <c r="BU126" s="7"/>
    </row>
    <row r="127" spans="2:73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X127" s="7"/>
      <c r="AG127" s="7"/>
      <c r="AW127" s="7"/>
      <c r="AZ127" s="7"/>
      <c r="BB127" s="7"/>
      <c r="BC127" s="7"/>
      <c r="BU127" s="7"/>
    </row>
    <row r="128" spans="2:73" x14ac:dyDescent="0.3">
      <c r="B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U128" s="7"/>
      <c r="V128" s="7"/>
      <c r="W128" s="7"/>
      <c r="X128" s="7"/>
      <c r="AG128" s="7"/>
      <c r="AV128" s="7"/>
      <c r="AW128" s="7"/>
      <c r="AY128" s="7"/>
      <c r="AZ128" s="7"/>
      <c r="BA128" s="7"/>
      <c r="BB128" s="7"/>
      <c r="BC128" s="7"/>
      <c r="BN128" s="7"/>
      <c r="BU128" s="7"/>
    </row>
    <row r="129" spans="2:73" x14ac:dyDescent="0.3">
      <c r="C129" s="7"/>
    </row>
    <row r="130" spans="2:73" x14ac:dyDescent="0.3">
      <c r="B130" s="7"/>
      <c r="C130" s="7"/>
      <c r="D130" s="7"/>
      <c r="E130" s="7"/>
      <c r="F130" s="7"/>
      <c r="G130" s="7"/>
      <c r="H130" s="7"/>
      <c r="I130" s="7"/>
      <c r="L130" s="7"/>
      <c r="M130" s="7"/>
      <c r="N130" s="7"/>
      <c r="O130" s="7"/>
      <c r="P130" s="7"/>
      <c r="R130" s="7"/>
      <c r="AG130" s="7"/>
      <c r="BB130" s="7"/>
      <c r="BC130" s="7"/>
      <c r="BU130" s="7"/>
    </row>
    <row r="131" spans="2:73" x14ac:dyDescent="0.3">
      <c r="H131" s="7"/>
      <c r="M131" s="7"/>
      <c r="N131" s="7"/>
      <c r="P131" s="7"/>
      <c r="BJ131" s="7"/>
    </row>
    <row r="133" spans="2:73" x14ac:dyDescent="0.3">
      <c r="P133" s="7"/>
    </row>
    <row r="135" spans="2:73" x14ac:dyDescent="0.3">
      <c r="P135" s="7"/>
    </row>
    <row r="145" spans="2:175" x14ac:dyDescent="0.3">
      <c r="P145" s="7"/>
    </row>
    <row r="146" spans="2:175" x14ac:dyDescent="0.3">
      <c r="B146" s="7"/>
      <c r="C146" s="7"/>
      <c r="P146" s="7"/>
      <c r="AW146" s="7"/>
      <c r="BB146" s="7"/>
    </row>
    <row r="147" spans="2:175" x14ac:dyDescent="0.3">
      <c r="B147" s="7"/>
      <c r="C147" s="7"/>
      <c r="L147" s="7"/>
      <c r="M147" s="7"/>
      <c r="P147" s="7"/>
      <c r="BB147" s="7"/>
    </row>
    <row r="148" spans="2:175" x14ac:dyDescent="0.3">
      <c r="P148" s="7"/>
      <c r="AW148" s="7"/>
      <c r="BB148" s="7"/>
      <c r="BC148" s="7"/>
    </row>
    <row r="149" spans="2:175" x14ac:dyDescent="0.3">
      <c r="P149" s="7"/>
      <c r="FS149" s="7"/>
    </row>
    <row r="164" spans="16:149" x14ac:dyDescent="0.3">
      <c r="P164" s="7"/>
    </row>
    <row r="169" spans="16:149" x14ac:dyDescent="0.3">
      <c r="BV169" s="7"/>
      <c r="CA169" s="7"/>
      <c r="CJ169" s="7"/>
    </row>
    <row r="170" spans="16:149" x14ac:dyDescent="0.3">
      <c r="CL170" s="7"/>
    </row>
    <row r="175" spans="16:149" x14ac:dyDescent="0.3">
      <c r="ES175" s="7"/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ER19"/>
  <sheetViews>
    <sheetView workbookViewId="0"/>
  </sheetViews>
  <sheetFormatPr baseColWidth="10" defaultColWidth="8.88671875" defaultRowHeight="14.4" x14ac:dyDescent="0.3"/>
  <cols>
    <col min="1" max="1" width="15.44140625" bestFit="1" customWidth="1"/>
    <col min="2" max="2" width="13.88671875" bestFit="1" customWidth="1"/>
    <col min="3" max="3" width="13.6640625" bestFit="1" customWidth="1"/>
    <col min="4" max="4" width="12.109375" bestFit="1" customWidth="1"/>
    <col min="5" max="5" width="13.6640625" bestFit="1" customWidth="1"/>
    <col min="6" max="15" width="12.109375" bestFit="1" customWidth="1"/>
    <col min="16" max="16" width="13.5546875" bestFit="1" customWidth="1"/>
    <col min="17" max="19" width="14.33203125" bestFit="1" customWidth="1"/>
    <col min="20" max="24" width="13.33203125" bestFit="1" customWidth="1"/>
    <col min="25" max="25" width="14.44140625" bestFit="1" customWidth="1"/>
    <col min="26" max="26" width="11" customWidth="1"/>
    <col min="27" max="27" width="11.88671875" bestFit="1" customWidth="1"/>
    <col min="28" max="30" width="12.6640625" bestFit="1" customWidth="1"/>
    <col min="31" max="31" width="13.88671875" bestFit="1" customWidth="1"/>
    <col min="32" max="32" width="11.88671875" bestFit="1" customWidth="1"/>
    <col min="33" max="33" width="14.88671875" bestFit="1" customWidth="1"/>
    <col min="34" max="35" width="11.88671875" bestFit="1" customWidth="1"/>
    <col min="36" max="36" width="12.6640625" bestFit="1" customWidth="1"/>
    <col min="37" max="37" width="12" bestFit="1" customWidth="1"/>
    <col min="38" max="38" width="12.6640625" bestFit="1" customWidth="1"/>
    <col min="39" max="39" width="11.88671875" bestFit="1" customWidth="1"/>
    <col min="40" max="40" width="13.5546875" bestFit="1" customWidth="1"/>
    <col min="41" max="41" width="11.6640625" bestFit="1" customWidth="1"/>
    <col min="42" max="42" width="11.88671875" bestFit="1" customWidth="1"/>
    <col min="43" max="43" width="12" bestFit="1" customWidth="1"/>
    <col min="44" max="44" width="11.88671875" bestFit="1" customWidth="1"/>
    <col min="45" max="46" width="13.5546875" bestFit="1" customWidth="1"/>
    <col min="47" max="47" width="12" bestFit="1" customWidth="1"/>
    <col min="48" max="48" width="13.5546875" bestFit="1" customWidth="1"/>
    <col min="49" max="49" width="11.88671875" bestFit="1" customWidth="1"/>
    <col min="50" max="50" width="10.88671875" bestFit="1" customWidth="1"/>
    <col min="51" max="52" width="11.88671875" bestFit="1" customWidth="1"/>
    <col min="53" max="53" width="12.109375" bestFit="1" customWidth="1"/>
    <col min="54" max="55" width="10.88671875" bestFit="1" customWidth="1"/>
    <col min="56" max="56" width="11.6640625" bestFit="1" customWidth="1"/>
    <col min="57" max="57" width="12" bestFit="1" customWidth="1"/>
    <col min="58" max="59" width="13.6640625" bestFit="1" customWidth="1"/>
    <col min="60" max="61" width="12.6640625" bestFit="1" customWidth="1"/>
    <col min="62" max="62" width="13.5546875" bestFit="1" customWidth="1"/>
    <col min="63" max="64" width="12.6640625" bestFit="1" customWidth="1"/>
    <col min="65" max="65" width="11.88671875" bestFit="1" customWidth="1"/>
    <col min="66" max="66" width="12.6640625" bestFit="1" customWidth="1"/>
    <col min="67" max="67" width="11.6640625" bestFit="1" customWidth="1"/>
    <col min="68" max="70" width="11.88671875" bestFit="1" customWidth="1"/>
    <col min="71" max="71" width="12.6640625" bestFit="1" customWidth="1"/>
    <col min="72" max="73" width="11.88671875" bestFit="1" customWidth="1"/>
    <col min="74" max="74" width="11.6640625" bestFit="1" customWidth="1"/>
    <col min="75" max="75" width="10.6640625" bestFit="1" customWidth="1"/>
  </cols>
  <sheetData>
    <row r="1" spans="1:148" x14ac:dyDescent="0.3">
      <c r="B1" t="s">
        <v>474</v>
      </c>
      <c r="Q1" s="18"/>
      <c r="R1" s="18"/>
    </row>
    <row r="2" spans="1:148" x14ac:dyDescent="0.3">
      <c r="A2" t="s">
        <v>618</v>
      </c>
      <c r="B2" s="7">
        <v>9.9999999999999995E-21</v>
      </c>
    </row>
    <row r="5" spans="1:148" x14ac:dyDescent="0.3">
      <c r="Q5" s="18"/>
      <c r="R5" s="18"/>
      <c r="EI5" s="18"/>
      <c r="EJ5" s="18"/>
      <c r="EK5" s="18"/>
      <c r="EL5" s="18"/>
      <c r="EM5" s="18"/>
      <c r="EN5" s="18"/>
      <c r="EO5" s="18"/>
      <c r="EP5" s="18"/>
      <c r="EQ5" s="18"/>
      <c r="ER5" s="18"/>
    </row>
    <row r="6" spans="1:148" x14ac:dyDescent="0.3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</row>
    <row r="7" spans="1:148" x14ac:dyDescent="0.3">
      <c r="Q7" s="18"/>
      <c r="R7" s="18"/>
    </row>
    <row r="8" spans="1:148" x14ac:dyDescent="0.3">
      <c r="B8" s="19"/>
      <c r="Q8" s="18"/>
      <c r="R8" s="18"/>
    </row>
    <row r="10" spans="1:148" x14ac:dyDescent="0.3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</row>
    <row r="11" spans="1:148" x14ac:dyDescent="0.3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</row>
    <row r="12" spans="1:148" x14ac:dyDescent="0.3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</row>
    <row r="13" spans="1:148" x14ac:dyDescent="0.3">
      <c r="B13" s="22"/>
      <c r="C13" s="22"/>
      <c r="D13" s="22"/>
      <c r="E13" s="22"/>
      <c r="F13" s="22"/>
      <c r="G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</row>
    <row r="15" spans="1:148" x14ac:dyDescent="0.3">
      <c r="B15" s="2"/>
      <c r="C15" s="2"/>
      <c r="D15" s="2"/>
      <c r="E15" s="2"/>
      <c r="F15" s="2"/>
      <c r="G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148" x14ac:dyDescent="0.3">
      <c r="B16" s="2"/>
      <c r="C16" s="2"/>
      <c r="D16" s="2"/>
      <c r="E16" s="2"/>
      <c r="F16" s="2"/>
      <c r="G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spans="2:75" x14ac:dyDescent="0.3">
      <c r="B17" s="2"/>
      <c r="C17" s="2"/>
      <c r="D17" s="2"/>
      <c r="E17" s="2"/>
      <c r="F17" s="2"/>
      <c r="G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</row>
    <row r="18" spans="2:75" x14ac:dyDescent="0.3">
      <c r="B18" s="2"/>
      <c r="C18" s="2"/>
      <c r="D18" s="2"/>
      <c r="E18" s="2"/>
      <c r="F18" s="2"/>
      <c r="G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2:75" x14ac:dyDescent="0.3">
      <c r="B19" s="2"/>
      <c r="C19" s="2"/>
      <c r="D19" s="2"/>
      <c r="E19" s="2"/>
      <c r="F19" s="2"/>
      <c r="G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23</vt:i4>
      </vt:variant>
      <vt:variant>
        <vt:lpstr>Benannte Bereiche</vt:lpstr>
      </vt:variant>
      <vt:variant>
        <vt:i4>1</vt:i4>
      </vt:variant>
    </vt:vector>
  </HeadingPairs>
  <TitlesOfParts>
    <vt:vector size="24" baseType="lpstr">
      <vt:lpstr>Dictionary</vt:lpstr>
      <vt:lpstr>Layout</vt:lpstr>
      <vt:lpstr>MACC</vt:lpstr>
      <vt:lpstr>sets</vt:lpstr>
      <vt:lpstr>maps</vt:lpstr>
      <vt:lpstr>EmiInv</vt:lpstr>
      <vt:lpstr>mapK</vt:lpstr>
      <vt:lpstr>pnest</vt:lpstr>
      <vt:lpstr>defPar</vt:lpstr>
      <vt:lpstr>fmNest</vt:lpstr>
      <vt:lpstr>Tabelle1</vt:lpstr>
      <vt:lpstr>Tabelle2</vt:lpstr>
      <vt:lpstr>Tabelle3</vt:lpstr>
      <vt:lpstr>actPar</vt:lpstr>
      <vt:lpstr>comPar</vt:lpstr>
      <vt:lpstr>hohPar</vt:lpstr>
      <vt:lpstr>GDPComposition</vt:lpstr>
      <vt:lpstr>EnTech</vt:lpstr>
      <vt:lpstr>othPar</vt:lpstr>
      <vt:lpstr>GHGMitigation</vt:lpstr>
      <vt:lpstr>Energy</vt:lpstr>
      <vt:lpstr>SAM</vt:lpstr>
      <vt:lpstr>Labor</vt:lpstr>
      <vt:lpstr>hhElas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van der Mensbrugghe</dc:creator>
  <cp:lastModifiedBy>Britz Wolfgang</cp:lastModifiedBy>
  <cp:lastPrinted>2012-09-24T12:18:17Z</cp:lastPrinted>
  <dcterms:created xsi:type="dcterms:W3CDTF">2012-09-21T14:15:22Z</dcterms:created>
  <dcterms:modified xsi:type="dcterms:W3CDTF">2025-01-05T17:36:46Z</dcterms:modified>
</cp:coreProperties>
</file>