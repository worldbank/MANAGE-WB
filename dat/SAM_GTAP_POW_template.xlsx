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backupFile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NG_WB_OS\dat\"/>
    </mc:Choice>
  </mc:AlternateContent>
  <xr:revisionPtr revIDLastSave="0" documentId="13_ncr:1_{1FFA13D6-5953-4325-A8D8-BCDCE6A9E575}" xr6:coauthVersionLast="47" xr6:coauthVersionMax="47" xr10:uidLastSave="{00000000-0000-0000-0000-000000000000}"/>
  <bookViews>
    <workbookView xWindow="-108" yWindow="-108" windowWidth="23256" windowHeight="12456" tabRatio="783" activeTab="2" xr2:uid="{00000000-000D-0000-FFFF-FFFF00000000}"/>
  </bookViews>
  <sheets>
    <sheet name="Layout" sheetId="12" r:id="rId1"/>
    <sheet name="SplitShr" sheetId="79" r:id="rId2"/>
    <sheet name="Sets" sheetId="19" r:id="rId3"/>
    <sheet name="Macro" sheetId="17" r:id="rId4"/>
    <sheet name="MACRO-Sam" sheetId="77" r:id="rId5"/>
    <sheet name="Proto-SAM" sheetId="78" r:id="rId6"/>
    <sheet name="Fixes" sheetId="76" r:id="rId7"/>
  </sheets>
  <externalReferences>
    <externalReference r:id="rId8"/>
  </externalReferences>
  <definedNames>
    <definedName name="_Fill" hidden="1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anscount" hidden="1">1</definedName>
    <definedName name="_xlnm.Print_Area">#REF!</definedName>
    <definedName name="PRINT_AREA_MI">#REF!</definedName>
  </definedNames>
  <calcPr calcId="191029"/>
</workbook>
</file>

<file path=xl/calcChain.xml><?xml version="1.0" encoding="utf-8"?>
<calcChain xmlns="http://schemas.openxmlformats.org/spreadsheetml/2006/main">
  <c r="C39" i="12" l="1"/>
  <c r="C38" i="12"/>
  <c r="C37" i="12"/>
  <c r="C36" i="12"/>
  <c r="C35" i="12"/>
  <c r="C34" i="12"/>
  <c r="C33" i="12"/>
  <c r="C32" i="12"/>
  <c r="C31" i="12"/>
  <c r="C30" i="12"/>
  <c r="C29" i="12"/>
  <c r="C28" i="12"/>
  <c r="C27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A3" i="19"/>
  <c r="AU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A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scottm</author>
  </authors>
  <commentList>
    <comment ref="A3" authorId="0" shapeId="0" xr:uid="{9AD0EAE5-51A4-498E-B49D-7345BFBA42DB}">
      <text>
        <r>
          <rPr>
            <sz val="8"/>
            <color indexed="81"/>
            <rFont val="Tahoma"/>
            <family val="2"/>
          </rPr>
          <t>Dset  - GAMS set
par - parameter</t>
        </r>
      </text>
    </comment>
    <comment ref="B3" authorId="0" shapeId="0" xr:uid="{48845C43-3B95-408D-A18C-DE2DC41D175F}">
      <text>
        <r>
          <rPr>
            <sz val="8"/>
            <color indexed="81"/>
            <rFont val="Tahoma"/>
            <family val="2"/>
          </rPr>
          <t>Name of the set or parameter</t>
        </r>
      </text>
    </comment>
    <comment ref="C3" authorId="0" shapeId="0" xr:uid="{AA6295DC-76E0-4800-A3CD-B038FAE06B07}">
      <text>
        <r>
          <rPr>
            <sz val="8"/>
            <color indexed="81"/>
            <rFont val="Tahoma"/>
            <family val="2"/>
          </rPr>
          <t>expressed as
worksheet range</t>
        </r>
      </text>
    </comment>
  </commentList>
</comments>
</file>

<file path=xl/sharedStrings.xml><?xml version="1.0" encoding="utf-8"?>
<sst xmlns="http://schemas.openxmlformats.org/spreadsheetml/2006/main" count="2963" uniqueCount="772">
  <si>
    <t>Trade</t>
  </si>
  <si>
    <t>Enterprises</t>
  </si>
  <si>
    <t>Government</t>
  </si>
  <si>
    <t>Data Type</t>
  </si>
  <si>
    <t>dset</t>
  </si>
  <si>
    <t>Name</t>
  </si>
  <si>
    <t>Location</t>
  </si>
  <si>
    <t>c</t>
  </si>
  <si>
    <t>a</t>
  </si>
  <si>
    <t>f</t>
  </si>
  <si>
    <t>l</t>
  </si>
  <si>
    <t>k</t>
  </si>
  <si>
    <t>g</t>
  </si>
  <si>
    <t>e</t>
  </si>
  <si>
    <t>w</t>
  </si>
  <si>
    <t>h</t>
  </si>
  <si>
    <t>Model Specific Sets</t>
  </si>
  <si>
    <t>GAMS Name</t>
  </si>
  <si>
    <t>Description</t>
  </si>
  <si>
    <t>Export taxes</t>
  </si>
  <si>
    <t>rdim</t>
  </si>
  <si>
    <t>cdim</t>
  </si>
  <si>
    <t>dim</t>
  </si>
  <si>
    <t>Row dimension</t>
  </si>
  <si>
    <t>Column dimension</t>
  </si>
  <si>
    <t>Total dimension</t>
  </si>
  <si>
    <t>Commodities</t>
  </si>
  <si>
    <t>Activities</t>
  </si>
  <si>
    <t>Factors</t>
  </si>
  <si>
    <t>Labour Factors</t>
  </si>
  <si>
    <t>Capital Factors</t>
  </si>
  <si>
    <t>Households</t>
  </si>
  <si>
    <t>par</t>
  </si>
  <si>
    <t>i</t>
  </si>
  <si>
    <t>Direct taxes</t>
  </si>
  <si>
    <t>ac</t>
  </si>
  <si>
    <t>AC</t>
  </si>
  <si>
    <t>macro</t>
  </si>
  <si>
    <t>Total GOS income from RoW</t>
  </si>
  <si>
    <t xml:space="preserve">Total labour income from RoW </t>
  </si>
  <si>
    <t xml:space="preserve">Total enterprise income from factors </t>
  </si>
  <si>
    <t>Total enterprise income from government</t>
  </si>
  <si>
    <t xml:space="preserve">Total commmodity taxes </t>
  </si>
  <si>
    <t>Total excise tax revenues</t>
  </si>
  <si>
    <t>Total activity taxes and subsdies</t>
  </si>
  <si>
    <t xml:space="preserve">Total activity taxes </t>
  </si>
  <si>
    <t>Total enterprise income taxes</t>
  </si>
  <si>
    <t xml:space="preserve">Total depreciation </t>
  </si>
  <si>
    <t xml:space="preserve">Total enterprise savings </t>
  </si>
  <si>
    <t>Total RoW income from enterprises</t>
  </si>
  <si>
    <t>tgosyrow2</t>
  </si>
  <si>
    <t>tlabyrow2</t>
  </si>
  <si>
    <t>teyfact2</t>
  </si>
  <si>
    <t>teygov2</t>
  </si>
  <si>
    <t>tcomtax2</t>
  </si>
  <si>
    <t>texctax2</t>
  </si>
  <si>
    <t>tacttax2</t>
  </si>
  <si>
    <t>tindtax2</t>
  </si>
  <si>
    <t>tdetax2</t>
  </si>
  <si>
    <t>tdeprec2</t>
  </si>
  <si>
    <t>tesav2</t>
  </si>
  <si>
    <t>trowyent2</t>
  </si>
  <si>
    <t>Indirect taxes</t>
  </si>
  <si>
    <t>gtdir</t>
  </si>
  <si>
    <t>gtind</t>
  </si>
  <si>
    <t>CMDTY3</t>
  </si>
  <si>
    <t>ACTVTY3</t>
  </si>
  <si>
    <t>FCTR3</t>
  </si>
  <si>
    <t>LBR3</t>
  </si>
  <si>
    <t>KPTL3</t>
  </si>
  <si>
    <t>HHLD3</t>
  </si>
  <si>
    <t>GOVT3</t>
  </si>
  <si>
    <t>ITAX3</t>
  </si>
  <si>
    <t>DTAX3</t>
  </si>
  <si>
    <t>WRLD3</t>
  </si>
  <si>
    <t>TOTAL3</t>
  </si>
  <si>
    <t>ENTRP3</t>
  </si>
  <si>
    <t>macsam2</t>
  </si>
  <si>
    <t>acm</t>
  </si>
  <si>
    <t>tfidemand2</t>
  </si>
  <si>
    <t>macro!A6</t>
  </si>
  <si>
    <t>Macro-sam accounts</t>
  </si>
  <si>
    <t>etax</t>
  </si>
  <si>
    <t>Macro control totals</t>
  </si>
  <si>
    <t>tgdpfc2</t>
  </si>
  <si>
    <t>Total GDP at factor cost</t>
  </si>
  <si>
    <t>tgdpmp2</t>
  </si>
  <si>
    <t>Total GDP at market prices</t>
  </si>
  <si>
    <t>se=0</t>
  </si>
  <si>
    <t>Potential macro controls</t>
  </si>
  <si>
    <t>macromat</t>
  </si>
  <si>
    <t>set</t>
  </si>
  <si>
    <t>macscale</t>
  </si>
  <si>
    <t>tnetfacrow2</t>
  </si>
  <si>
    <t>Total net factor income from RoW</t>
  </si>
  <si>
    <t>splitShr</t>
  </si>
  <si>
    <t>map_acIni_ac</t>
  </si>
  <si>
    <t>gt</t>
  </si>
  <si>
    <t>splitShr!C5</t>
  </si>
  <si>
    <t>macmap3</t>
  </si>
  <si>
    <t>SAMIni</t>
  </si>
  <si>
    <t>map_acIni_acini</t>
  </si>
  <si>
    <t>map_aG_ac</t>
  </si>
  <si>
    <t>map_cG_ac</t>
  </si>
  <si>
    <t>map_fG_ac</t>
  </si>
  <si>
    <t>map_a_c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</si>
  <si>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</si>
  <si>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</si>
  <si>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</si>
  <si>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</si>
  <si>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</si>
  <si>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</si>
  <si>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</si>
  <si>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</si>
  <si>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</si>
  <si>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</si>
  <si>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</si>
  <si>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</si>
  <si>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</si>
  <si>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</si>
  <si>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</si>
  <si>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oil</t>
  </si>
  <si>
    <t>gas</t>
  </si>
  <si>
    <t>oxt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</si>
  <si>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</si>
  <si>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</si>
  <si>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</si>
  <si>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</si>
  <si>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</si>
  <si>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</si>
  <si>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</si>
  <si>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</si>
  <si>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</si>
  <si>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</si>
  <si>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</si>
  <si>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</si>
  <si>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</si>
  <si>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p_c</t>
  </si>
  <si>
    <t>chm</t>
  </si>
  <si>
    <t>bph</t>
  </si>
  <si>
    <t>rpp</t>
  </si>
  <si>
    <t>nmm</t>
  </si>
  <si>
    <t>i_s</t>
  </si>
  <si>
    <t>nfm</t>
  </si>
  <si>
    <t>fmp</t>
  </si>
  <si>
    <t>ele</t>
  </si>
  <si>
    <t>eeq</t>
  </si>
  <si>
    <t>ome</t>
  </si>
  <si>
    <t>mvh</t>
  </si>
  <si>
    <t>otn</t>
  </si>
  <si>
    <t>omf</t>
  </si>
  <si>
    <t>TnD</t>
  </si>
  <si>
    <t>gdt</t>
  </si>
  <si>
    <t>wtr</t>
  </si>
  <si>
    <t>cns</t>
  </si>
  <si>
    <t>trd</t>
  </si>
  <si>
    <t>afs</t>
  </si>
  <si>
    <t>otp</t>
  </si>
  <si>
    <t>wtp</t>
  </si>
  <si>
    <t>atp</t>
  </si>
  <si>
    <t>whs</t>
  </si>
  <si>
    <t>cmn</t>
  </si>
  <si>
    <t>ofi</t>
  </si>
  <si>
    <t>ins</t>
  </si>
  <si>
    <t>rsa</t>
  </si>
  <si>
    <t>obs</t>
  </si>
  <si>
    <t>ros</t>
  </si>
  <si>
    <t>osg</t>
  </si>
  <si>
    <t>edu</t>
  </si>
  <si>
    <t>hht</t>
  </si>
  <si>
    <t>dwe</t>
  </si>
  <si>
    <t>i-INVST3</t>
  </si>
  <si>
    <t>Total fixed i-INVestment demand</t>
  </si>
  <si>
    <t>Savings INVestment</t>
  </si>
  <si>
    <t>total-i</t>
  </si>
  <si>
    <t>total0</t>
  </si>
  <si>
    <t>f-Land_0</t>
  </si>
  <si>
    <t>f-NatlRes_0</t>
  </si>
  <si>
    <t>debt_0</t>
  </si>
  <si>
    <t>macroMat</t>
  </si>
  <si>
    <t>asplit_gtap</t>
  </si>
  <si>
    <t>csplit_gtap</t>
  </si>
  <si>
    <t>Acts split with GTAP</t>
  </si>
  <si>
    <t>Comm. Split  with GTGAP</t>
  </si>
  <si>
    <t>aciniMac</t>
  </si>
  <si>
    <t>acIniMac</t>
  </si>
  <si>
    <t>fixes</t>
  </si>
  <si>
    <t>Fixes!A1</t>
  </si>
  <si>
    <t xml:space="preserve"> </t>
  </si>
  <si>
    <t>a-pdr_i</t>
  </si>
  <si>
    <t>a-wht_i</t>
  </si>
  <si>
    <t>a-gro_i</t>
  </si>
  <si>
    <t>a-v_f_i</t>
  </si>
  <si>
    <t>a-osd_i</t>
  </si>
  <si>
    <t>a-c_b_i</t>
  </si>
  <si>
    <t>a-pfb_i</t>
  </si>
  <si>
    <t>a-ocr_i</t>
  </si>
  <si>
    <t>a-ctl_i</t>
  </si>
  <si>
    <t>a-oap_i</t>
  </si>
  <si>
    <t>a-rmk_i</t>
  </si>
  <si>
    <t>a-wol_i</t>
  </si>
  <si>
    <t>a-frs_i</t>
  </si>
  <si>
    <t>a-fsh_i</t>
  </si>
  <si>
    <t>a-coa_i</t>
  </si>
  <si>
    <t>a-oil_i</t>
  </si>
  <si>
    <t>a-gas_i</t>
  </si>
  <si>
    <t>a-oxt_i</t>
  </si>
  <si>
    <t>a-cmt_i</t>
  </si>
  <si>
    <t>a-omt_i</t>
  </si>
  <si>
    <t>a-vol_i</t>
  </si>
  <si>
    <t>a-mil_i</t>
  </si>
  <si>
    <t>a-pcr_i</t>
  </si>
  <si>
    <t>a-sgr_i</t>
  </si>
  <si>
    <t>a-ofd_i</t>
  </si>
  <si>
    <t>a-b_t_i</t>
  </si>
  <si>
    <t>a-tex_i</t>
  </si>
  <si>
    <t>a-wap_i</t>
  </si>
  <si>
    <t>a-lea_i</t>
  </si>
  <si>
    <t>a-lum_i</t>
  </si>
  <si>
    <t>a-ppp_i</t>
  </si>
  <si>
    <t>a-p_c_i</t>
  </si>
  <si>
    <t>a-chm_i</t>
  </si>
  <si>
    <t>a-bph_i</t>
  </si>
  <si>
    <t>a-rpp_i</t>
  </si>
  <si>
    <t>a-nmm_i</t>
  </si>
  <si>
    <t>a-i_s_i</t>
  </si>
  <si>
    <t>a-nfm_i</t>
  </si>
  <si>
    <t>a-fmp_i</t>
  </si>
  <si>
    <t>a-ele_i</t>
  </si>
  <si>
    <t>a-eeq_i</t>
  </si>
  <si>
    <t>a-ome_i</t>
  </si>
  <si>
    <t>a-mvh_i</t>
  </si>
  <si>
    <t>a-otn_i</t>
  </si>
  <si>
    <t>a-omf_i</t>
  </si>
  <si>
    <t>a-gdt_i</t>
  </si>
  <si>
    <t>a-wtr_i</t>
  </si>
  <si>
    <t>a-cns_i</t>
  </si>
  <si>
    <t>a-trd_i</t>
  </si>
  <si>
    <t>a-afs_i</t>
  </si>
  <si>
    <t>a-otp_i</t>
  </si>
  <si>
    <t>a-wtp_i</t>
  </si>
  <si>
    <t>a-atp_i</t>
  </si>
  <si>
    <t>a-whs_i</t>
  </si>
  <si>
    <t>a-cmn_i</t>
  </si>
  <si>
    <t>a-ofi_i</t>
  </si>
  <si>
    <t>a-ins_i</t>
  </si>
  <si>
    <t>a-rsa_i</t>
  </si>
  <si>
    <t>a-obs_i</t>
  </si>
  <si>
    <t>a-ros_i</t>
  </si>
  <si>
    <t>a-osg_i</t>
  </si>
  <si>
    <t>a-edu_i</t>
  </si>
  <si>
    <t>a-hht_i</t>
  </si>
  <si>
    <t>a-dwe_i</t>
  </si>
  <si>
    <t>c-pdr_i</t>
  </si>
  <si>
    <t>c-wht_i</t>
  </si>
  <si>
    <t>c-gro_i</t>
  </si>
  <si>
    <t>c-v_f_i</t>
  </si>
  <si>
    <t>c-osd_i</t>
  </si>
  <si>
    <t>c-c_b_i</t>
  </si>
  <si>
    <t>c-pfb_i</t>
  </si>
  <si>
    <t>c-ocr_i</t>
  </si>
  <si>
    <t>c-ctl_i</t>
  </si>
  <si>
    <t>c-oap_i</t>
  </si>
  <si>
    <t>c-rmk_i</t>
  </si>
  <si>
    <t>c-wol_i</t>
  </si>
  <si>
    <t>c-frs_i</t>
  </si>
  <si>
    <t>c-fsh_i</t>
  </si>
  <si>
    <t>c-coa_i</t>
  </si>
  <si>
    <t>c-oil_i</t>
  </si>
  <si>
    <t>c-gas_i</t>
  </si>
  <si>
    <t>c-oxt_i</t>
  </si>
  <si>
    <t>c-cmt_i</t>
  </si>
  <si>
    <t>c-omt_i</t>
  </si>
  <si>
    <t>c-vol_i</t>
  </si>
  <si>
    <t>c-mil_i</t>
  </si>
  <si>
    <t>c-pcr_i</t>
  </si>
  <si>
    <t>c-sgr_i</t>
  </si>
  <si>
    <t>c-ofd_i</t>
  </si>
  <si>
    <t>c-b_t_i</t>
  </si>
  <si>
    <t>c-tex_i</t>
  </si>
  <si>
    <t>c-wap_i</t>
  </si>
  <si>
    <t>c-lea_i</t>
  </si>
  <si>
    <t>c-lum_i</t>
  </si>
  <si>
    <t>c-ppp_i</t>
  </si>
  <si>
    <t>c-p_c_i</t>
  </si>
  <si>
    <t>c-chm_i</t>
  </si>
  <si>
    <t>c-bph_i</t>
  </si>
  <si>
    <t>c-rpp_i</t>
  </si>
  <si>
    <t>c-nmm_i</t>
  </si>
  <si>
    <t>c-i_s_i</t>
  </si>
  <si>
    <t>c-nfm_i</t>
  </si>
  <si>
    <t>c-fmp_i</t>
  </si>
  <si>
    <t>c-ele_i</t>
  </si>
  <si>
    <t>c-eeq_i</t>
  </si>
  <si>
    <t>c-ome_i</t>
  </si>
  <si>
    <t>c-mvh_i</t>
  </si>
  <si>
    <t>c-otn_i</t>
  </si>
  <si>
    <t>c-omf_i</t>
  </si>
  <si>
    <t>c-gdt_i</t>
  </si>
  <si>
    <t>c-wtr_i</t>
  </si>
  <si>
    <t>c-cns_i</t>
  </si>
  <si>
    <t>c-trd_i</t>
  </si>
  <si>
    <t>c-afs_i</t>
  </si>
  <si>
    <t>c-otp_i</t>
  </si>
  <si>
    <t>c-wtp_i</t>
  </si>
  <si>
    <t>c-atp_i</t>
  </si>
  <si>
    <t>c-whs_i</t>
  </si>
  <si>
    <t>c-cmn_i</t>
  </si>
  <si>
    <t>c-ofi_i</t>
  </si>
  <si>
    <t>c-ins_i</t>
  </si>
  <si>
    <t>c-rsa_i</t>
  </si>
  <si>
    <t>c-obs_i</t>
  </si>
  <si>
    <t>c-ros_i</t>
  </si>
  <si>
    <t>c-osg_i</t>
  </si>
  <si>
    <t>c-edu_i</t>
  </si>
  <si>
    <t>c-hht_i</t>
  </si>
  <si>
    <t>c-dwe_i</t>
  </si>
  <si>
    <t>f-Land_i</t>
  </si>
  <si>
    <t>f-tech_aspros_i</t>
  </si>
  <si>
    <t>f-clerks_i</t>
  </si>
  <si>
    <t>f-service_shop_i</t>
  </si>
  <si>
    <t>f-off_mgr_pros_i</t>
  </si>
  <si>
    <t>f-ag_othlowsk_i</t>
  </si>
  <si>
    <t>f-Capital_i</t>
  </si>
  <si>
    <t>f-NatlRes_i</t>
  </si>
  <si>
    <t>h-hhold_i</t>
  </si>
  <si>
    <t>g-govt_i</t>
  </si>
  <si>
    <t>w-ww_world_i</t>
  </si>
  <si>
    <t>f-F_skl_i</t>
  </si>
  <si>
    <t>f-M_skl_i</t>
  </si>
  <si>
    <t>f-F_nsk_i</t>
  </si>
  <si>
    <t>f-M_nsk_i</t>
  </si>
  <si>
    <t>a-pdr_0</t>
  </si>
  <si>
    <t>a-wht_0</t>
  </si>
  <si>
    <t>a-gro_0</t>
  </si>
  <si>
    <t>a-v_f_0</t>
  </si>
  <si>
    <t>a-osd_0</t>
  </si>
  <si>
    <t>a-c_b_0</t>
  </si>
  <si>
    <t>a-pfb_0</t>
  </si>
  <si>
    <t>a-ocr_0</t>
  </si>
  <si>
    <t>a-ctl_0</t>
  </si>
  <si>
    <t>a-oap_0</t>
  </si>
  <si>
    <t>a-rmk_0</t>
  </si>
  <si>
    <t>a-wol_0</t>
  </si>
  <si>
    <t>a-frs_0</t>
  </si>
  <si>
    <t>a-fsh_0</t>
  </si>
  <si>
    <t>a-coa_0</t>
  </si>
  <si>
    <t>a-oil_0</t>
  </si>
  <si>
    <t>a-gas_0</t>
  </si>
  <si>
    <t>a-oxt_0</t>
  </si>
  <si>
    <t>a-cmt_0</t>
  </si>
  <si>
    <t>a-omt_0</t>
  </si>
  <si>
    <t>a-vol_0</t>
  </si>
  <si>
    <t>a-mil_0</t>
  </si>
  <si>
    <t>a-pcr_0</t>
  </si>
  <si>
    <t>a-sgr_0</t>
  </si>
  <si>
    <t>a-ofd_0</t>
  </si>
  <si>
    <t>a-b_t_0</t>
  </si>
  <si>
    <t>a-tex_0</t>
  </si>
  <si>
    <t>a-wap_0</t>
  </si>
  <si>
    <t>a-lea_0</t>
  </si>
  <si>
    <t>a-lum_0</t>
  </si>
  <si>
    <t>a-ppp_0</t>
  </si>
  <si>
    <t>a-p_c_0</t>
  </si>
  <si>
    <t>a-chm_0</t>
  </si>
  <si>
    <t>a-bph_0</t>
  </si>
  <si>
    <t>a-rpp_0</t>
  </si>
  <si>
    <t>a-nmm_0</t>
  </si>
  <si>
    <t>a-i_s_0</t>
  </si>
  <si>
    <t>a-nfm_0</t>
  </si>
  <si>
    <t>a-fmp_0</t>
  </si>
  <si>
    <t>a-ele_0</t>
  </si>
  <si>
    <t>a-eeq_0</t>
  </si>
  <si>
    <t>a-ome_0</t>
  </si>
  <si>
    <t>a-mvh_0</t>
  </si>
  <si>
    <t>a-otn_0</t>
  </si>
  <si>
    <t>a-omf_0</t>
  </si>
  <si>
    <t>a-gdt_0</t>
  </si>
  <si>
    <t>a-wtr_0</t>
  </si>
  <si>
    <t>a-cns_0</t>
  </si>
  <si>
    <t>a-trd_0</t>
  </si>
  <si>
    <t>a-afs_0</t>
  </si>
  <si>
    <t>a-otp_0</t>
  </si>
  <si>
    <t>a-wtp_0</t>
  </si>
  <si>
    <t>a-atp_0</t>
  </si>
  <si>
    <t>a-whs_0</t>
  </si>
  <si>
    <t>a-cmn_0</t>
  </si>
  <si>
    <t>a-ofi_0</t>
  </si>
  <si>
    <t>a-ins_0</t>
  </si>
  <si>
    <t>a-rsa_0</t>
  </si>
  <si>
    <t>a-obs_0</t>
  </si>
  <si>
    <t>a-ros_0</t>
  </si>
  <si>
    <t>a-osg_0</t>
  </si>
  <si>
    <t>a-edu_0</t>
  </si>
  <si>
    <t>a-hht_0</t>
  </si>
  <si>
    <t>a-dwe_0</t>
  </si>
  <si>
    <t>c-pdr_0</t>
  </si>
  <si>
    <t>c-wht_0</t>
  </si>
  <si>
    <t>c-gro_0</t>
  </si>
  <si>
    <t>c-v_f_0</t>
  </si>
  <si>
    <t>c-osd_0</t>
  </si>
  <si>
    <t>c-c_b_0</t>
  </si>
  <si>
    <t>c-pfb_0</t>
  </si>
  <si>
    <t>c-ocr_0</t>
  </si>
  <si>
    <t>c-ctl_0</t>
  </si>
  <si>
    <t>c-oap_0</t>
  </si>
  <si>
    <t>c-rmk_0</t>
  </si>
  <si>
    <t>c-wol_0</t>
  </si>
  <si>
    <t>c-frs_0</t>
  </si>
  <si>
    <t>c-fsh_0</t>
  </si>
  <si>
    <t>c-coa_0</t>
  </si>
  <si>
    <t>c-oil_0</t>
  </si>
  <si>
    <t>c-gas_0</t>
  </si>
  <si>
    <t>c-oxt_0</t>
  </si>
  <si>
    <t>c-cmt_0</t>
  </si>
  <si>
    <t>c-omt_0</t>
  </si>
  <si>
    <t>c-vol_0</t>
  </si>
  <si>
    <t>c-mil_0</t>
  </si>
  <si>
    <t>c-pcr_0</t>
  </si>
  <si>
    <t>c-sgr_0</t>
  </si>
  <si>
    <t>c-ofd_0</t>
  </si>
  <si>
    <t>c-b_t_0</t>
  </si>
  <si>
    <t>c-tex_0</t>
  </si>
  <si>
    <t>c-wap_0</t>
  </si>
  <si>
    <t>c-lea_0</t>
  </si>
  <si>
    <t>c-lum_0</t>
  </si>
  <si>
    <t>c-ppp_0</t>
  </si>
  <si>
    <t>c-p_c_0</t>
  </si>
  <si>
    <t>c-chm_0</t>
  </si>
  <si>
    <t>c-bph_0</t>
  </si>
  <si>
    <t>c-rpp_0</t>
  </si>
  <si>
    <t>c-nmm_0</t>
  </si>
  <si>
    <t>c-i_s_0</t>
  </si>
  <si>
    <t>c-nfm_0</t>
  </si>
  <si>
    <t>c-fmp_0</t>
  </si>
  <si>
    <t>c-ele_0</t>
  </si>
  <si>
    <t>c-eeq_0</t>
  </si>
  <si>
    <t>c-ome_0</t>
  </si>
  <si>
    <t>c-mvh_0</t>
  </si>
  <si>
    <t>c-otn_0</t>
  </si>
  <si>
    <t>c-omf_0</t>
  </si>
  <si>
    <t>c-gdt_0</t>
  </si>
  <si>
    <t>c-wtr_0</t>
  </si>
  <si>
    <t>c-cns_0</t>
  </si>
  <si>
    <t>c-trd_0</t>
  </si>
  <si>
    <t>c-afs_0</t>
  </si>
  <si>
    <t>c-otp_0</t>
  </si>
  <si>
    <t>c-wtp_0</t>
  </si>
  <si>
    <t>c-atp_0</t>
  </si>
  <si>
    <t>c-whs_0</t>
  </si>
  <si>
    <t>c-cmn_0</t>
  </si>
  <si>
    <t>c-ofi_0</t>
  </si>
  <si>
    <t>c-ins_0</t>
  </si>
  <si>
    <t>c-rsa_0</t>
  </si>
  <si>
    <t>c-obs_0</t>
  </si>
  <si>
    <t>c-ros_0</t>
  </si>
  <si>
    <t>c-osg_0</t>
  </si>
  <si>
    <t>c-edu_0</t>
  </si>
  <si>
    <t>c-hht_0</t>
  </si>
  <si>
    <t>c-dwe_0</t>
  </si>
  <si>
    <t>f-tech_aspros_0</t>
  </si>
  <si>
    <t>f-clerks_0</t>
  </si>
  <si>
    <t>f-service_shop_0</t>
  </si>
  <si>
    <t>f-off_mgr_pros_0</t>
  </si>
  <si>
    <t>f-ag_othlowsk_0</t>
  </si>
  <si>
    <t>f-Capital_0</t>
  </si>
  <si>
    <t>f-F_skl_0</t>
  </si>
  <si>
    <t>f-M_skl_0</t>
  </si>
  <si>
    <t>f-F_nsk_0</t>
  </si>
  <si>
    <t>f-M_nsk_0</t>
  </si>
  <si>
    <t>h-hhold_0</t>
  </si>
  <si>
    <t>g-govt_0</t>
  </si>
  <si>
    <t>t-PRODTAX_0</t>
  </si>
  <si>
    <t>t-DIRTAX_0</t>
  </si>
  <si>
    <t>i-CGDS_0</t>
  </si>
  <si>
    <t>w-ww_world_0</t>
  </si>
  <si>
    <t>i-ginv_0</t>
  </si>
  <si>
    <t>e-ent_0</t>
  </si>
  <si>
    <t>e-ent_i</t>
  </si>
  <si>
    <t>debt_i</t>
  </si>
  <si>
    <t>i-ginv_i</t>
  </si>
  <si>
    <t>Proto-SAM!A1</t>
  </si>
  <si>
    <t>macro-sam!B1</t>
  </si>
  <si>
    <t>macro-sam!a3</t>
  </si>
  <si>
    <t>a-TnD_i</t>
  </si>
  <si>
    <t>a-NuclearBL_i</t>
  </si>
  <si>
    <t>a-CoalBL_i</t>
  </si>
  <si>
    <t>a-GasBL_i</t>
  </si>
  <si>
    <t>a-WindBL_i</t>
  </si>
  <si>
    <t>a-HydroBL_i</t>
  </si>
  <si>
    <t>a-OilBL_i</t>
  </si>
  <si>
    <t>a-OtherBL_i</t>
  </si>
  <si>
    <t>a-GasP_i</t>
  </si>
  <si>
    <t>a-HydroP_i</t>
  </si>
  <si>
    <t>a-OilP_i</t>
  </si>
  <si>
    <t>a-SolarP_i</t>
  </si>
  <si>
    <t>c-TnD_i</t>
  </si>
  <si>
    <t>c-NuclearBL_i</t>
  </si>
  <si>
    <t>c-CoalBL_i</t>
  </si>
  <si>
    <t>c-GasBL_i</t>
  </si>
  <si>
    <t>c-WindBL_i</t>
  </si>
  <si>
    <t>c-HydroBL_i</t>
  </si>
  <si>
    <t>c-OilBL_i</t>
  </si>
  <si>
    <t>c-OtherBL_i</t>
  </si>
  <si>
    <t>c-GasP_i</t>
  </si>
  <si>
    <t>c-HydroP_i</t>
  </si>
  <si>
    <t>c-OilP_i</t>
  </si>
  <si>
    <t>c-SolarP_i</t>
  </si>
  <si>
    <t>a-TnD_0</t>
  </si>
  <si>
    <t>a-NuclearBL_0</t>
  </si>
  <si>
    <t>a-CoalBL_0</t>
  </si>
  <si>
    <t>a-GasBL_0</t>
  </si>
  <si>
    <t>a-WindBL_0</t>
  </si>
  <si>
    <t>a-HydroBL_0</t>
  </si>
  <si>
    <t>a-OilBL_0</t>
  </si>
  <si>
    <t>a-OtherBL_0</t>
  </si>
  <si>
    <t>a-GasP_0</t>
  </si>
  <si>
    <t>a-HydroP_0</t>
  </si>
  <si>
    <t>a-OilP_0</t>
  </si>
  <si>
    <t>a-SolarP_0</t>
  </si>
  <si>
    <t>c-TnD_0</t>
  </si>
  <si>
    <t>c-NuclearBL_0</t>
  </si>
  <si>
    <t>c-CoalBL_0</t>
  </si>
  <si>
    <t>c-GasBL_0</t>
  </si>
  <si>
    <t>c-WindBL_0</t>
  </si>
  <si>
    <t>c-HydroBL_0</t>
  </si>
  <si>
    <t>c-OilBL_0</t>
  </si>
  <si>
    <t>c-OtherBL_0</t>
  </si>
  <si>
    <t>c-GasP_0</t>
  </si>
  <si>
    <t>c-HydroP_0</t>
  </si>
  <si>
    <t>c-OilP_0</t>
  </si>
  <si>
    <t>c-SolarP_0</t>
  </si>
  <si>
    <t>NuclearBL</t>
  </si>
  <si>
    <t>CoalBL</t>
  </si>
  <si>
    <t>GasBL</t>
  </si>
  <si>
    <t>WindBL</t>
  </si>
  <si>
    <t>HydroBL</t>
  </si>
  <si>
    <t>OilBL</t>
  </si>
  <si>
    <t>OtherBL</t>
  </si>
  <si>
    <t>GasP</t>
  </si>
  <si>
    <t>HydroP</t>
  </si>
  <si>
    <t>OilP</t>
  </si>
  <si>
    <t>SolarP</t>
  </si>
  <si>
    <t>land</t>
  </si>
  <si>
    <t>tech_aspros</t>
  </si>
  <si>
    <t>clerks</t>
  </si>
  <si>
    <t>service_shop</t>
  </si>
  <si>
    <t>off_mgr_pros</t>
  </si>
  <si>
    <t>ag_othlowsk</t>
  </si>
  <si>
    <t>NatlRes</t>
  </si>
  <si>
    <t>Capital</t>
  </si>
  <si>
    <t>t-tech_aspros_i</t>
  </si>
  <si>
    <t>t-clerks_i</t>
  </si>
  <si>
    <t>t-service_shop_i</t>
  </si>
  <si>
    <t>t-off_mgr_pros_i</t>
  </si>
  <si>
    <t>t-ag_othlowsk_i</t>
  </si>
  <si>
    <t>t-Capital_i</t>
  </si>
  <si>
    <t>t-Land_i</t>
  </si>
  <si>
    <t>t-NatlRes_i</t>
  </si>
  <si>
    <t>t-tech_aspros_0</t>
  </si>
  <si>
    <t>t-clerks_0</t>
  </si>
  <si>
    <t>t-service_shop_0</t>
  </si>
  <si>
    <t>t-off_mgr_pros_0</t>
  </si>
  <si>
    <t>t-ag_othlowsk_0</t>
  </si>
  <si>
    <t>t-Capital_0</t>
  </si>
  <si>
    <t>t-Land_0</t>
  </si>
  <si>
    <t>t-NatlRes_0</t>
  </si>
  <si>
    <t>t-stx_i</t>
  </si>
  <si>
    <t>t-stx_0</t>
  </si>
  <si>
    <t>t-exp_0</t>
  </si>
  <si>
    <t>t-exp_i</t>
  </si>
  <si>
    <t>t-imp_0</t>
  </si>
  <si>
    <t>t-imp_i</t>
  </si>
  <si>
    <t>t-prodtax_0</t>
  </si>
  <si>
    <t>t-prodtax_i</t>
  </si>
  <si>
    <t>t-dirtax_0</t>
  </si>
  <si>
    <t>t-dirtax_i</t>
  </si>
  <si>
    <t>i-cgds_0</t>
  </si>
  <si>
    <t>i-cgds_i</t>
  </si>
  <si>
    <t>fsplit_gtap</t>
  </si>
  <si>
    <t>f-AEZ1_i</t>
  </si>
  <si>
    <t>f-AEZ2_i</t>
  </si>
  <si>
    <t>f-AEZ3_i</t>
  </si>
  <si>
    <t>f-AEZ4_i</t>
  </si>
  <si>
    <t>f-AEZ5_i</t>
  </si>
  <si>
    <t>f-AEZ6_i</t>
  </si>
  <si>
    <t>f-AEZ7_i</t>
  </si>
  <si>
    <t>f-AEZ8_i</t>
  </si>
  <si>
    <t>f-AEZ9_i</t>
  </si>
  <si>
    <t>f-AEZ10_i</t>
  </si>
  <si>
    <t>f-AEZ11_i</t>
  </si>
  <si>
    <t>f-AEZ12_i</t>
  </si>
  <si>
    <t>f-AEZ13_i</t>
  </si>
  <si>
    <t>f-AEZ14_i</t>
  </si>
  <si>
    <t>f-AEZ15_i</t>
  </si>
  <si>
    <t>f-AEZ16_i</t>
  </si>
  <si>
    <t>f-AEZ17_i</t>
  </si>
  <si>
    <t>f-AEZ18_i</t>
  </si>
  <si>
    <t>t-AEZ1_i</t>
  </si>
  <si>
    <t>t-AEZ2_i</t>
  </si>
  <si>
    <t>t-AEZ3_i</t>
  </si>
  <si>
    <t>t-AEZ4_i</t>
  </si>
  <si>
    <t>t-AEZ5_i</t>
  </si>
  <si>
    <t>t-AEZ6_i</t>
  </si>
  <si>
    <t>t-AEZ7_i</t>
  </si>
  <si>
    <t>t-AEZ8_i</t>
  </si>
  <si>
    <t>t-AEZ9_i</t>
  </si>
  <si>
    <t>t-AEZ10_i</t>
  </si>
  <si>
    <t>t-AEZ11_i</t>
  </si>
  <si>
    <t>t-AEZ12_i</t>
  </si>
  <si>
    <t>t-AEZ13_i</t>
  </si>
  <si>
    <t>t-AEZ14_i</t>
  </si>
  <si>
    <t>t-AEZ15_i</t>
  </si>
  <si>
    <t>t-AEZ16_i</t>
  </si>
  <si>
    <t>t-AEZ17_i</t>
  </si>
  <si>
    <t>t-AEZ18_i</t>
  </si>
  <si>
    <t>f-AEZ1_0</t>
  </si>
  <si>
    <t>f-AEZ2_0</t>
  </si>
  <si>
    <t>f-AEZ3_0</t>
  </si>
  <si>
    <t>f-AEZ4_0</t>
  </si>
  <si>
    <t>f-AEZ5_0</t>
  </si>
  <si>
    <t>f-AEZ6_0</t>
  </si>
  <si>
    <t>f-AEZ7_0</t>
  </si>
  <si>
    <t>f-AEZ8_0</t>
  </si>
  <si>
    <t>f-AEZ9_0</t>
  </si>
  <si>
    <t>f-AEZ10_0</t>
  </si>
  <si>
    <t>f-AEZ11_0</t>
  </si>
  <si>
    <t>f-AEZ12_0</t>
  </si>
  <si>
    <t>f-AEZ13_0</t>
  </si>
  <si>
    <t>f-AEZ14_0</t>
  </si>
  <si>
    <t>f-AEZ15_0</t>
  </si>
  <si>
    <t>f-AEZ16_0</t>
  </si>
  <si>
    <t>f-AEZ17_0</t>
  </si>
  <si>
    <t>f-AEZ18_0</t>
  </si>
  <si>
    <t>t-AEZ1_0</t>
  </si>
  <si>
    <t>t-AEZ2_0</t>
  </si>
  <si>
    <t>t-AEZ3_0</t>
  </si>
  <si>
    <t>t-AEZ4_0</t>
  </si>
  <si>
    <t>t-AEZ5_0</t>
  </si>
  <si>
    <t>t-AEZ6_0</t>
  </si>
  <si>
    <t>t-AEZ7_0</t>
  </si>
  <si>
    <t>t-AEZ8_0</t>
  </si>
  <si>
    <t>t-AEZ9_0</t>
  </si>
  <si>
    <t>t-AEZ10_0</t>
  </si>
  <si>
    <t>t-AEZ11_0</t>
  </si>
  <si>
    <t>t-AEZ12_0</t>
  </si>
  <si>
    <t>t-AEZ13_0</t>
  </si>
  <si>
    <t>t-AEZ14_0</t>
  </si>
  <si>
    <t>t-AEZ15_0</t>
  </si>
  <si>
    <t>t-AEZ16_0</t>
  </si>
  <si>
    <t>t-AEZ17_0</t>
  </si>
  <si>
    <t>t-AEZ18_0</t>
  </si>
  <si>
    <t>a-macc_0</t>
  </si>
  <si>
    <t>a-macc_i</t>
  </si>
  <si>
    <t>c-macc_0</t>
  </si>
  <si>
    <t>c-macc_i</t>
  </si>
  <si>
    <t>a-macro</t>
  </si>
  <si>
    <t>c-macro</t>
  </si>
  <si>
    <t>h-macro</t>
  </si>
  <si>
    <t>w-macro</t>
  </si>
  <si>
    <t>i-macro</t>
  </si>
  <si>
    <t>g-macro</t>
  </si>
  <si>
    <t>e-macro</t>
  </si>
  <si>
    <t>l-macro</t>
  </si>
  <si>
    <t>cap-macro</t>
  </si>
  <si>
    <t>tfac-macro</t>
  </si>
  <si>
    <t>texp-macro</t>
  </si>
  <si>
    <t>tstx-macro</t>
  </si>
  <si>
    <t>tdir-macro</t>
  </si>
  <si>
    <t>tprod-macro</t>
  </si>
  <si>
    <t xml:space="preserve">a-macro     </t>
  </si>
  <si>
    <t xml:space="preserve">c-macro     </t>
  </si>
  <si>
    <t xml:space="preserve">l-macro     </t>
  </si>
  <si>
    <t xml:space="preserve">cap-macro   </t>
  </si>
  <si>
    <t xml:space="preserve">lnd-macro   </t>
  </si>
  <si>
    <t xml:space="preserve">h-macro     </t>
  </si>
  <si>
    <t xml:space="preserve">e-macro     </t>
  </si>
  <si>
    <t xml:space="preserve">g-macro     </t>
  </si>
  <si>
    <t xml:space="preserve">i-macro     </t>
  </si>
  <si>
    <t xml:space="preserve">debt-macro  </t>
  </si>
  <si>
    <t xml:space="preserve">w-macro     </t>
  </si>
  <si>
    <t xml:space="preserve">tprod-macro </t>
  </si>
  <si>
    <t xml:space="preserve">tdir-macro  </t>
  </si>
  <si>
    <t xml:space="preserve">tstx-macro  </t>
  </si>
  <si>
    <t xml:space="preserve">timp-macro  </t>
  </si>
  <si>
    <t xml:space="preserve">texp-macro  </t>
  </si>
  <si>
    <t xml:space="preserve">tFac-macro  </t>
  </si>
  <si>
    <t>total3</t>
  </si>
  <si>
    <t>timp-macro</t>
  </si>
  <si>
    <t>lnd-macro</t>
  </si>
  <si>
    <t>other3</t>
  </si>
  <si>
    <t>debt-macro</t>
  </si>
  <si>
    <t>t-natlres_0</t>
  </si>
  <si>
    <t>t-F_skl_0</t>
  </si>
  <si>
    <t>t-M_skl_0</t>
  </si>
  <si>
    <t>t-F_nsk_0</t>
  </si>
  <si>
    <t>t-M_nsk_0</t>
  </si>
  <si>
    <t>t-F_skl_i</t>
  </si>
  <si>
    <t>t-M_skl_i</t>
  </si>
  <si>
    <t>t-F_nsk_i</t>
  </si>
  <si>
    <t>t-M_nsk_i</t>
  </si>
  <si>
    <t>a-ctlRais_0</t>
  </si>
  <si>
    <t>c-ctlRais_0</t>
  </si>
  <si>
    <t>a-ctlRais_i</t>
  </si>
  <si>
    <t>c-ctlRais_i</t>
  </si>
  <si>
    <t>a-otpEle_0</t>
  </si>
  <si>
    <t>a-otpEle_i</t>
  </si>
  <si>
    <t>c-otpEle_0</t>
  </si>
  <si>
    <t>c-otpEle_i</t>
  </si>
  <si>
    <t>f-water_0</t>
  </si>
  <si>
    <t>t-water_i</t>
  </si>
  <si>
    <t>t-water_0</t>
  </si>
  <si>
    <t>f-water_i</t>
  </si>
  <si>
    <t>map_f_ft</t>
  </si>
  <si>
    <t>f-m_tech_aspros_0</t>
  </si>
  <si>
    <t>f-m_clerks_0</t>
  </si>
  <si>
    <t>f-m_service_shop_0</t>
  </si>
  <si>
    <t>f-m_off_mgr_pros_0</t>
  </si>
  <si>
    <t>f-m_ag_othlowsk_0</t>
  </si>
  <si>
    <t>f-f_tech_aspros_0</t>
  </si>
  <si>
    <t>f-f_clerks_0</t>
  </si>
  <si>
    <t>f-f_service_shop_0</t>
  </si>
  <si>
    <t>f-f_off_mgr_pros_0</t>
  </si>
  <si>
    <t>f-f_ag_othlowsk_0</t>
  </si>
  <si>
    <t>t-m_tech_aspros_0</t>
  </si>
  <si>
    <t>t-m_clerks_0</t>
  </si>
  <si>
    <t>t-m_service_shop_0</t>
  </si>
  <si>
    <t>t-m_off_mgr_pros_0</t>
  </si>
  <si>
    <t>t-m_ag_othlowsk_0</t>
  </si>
  <si>
    <t>t-f_tech_aspros_0</t>
  </si>
  <si>
    <t>t-f_clerks_0</t>
  </si>
  <si>
    <t>t-f_service_shop_0</t>
  </si>
  <si>
    <t>t-f_off_mgr_pros_0</t>
  </si>
  <si>
    <t>t-f_ag_othlowsk_0</t>
  </si>
  <si>
    <t>f-m_tech_aspros_i</t>
  </si>
  <si>
    <t>f-m_clerks_i</t>
  </si>
  <si>
    <t>f-m_service_shop_i</t>
  </si>
  <si>
    <t>f-m_off_mgr_pros_i</t>
  </si>
  <si>
    <t>f-m_ag_othlowsk_i</t>
  </si>
  <si>
    <t>f-f_tech_aspros_i</t>
  </si>
  <si>
    <t>f-f_clerks_i</t>
  </si>
  <si>
    <t>f-f_service_shop_i</t>
  </si>
  <si>
    <t>f-f_off_mgr_pros_i</t>
  </si>
  <si>
    <t>f-f_ag_othlowsk_i</t>
  </si>
  <si>
    <t>t-m_tech_aspros_i</t>
  </si>
  <si>
    <t>t-m_clerks_i</t>
  </si>
  <si>
    <t>t-m_service_shop_i</t>
  </si>
  <si>
    <t>t-m_off_mgr_pros_i</t>
  </si>
  <si>
    <t>t-m_ag_othlowsk_i</t>
  </si>
  <si>
    <t>t-f_tech_aspros_i</t>
  </si>
  <si>
    <t>t-f_clerks_i</t>
  </si>
  <si>
    <t>t-f_service_shop_i</t>
  </si>
  <si>
    <t>t-f_off_mgr_pros_i</t>
  </si>
  <si>
    <t>t-f_ag_othlowsk_i</t>
  </si>
  <si>
    <t>AEZ1</t>
  </si>
  <si>
    <t>AEZ2</t>
  </si>
  <si>
    <t>AEZ3</t>
  </si>
  <si>
    <t>AEZ4</t>
  </si>
  <si>
    <t>AEZ5</t>
  </si>
  <si>
    <t>AEZ6</t>
  </si>
  <si>
    <t>AEZ7</t>
  </si>
  <si>
    <t>AEZ8</t>
  </si>
  <si>
    <t>AEZ9</t>
  </si>
  <si>
    <t>AEZ10</t>
  </si>
  <si>
    <t>AEZ11</t>
  </si>
  <si>
    <t>AEZ12</t>
  </si>
  <si>
    <t>AEZ13</t>
  </si>
  <si>
    <t>AEZ14</t>
  </si>
  <si>
    <t>AEZ15</t>
  </si>
  <si>
    <t>AEZ16</t>
  </si>
  <si>
    <t>AEZ17</t>
  </si>
  <si>
    <t>AEZ18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</si>
</sst>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#,###"/>
    <numFmt numFmtId="166" formatCode="_ * #,##0.00_ ;_ * \-#,##0.00_ ;_ * &quot;-&quot;??_ ;_ @_ "/>
    <numFmt numFmtId="167" formatCode="#,##0.000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Helv"/>
    </font>
    <font>
      <sz val="10"/>
      <name val="Tms Rmn"/>
    </font>
    <font>
      <sz val="8"/>
      <name val="Tms Rmn"/>
    </font>
    <font>
      <sz val="10"/>
      <name val="Times New Roman"/>
      <family val="1"/>
    </font>
    <font>
      <b/>
      <sz val="10"/>
      <name val="Times New Roman"/>
      <family val="1"/>
    </font>
    <font>
      <sz val="8"/>
      <color indexed="81"/>
      <name val="Tahoma"/>
      <family val="2"/>
    </font>
    <font>
      <b/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theme="4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sz val="10"/>
      <color theme="7" tint="0.39997558519241921"/>
      <name val="Arial"/>
      <family val="2"/>
    </font>
    <font>
      <sz val="10"/>
      <color theme="3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4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4" fontId="6" fillId="0" borderId="0" applyFont="0" applyBorder="0"/>
    <xf numFmtId="164" fontId="6" fillId="0" borderId="0" applyFont="0" applyBorder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6" applyNumberFormat="0" applyFill="0" applyAlignment="0" applyProtection="0"/>
    <xf numFmtId="0" fontId="28" fillId="2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6" fillId="23" borderId="7" applyNumberFormat="0" applyFont="0" applyAlignment="0" applyProtection="0"/>
    <xf numFmtId="0" fontId="29" fillId="20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164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43" fontId="6" fillId="0" borderId="0" applyFont="0" applyBorder="0"/>
    <xf numFmtId="43" fontId="6" fillId="0" borderId="0" applyFont="0" applyBorder="0"/>
    <xf numFmtId="0" fontId="1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43" fontId="43" fillId="0" borderId="0" applyFont="0" applyFill="0" applyBorder="0" applyAlignment="0" applyProtection="0"/>
  </cellStyleXfs>
  <cellXfs count="60">
    <xf numFmtId="0" fontId="0" fillId="0" borderId="0" xfId="0"/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9" fillId="0" borderId="12" xfId="0" applyFont="1" applyBorder="1"/>
    <xf numFmtId="0" fontId="10" fillId="0" borderId="10" xfId="0" applyFont="1" applyBorder="1"/>
    <xf numFmtId="0" fontId="4" fillId="0" borderId="0" xfId="0" applyFont="1"/>
    <xf numFmtId="0" fontId="12" fillId="0" borderId="12" xfId="0" applyFont="1" applyBorder="1"/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14" xfId="0" applyFont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Continuous"/>
    </xf>
    <xf numFmtId="0" fontId="9" fillId="0" borderId="0" xfId="0" applyFont="1" applyAlignment="1">
      <alignment horizontal="left"/>
    </xf>
    <xf numFmtId="0" fontId="14" fillId="0" borderId="12" xfId="0" applyFont="1" applyBorder="1"/>
    <xf numFmtId="0" fontId="10" fillId="0" borderId="0" xfId="0" applyFont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11" fontId="0" fillId="0" borderId="0" xfId="0" applyNumberFormat="1"/>
    <xf numFmtId="0" fontId="0" fillId="24" borderId="0" xfId="0" applyFill="1"/>
    <xf numFmtId="0" fontId="0" fillId="0" borderId="12" xfId="0" applyBorder="1"/>
    <xf numFmtId="0" fontId="0" fillId="0" borderId="13" xfId="0" applyBorder="1"/>
    <xf numFmtId="0" fontId="33" fillId="0" borderId="0" xfId="0" applyFont="1"/>
    <xf numFmtId="0" fontId="34" fillId="0" borderId="0" xfId="0" applyFont="1"/>
    <xf numFmtId="0" fontId="5" fillId="0" borderId="0" xfId="0" applyFont="1" applyAlignment="1">
      <alignment horizontal="center" vertical="center" wrapText="1"/>
    </xf>
    <xf numFmtId="0" fontId="36" fillId="0" borderId="0" xfId="0" applyFont="1"/>
    <xf numFmtId="165" fontId="36" fillId="0" borderId="0" xfId="55" applyNumberFormat="1" applyFont="1"/>
    <xf numFmtId="0" fontId="4" fillId="0" borderId="0" xfId="55" applyAlignment="1">
      <alignment horizontal="left" vertical="center"/>
    </xf>
    <xf numFmtId="0" fontId="4" fillId="0" borderId="0" xfId="58" applyAlignment="1">
      <alignment horizontal="left" vertical="center"/>
    </xf>
    <xf numFmtId="0" fontId="4" fillId="0" borderId="0" xfId="60" applyAlignment="1">
      <alignment horizontal="left" vertical="center"/>
    </xf>
    <xf numFmtId="0" fontId="37" fillId="0" borderId="0" xfId="0" applyFont="1"/>
    <xf numFmtId="0" fontId="0" fillId="0" borderId="0" xfId="0" quotePrefix="1"/>
    <xf numFmtId="0" fontId="38" fillId="0" borderId="0" xfId="0" quotePrefix="1" applyFont="1"/>
    <xf numFmtId="0" fontId="35" fillId="0" borderId="0" xfId="0" quotePrefix="1" applyFont="1"/>
    <xf numFmtId="0" fontId="39" fillId="0" borderId="0" xfId="0" quotePrefix="1" applyFont="1"/>
    <xf numFmtId="0" fontId="40" fillId="0" borderId="0" xfId="0" quotePrefix="1" applyFont="1"/>
    <xf numFmtId="0" fontId="36" fillId="0" borderId="0" xfId="0" quotePrefix="1" applyFont="1"/>
    <xf numFmtId="0" fontId="35" fillId="0" borderId="0" xfId="0" applyFont="1"/>
    <xf numFmtId="0" fontId="4" fillId="0" borderId="0" xfId="62"/>
    <xf numFmtId="0" fontId="4" fillId="0" borderId="0" xfId="0" quotePrefix="1" applyFont="1"/>
    <xf numFmtId="0" fontId="0" fillId="27" borderId="0" xfId="0" quotePrefix="1" applyFill="1"/>
    <xf numFmtId="0" fontId="0" fillId="25" borderId="0" xfId="0" quotePrefix="1" applyFill="1"/>
    <xf numFmtId="3" fontId="41" fillId="26" borderId="0" xfId="0" applyNumberFormat="1" applyFont="1" applyFill="1" applyAlignment="1">
      <alignment horizontal="center" vertical="center"/>
    </xf>
    <xf numFmtId="0" fontId="4" fillId="26" borderId="0" xfId="0" quotePrefix="1" applyFont="1" applyFill="1"/>
    <xf numFmtId="0" fontId="0" fillId="26" borderId="11" xfId="0" applyFill="1" applyBorder="1"/>
    <xf numFmtId="0" fontId="42" fillId="0" borderId="0" xfId="0" applyFont="1"/>
    <xf numFmtId="165" fontId="4" fillId="0" borderId="0" xfId="55" applyNumberFormat="1"/>
    <xf numFmtId="0" fontId="4" fillId="27" borderId="0" xfId="0" quotePrefix="1" applyFont="1" applyFill="1"/>
    <xf numFmtId="0" fontId="4" fillId="25" borderId="0" xfId="0" quotePrefix="1" applyFont="1" applyFill="1"/>
    <xf numFmtId="11" fontId="14" fillId="0" borderId="12" xfId="0" applyNumberFormat="1" applyFont="1" applyBorder="1"/>
    <xf numFmtId="4" fontId="0" fillId="0" borderId="0" xfId="73" applyNumberFormat="1" applyFont="1"/>
    <xf numFmtId="167" fontId="0" fillId="0" borderId="0" xfId="0" applyNumberFormat="1"/>
    <xf numFmtId="0" fontId="4" fillId="0" borderId="11" xfId="0" applyFont="1" applyBorder="1"/>
    <xf numFmtId="0" fontId="5" fillId="0" borderId="0" xfId="0" applyFont="1"/>
    <xf numFmtId="0" fontId="10" fillId="0" borderId="0" xfId="0" quotePrefix="1" applyFont="1"/>
    <xf numFmtId="0" fontId="5" fillId="0" borderId="0" xfId="0" quotePrefix="1" applyFont="1"/>
    <xf numFmtId="0" fontId="5" fillId="0" borderId="0" xfId="0" applyFont="1" applyAlignment="1">
      <alignment horizontal="center"/>
    </xf>
  </cellXfs>
  <cellStyles count="74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49" builtinId="21" customBuiltin="1"/>
    <cellStyle name="Berechnung" xfId="26" builtinId="22" customBuiltin="1"/>
    <cellStyle name="Comma [1]" xfId="28" xr:uid="{00000000-0005-0000-0000-00001A000000}"/>
    <cellStyle name="Comma [1] 2" xfId="67" xr:uid="{00000000-0005-0000-0000-00001B000000}"/>
    <cellStyle name="Comma [2]" xfId="29" xr:uid="{00000000-0005-0000-0000-00001C000000}"/>
    <cellStyle name="Comma [2] 2" xfId="68" xr:uid="{00000000-0005-0000-0000-00001D000000}"/>
    <cellStyle name="Eingabe" xfId="36" builtinId="20" customBuiltin="1"/>
    <cellStyle name="Ergebnis" xfId="51" builtinId="25" customBuiltin="1"/>
    <cellStyle name="Erklärender Text" xfId="30" builtinId="53" customBuiltin="1"/>
    <cellStyle name="Gut" xfId="31" builtinId="26" customBuiltin="1"/>
    <cellStyle name="Komma" xfId="73" builtinId="3"/>
    <cellStyle name="Komma 2" xfId="66" xr:uid="{00000000-0005-0000-0000-000023000000}"/>
    <cellStyle name="Millares 2 2" xfId="64" xr:uid="{00000000-0005-0000-0000-000024000000}"/>
    <cellStyle name="Millares 2 2 2" xfId="72" xr:uid="{00000000-0005-0000-0000-000025000000}"/>
    <cellStyle name="Neutral" xfId="38" builtinId="28" customBuiltin="1"/>
    <cellStyle name="Normal - Style1" xfId="39" xr:uid="{00000000-0005-0000-0000-000027000000}"/>
    <cellStyle name="Normal - Style2" xfId="40" xr:uid="{00000000-0005-0000-0000-000028000000}"/>
    <cellStyle name="Normal - Style3" xfId="41" xr:uid="{00000000-0005-0000-0000-000029000000}"/>
    <cellStyle name="Normal - Style4" xfId="42" xr:uid="{00000000-0005-0000-0000-00002A000000}"/>
    <cellStyle name="Normal - Style5" xfId="43" xr:uid="{00000000-0005-0000-0000-00002B000000}"/>
    <cellStyle name="Normal - Style6" xfId="44" xr:uid="{00000000-0005-0000-0000-00002C000000}"/>
    <cellStyle name="Normal - Style7" xfId="45" xr:uid="{00000000-0005-0000-0000-00002D000000}"/>
    <cellStyle name="Normal - Style8" xfId="46" xr:uid="{00000000-0005-0000-0000-00002E000000}"/>
    <cellStyle name="Normal 10" xfId="61" xr:uid="{00000000-0005-0000-0000-00002F000000}"/>
    <cellStyle name="Normal 10 2" xfId="63" xr:uid="{00000000-0005-0000-0000-000030000000}"/>
    <cellStyle name="Normal 10 2 2" xfId="71" xr:uid="{00000000-0005-0000-0000-000031000000}"/>
    <cellStyle name="Normal 11 2" xfId="65" xr:uid="{00000000-0005-0000-0000-000032000000}"/>
    <cellStyle name="Normal 2" xfId="54" xr:uid="{00000000-0005-0000-0000-000033000000}"/>
    <cellStyle name="Normal 2 2" xfId="57" xr:uid="{00000000-0005-0000-0000-000034000000}"/>
    <cellStyle name="Normal 2 2 2" xfId="70" xr:uid="{00000000-0005-0000-0000-000035000000}"/>
    <cellStyle name="Normal 3" xfId="62" xr:uid="{00000000-0005-0000-0000-000036000000}"/>
    <cellStyle name="Normal 3 2" xfId="55" xr:uid="{00000000-0005-0000-0000-000037000000}"/>
    <cellStyle name="Normal 5" xfId="58" xr:uid="{00000000-0005-0000-0000-000038000000}"/>
    <cellStyle name="Normal 6" xfId="56" xr:uid="{00000000-0005-0000-0000-000039000000}"/>
    <cellStyle name="Normal 6 2" xfId="69" xr:uid="{00000000-0005-0000-0000-00003A000000}"/>
    <cellStyle name="Normal 8" xfId="59" xr:uid="{00000000-0005-0000-0000-00003B000000}"/>
    <cellStyle name="Normal 9" xfId="60" xr:uid="{00000000-0005-0000-0000-00003C000000}"/>
    <cellStyle name="Normal_sam" xfId="47" xr:uid="{00000000-0005-0000-0000-00003D000000}"/>
    <cellStyle name="Normale 2" xfId="53" xr:uid="{00000000-0005-0000-0000-00003E000000}"/>
    <cellStyle name="Notiz" xfId="48" builtinId="10" customBuiltin="1"/>
    <cellStyle name="Schlecht" xfId="25" builtinId="27" customBuiltin="1"/>
    <cellStyle name="Standard" xfId="0" builtinId="0"/>
    <cellStyle name="Überschrift" xfId="50" builtinId="15" customBuiltin="1"/>
    <cellStyle name="Überschrift 1" xfId="32" builtinId="16" customBuiltin="1"/>
    <cellStyle name="Überschrift 2" xfId="33" builtinId="17" customBuiltin="1"/>
    <cellStyle name="Überschrift 3" xfId="34" builtinId="18" customBuiltin="1"/>
    <cellStyle name="Überschrift 4" xfId="35" builtinId="19" customBuiltin="1"/>
    <cellStyle name="Verknüpfte Zelle" xfId="37" builtinId="24" customBuiltin="1"/>
    <cellStyle name="Warnender Text" xfId="52" builtinId="11" customBuiltin="1"/>
    <cellStyle name="Zelle überprüfen" xfId="27" builtinId="23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NGWB6/reg/tza/SAM_tza_GTAP.xlsx" TargetMode="External"/><Relationship Id="rId2" Type="http://schemas.openxmlformats.org/officeDocument/2006/relationships/externalLinkPath" Target="file:///C:\MNGWB6\reg\tza\SAM_tza_GTAP.xlsx" TargetMode="External"/><Relationship Id="rId1" Type="http://schemas.openxmlformats.org/officeDocument/2006/relationships/externalLinkPath" Target="/MNGWB6/reg/tza/SAM_tza_GT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yout"/>
      <sheetName val="SplitShr"/>
      <sheetName val="Sets"/>
      <sheetName val="Macro"/>
      <sheetName val="MACRO-Sam"/>
      <sheetName val="Proto-SAM"/>
      <sheetName val="Fixes"/>
    </sheetNames>
    <sheetDataSet>
      <sheetData sheetId="0"/>
      <sheetData sheetId="1"/>
      <sheetData sheetId="2">
        <row r="2">
          <cell r="A2" t="str">
            <v>AC</v>
          </cell>
          <cell r="C2" t="str">
            <v>map_acIni_ac</v>
          </cell>
          <cell r="D2">
            <v>0</v>
          </cell>
          <cell r="E2">
            <v>0</v>
          </cell>
          <cell r="F2" t="str">
            <v>c</v>
          </cell>
          <cell r="G2" t="str">
            <v>a</v>
          </cell>
          <cell r="H2" t="str">
            <v>f</v>
          </cell>
          <cell r="I2" t="str">
            <v>map_f_ft</v>
          </cell>
          <cell r="J2">
            <v>0</v>
          </cell>
          <cell r="K2" t="str">
            <v>l</v>
          </cell>
          <cell r="L2" t="str">
            <v>k</v>
          </cell>
          <cell r="M2" t="str">
            <v>h</v>
          </cell>
          <cell r="N2" t="str">
            <v>g</v>
          </cell>
          <cell r="O2" t="str">
            <v>gt</v>
          </cell>
          <cell r="P2" t="str">
            <v>gtind</v>
          </cell>
          <cell r="Q2" t="str">
            <v>gtdir</v>
          </cell>
          <cell r="R2" t="str">
            <v>e</v>
          </cell>
          <cell r="S2" t="str">
            <v>i</v>
          </cell>
          <cell r="T2" t="str">
            <v>w</v>
          </cell>
          <cell r="U2">
            <v>0</v>
          </cell>
          <cell r="V2" t="str">
            <v>acm</v>
          </cell>
          <cell r="W2" t="str">
            <v>etax</v>
          </cell>
          <cell r="X2">
            <v>0</v>
          </cell>
          <cell r="Y2">
            <v>0</v>
          </cell>
          <cell r="Z2" t="str">
            <v>macmap3</v>
          </cell>
          <cell r="AA2">
            <v>0</v>
          </cell>
          <cell r="AB2">
            <v>0</v>
          </cell>
          <cell r="AC2" t="str">
            <v>map_acIni_acini</v>
          </cell>
          <cell r="AD2">
            <v>0</v>
          </cell>
          <cell r="AE2" t="str">
            <v>acIniMac</v>
          </cell>
          <cell r="AF2" t="str">
            <v>asplit_gtap</v>
          </cell>
          <cell r="AG2" t="str">
            <v>csplit_gtap</v>
          </cell>
          <cell r="AH2" t="str">
            <v>fsplit_gtap</v>
          </cell>
          <cell r="AI2" t="str">
            <v>map_aG_ac</v>
          </cell>
          <cell r="AJ2">
            <v>0</v>
          </cell>
          <cell r="AK2">
            <v>0</v>
          </cell>
          <cell r="AL2" t="str">
            <v>map_cG_ac</v>
          </cell>
          <cell r="AM2">
            <v>0</v>
          </cell>
          <cell r="AN2">
            <v>0</v>
          </cell>
          <cell r="AO2" t="str">
            <v>map_fG_ac</v>
          </cell>
          <cell r="AP2">
            <v>0</v>
          </cell>
          <cell r="AQ2">
            <v>0</v>
          </cell>
          <cell r="AR2" t="str">
            <v>map_a_c</v>
          </cell>
          <cell r="AS2">
            <v>0</v>
          </cell>
          <cell r="AT2">
            <v>0</v>
          </cell>
          <cell r="AU2">
            <v>0</v>
          </cell>
        </row>
        <row r="3">
          <cell r="A3" t="str">
            <v>A</v>
          </cell>
          <cell r="C3" t="str">
            <v>C</v>
          </cell>
          <cell r="D3" t="str">
            <v>D</v>
          </cell>
          <cell r="E3" t="str">
            <v>E</v>
          </cell>
          <cell r="F3" t="str">
            <v>F</v>
          </cell>
          <cell r="G3" t="str">
            <v>G</v>
          </cell>
          <cell r="H3" t="str">
            <v>H</v>
          </cell>
          <cell r="I3" t="str">
            <v>I</v>
          </cell>
          <cell r="J3" t="str">
            <v>J</v>
          </cell>
          <cell r="K3" t="str">
            <v>K</v>
          </cell>
          <cell r="L3" t="str">
            <v>L</v>
          </cell>
          <cell r="M3" t="str">
            <v>M</v>
          </cell>
          <cell r="N3" t="str">
            <v>N</v>
          </cell>
          <cell r="O3" t="str">
            <v>O</v>
          </cell>
          <cell r="P3" t="str">
            <v>P</v>
          </cell>
          <cell r="Q3" t="str">
            <v>Q</v>
          </cell>
          <cell r="R3" t="str">
            <v>R</v>
          </cell>
          <cell r="S3" t="str">
            <v>S</v>
          </cell>
          <cell r="T3" t="str">
            <v>T</v>
          </cell>
          <cell r="U3" t="str">
            <v>U</v>
          </cell>
          <cell r="V3" t="str">
            <v>V</v>
          </cell>
          <cell r="W3" t="str">
            <v>W</v>
          </cell>
          <cell r="X3" t="str">
            <v>X</v>
          </cell>
          <cell r="Y3" t="str">
            <v>Y</v>
          </cell>
          <cell r="Z3" t="str">
            <v>Z</v>
          </cell>
          <cell r="AA3" t="str">
            <v>AA</v>
          </cell>
          <cell r="AB3" t="str">
            <v>AB</v>
          </cell>
          <cell r="AC3" t="str">
            <v>AC</v>
          </cell>
          <cell r="AD3" t="str">
            <v>AD</v>
          </cell>
          <cell r="AE3" t="str">
            <v>AE</v>
          </cell>
          <cell r="AF3" t="str">
            <v>AF</v>
          </cell>
          <cell r="AG3" t="str">
            <v>AG</v>
          </cell>
          <cell r="AH3" t="str">
            <v>AH</v>
          </cell>
          <cell r="AI3" t="str">
            <v>AI</v>
          </cell>
          <cell r="AJ3" t="str">
            <v>AJ</v>
          </cell>
          <cell r="AK3" t="str">
            <v>AK</v>
          </cell>
          <cell r="AL3" t="str">
            <v>AL</v>
          </cell>
          <cell r="AM3" t="str">
            <v>AM</v>
          </cell>
          <cell r="AN3" t="str">
            <v>AN</v>
          </cell>
          <cell r="AO3" t="str">
            <v>AO</v>
          </cell>
          <cell r="AP3" t="str">
            <v>AP</v>
          </cell>
          <cell r="AQ3" t="str">
            <v>AQ</v>
          </cell>
          <cell r="AR3" t="str">
            <v>AR</v>
          </cell>
          <cell r="AS3" t="str">
            <v>AS</v>
          </cell>
          <cell r="AT3" t="str">
            <v>AT</v>
          </cell>
          <cell r="AU3" t="str">
            <v>AU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40"/>
  <sheetViews>
    <sheetView workbookViewId="0">
      <selection activeCell="C17" sqref="C17"/>
    </sheetView>
  </sheetViews>
  <sheetFormatPr baseColWidth="10" defaultColWidth="8.88671875" defaultRowHeight="13.2" x14ac:dyDescent="0.25"/>
  <cols>
    <col min="2" max="2" width="14.33203125" customWidth="1"/>
    <col min="3" max="3" width="18.33203125" customWidth="1"/>
    <col min="4" max="4" width="16.5546875" customWidth="1"/>
    <col min="5" max="5" width="17.44140625" customWidth="1"/>
    <col min="6" max="6" width="16.6640625" customWidth="1"/>
  </cols>
  <sheetData>
    <row r="1" spans="1:16" x14ac:dyDescent="0.25">
      <c r="A1" s="57" t="s">
        <v>79</v>
      </c>
      <c r="B1" s="58" t="s">
        <v>84</v>
      </c>
      <c r="C1" s="58" t="s">
        <v>86</v>
      </c>
      <c r="D1" s="58" t="s">
        <v>50</v>
      </c>
      <c r="E1" s="58" t="s">
        <v>51</v>
      </c>
      <c r="F1" s="58" t="s">
        <v>52</v>
      </c>
      <c r="G1" s="34" t="s">
        <v>53</v>
      </c>
      <c r="H1" s="34" t="s">
        <v>54</v>
      </c>
      <c r="I1" s="34" t="s">
        <v>55</v>
      </c>
      <c r="J1" s="34" t="s">
        <v>56</v>
      </c>
      <c r="K1" s="34" t="s">
        <v>57</v>
      </c>
      <c r="L1" s="34" t="s">
        <v>58</v>
      </c>
      <c r="M1" s="34" t="s">
        <v>59</v>
      </c>
      <c r="N1" s="34" t="s">
        <v>60</v>
      </c>
      <c r="O1" s="34" t="s">
        <v>61</v>
      </c>
      <c r="P1" s="34" t="s">
        <v>93</v>
      </c>
    </row>
    <row r="2" spans="1:16" x14ac:dyDescent="0.25">
      <c r="A2" s="56">
        <v>1E-10</v>
      </c>
      <c r="B2" s="56">
        <v>1E-10</v>
      </c>
      <c r="C2" s="56">
        <v>53310.976154118354</v>
      </c>
      <c r="D2" s="56">
        <v>1E-10</v>
      </c>
      <c r="E2" s="56">
        <v>1E-10</v>
      </c>
      <c r="F2" s="56">
        <v>1E-10</v>
      </c>
      <c r="G2">
        <v>1E-10</v>
      </c>
      <c r="H2">
        <v>1E-10</v>
      </c>
      <c r="I2">
        <v>1E-10</v>
      </c>
      <c r="J2">
        <v>1E-10</v>
      </c>
      <c r="K2">
        <v>1E-10</v>
      </c>
      <c r="L2">
        <v>1E-10</v>
      </c>
      <c r="M2">
        <v>1E-10</v>
      </c>
      <c r="N2">
        <v>1E-10</v>
      </c>
      <c r="O2">
        <v>1E-10</v>
      </c>
      <c r="P2">
        <v>1E-10</v>
      </c>
    </row>
    <row r="3" spans="1:16" x14ac:dyDescent="0.25">
      <c r="A3" s="3" t="s">
        <v>3</v>
      </c>
      <c r="B3" s="3" t="s">
        <v>5</v>
      </c>
      <c r="C3" s="3" t="s">
        <v>6</v>
      </c>
      <c r="D3" s="3" t="s">
        <v>23</v>
      </c>
      <c r="E3" s="3" t="s">
        <v>24</v>
      </c>
      <c r="F3" s="3" t="s">
        <v>25</v>
      </c>
    </row>
    <row r="4" spans="1:16" x14ac:dyDescent="0.25">
      <c r="A4" s="59"/>
      <c r="B4" s="59"/>
      <c r="C4" s="59"/>
      <c r="D4" s="3" t="s">
        <v>20</v>
      </c>
      <c r="E4" s="3" t="s">
        <v>21</v>
      </c>
      <c r="F4" s="3" t="s">
        <v>22</v>
      </c>
    </row>
    <row r="5" spans="1:16" x14ac:dyDescent="0.25">
      <c r="A5" s="56"/>
      <c r="B5" s="56"/>
      <c r="C5" s="56"/>
      <c r="D5" s="56"/>
      <c r="E5" s="56"/>
      <c r="F5" s="56"/>
      <c r="G5" t="s">
        <v>88</v>
      </c>
    </row>
    <row r="6" spans="1:16" x14ac:dyDescent="0.25">
      <c r="A6" t="s">
        <v>4</v>
      </c>
      <c r="B6" t="s">
        <v>35</v>
      </c>
      <c r="C6" t="str">
        <f>IF(A6="dset","Sets!"&amp;HLOOKUP(B6,[1]Sets!$A$2:$AY$3,2,)&amp;6,IF(A6="set","Maps!"&amp;HLOOKUP(B6,[1]Sets!$A$2:$AY$3,2,)&amp;6))</f>
        <v>Sets!A6</v>
      </c>
      <c r="D6">
        <v>1</v>
      </c>
    </row>
    <row r="7" spans="1:16" x14ac:dyDescent="0.25">
      <c r="A7" t="s">
        <v>4</v>
      </c>
      <c r="B7" t="s">
        <v>7</v>
      </c>
      <c r="C7" t="str">
        <f>IF(A7="dset","Sets!"&amp;HLOOKUP(B7,[1]Sets!$A$2:$AY$3,2,)&amp;6,IF(A7="set","Maps!"&amp;HLOOKUP(B7,[1]Sets!$A$2:$AY$3,2,)&amp;6))</f>
        <v>Sets!F6</v>
      </c>
      <c r="D7">
        <v>1</v>
      </c>
    </row>
    <row r="8" spans="1:16" x14ac:dyDescent="0.25">
      <c r="A8" t="s">
        <v>4</v>
      </c>
      <c r="B8" t="s">
        <v>8</v>
      </c>
      <c r="C8" t="str">
        <f>IF(A8="dset","Sets!"&amp;HLOOKUP(B8,[1]Sets!$A$2:$AY$3,2,)&amp;6,IF(A8="set","Maps!"&amp;HLOOKUP(B8,[1]Sets!$A$2:$AY$3,2,)&amp;6))</f>
        <v>Sets!G6</v>
      </c>
      <c r="D8">
        <v>1</v>
      </c>
    </row>
    <row r="9" spans="1:16" x14ac:dyDescent="0.25">
      <c r="A9" t="s">
        <v>4</v>
      </c>
      <c r="B9" t="s">
        <v>9</v>
      </c>
      <c r="C9" t="str">
        <f>IF(A9="dset","Sets!"&amp;HLOOKUP(B9,[1]Sets!$A$2:$AY$3,2,)&amp;6,IF(A9="set","Maps!"&amp;HLOOKUP(B9,[1]Sets!$A$2:$AY$3,2,)&amp;6))</f>
        <v>Sets!H6</v>
      </c>
      <c r="D9">
        <v>1</v>
      </c>
    </row>
    <row r="10" spans="1:16" x14ac:dyDescent="0.25">
      <c r="A10" t="s">
        <v>4</v>
      </c>
      <c r="B10" t="s">
        <v>10</v>
      </c>
      <c r="C10" t="str">
        <f>IF(A10="dset","Sets!"&amp;HLOOKUP(B10,[1]Sets!$A$2:$AY$3,2,)&amp;6,IF(A10="set","Maps!"&amp;HLOOKUP(B10,[1]Sets!$A$2:$AY$3,2,)&amp;6))</f>
        <v>Sets!K6</v>
      </c>
      <c r="D10">
        <v>1</v>
      </c>
    </row>
    <row r="11" spans="1:16" x14ac:dyDescent="0.25">
      <c r="A11" t="s">
        <v>4</v>
      </c>
      <c r="B11" t="s">
        <v>11</v>
      </c>
      <c r="C11" t="str">
        <f>IF(A11="dset","Sets!"&amp;HLOOKUP(B11,[1]Sets!$A$2:$AY$3,2,)&amp;6,IF(A11="set","Maps!"&amp;HLOOKUP(B11,[1]Sets!$A$2:$AY$3,2,)&amp;6))</f>
        <v>Sets!L6</v>
      </c>
      <c r="D11">
        <v>1</v>
      </c>
    </row>
    <row r="12" spans="1:16" x14ac:dyDescent="0.25">
      <c r="A12" t="s">
        <v>4</v>
      </c>
      <c r="B12" t="s">
        <v>15</v>
      </c>
      <c r="C12" t="str">
        <f>IF(A12="dset","Sets!"&amp;HLOOKUP(B12,[1]Sets!$A$2:$AY$3,2,)&amp;6,IF(A12="set","Maps!"&amp;HLOOKUP(B12,[1]Sets!$A$2:$AY$3,2,)&amp;6))</f>
        <v>Sets!M6</v>
      </c>
      <c r="D12">
        <v>1</v>
      </c>
    </row>
    <row r="13" spans="1:16" x14ac:dyDescent="0.25">
      <c r="A13" t="s">
        <v>4</v>
      </c>
      <c r="B13" t="s">
        <v>12</v>
      </c>
      <c r="C13" t="str">
        <f>IF(A13="dset","Sets!"&amp;HLOOKUP(B13,[1]Sets!$A$2:$AY$3,2,)&amp;6,IF(A13="set","Maps!"&amp;HLOOKUP(B13,[1]Sets!$A$2:$AY$3,2,)&amp;6))</f>
        <v>Sets!N6</v>
      </c>
      <c r="D13">
        <v>1</v>
      </c>
    </row>
    <row r="14" spans="1:16" x14ac:dyDescent="0.25">
      <c r="A14" t="s">
        <v>4</v>
      </c>
      <c r="B14" t="s">
        <v>64</v>
      </c>
      <c r="C14" t="str">
        <f>IF(A14="dset","Sets!"&amp;HLOOKUP(B14,[1]Sets!$A$2:$AY$3,2,)&amp;6,IF(A14="set","Maps!"&amp;HLOOKUP(B14,[1]Sets!$A$2:$AY$3,2,)&amp;6))</f>
        <v>Sets!P6</v>
      </c>
      <c r="D14">
        <v>1</v>
      </c>
    </row>
    <row r="15" spans="1:16" x14ac:dyDescent="0.25">
      <c r="A15" t="s">
        <v>4</v>
      </c>
      <c r="B15" t="s">
        <v>63</v>
      </c>
      <c r="C15" t="str">
        <f>IF(A15="dset","Sets!"&amp;HLOOKUP(B15,[1]Sets!$A$2:$AY$3,2,)&amp;6,IF(A15="set","Maps!"&amp;HLOOKUP(B15,[1]Sets!$A$2:$AY$3,2,)&amp;6))</f>
        <v>Sets!Q6</v>
      </c>
      <c r="D15">
        <v>1</v>
      </c>
    </row>
    <row r="16" spans="1:16" ht="12" customHeight="1" x14ac:dyDescent="0.25">
      <c r="A16" t="s">
        <v>4</v>
      </c>
      <c r="B16" t="s">
        <v>13</v>
      </c>
      <c r="C16" t="str">
        <f>IF(A16="dset","Sets!"&amp;HLOOKUP(B16,[1]Sets!$A$2:$AY$3,2,)&amp;6,IF(A16="set","Maps!"&amp;HLOOKUP(B16,[1]Sets!$A$2:$AY$3,2,)&amp;6))</f>
        <v>Sets!R6</v>
      </c>
      <c r="D16">
        <v>1</v>
      </c>
    </row>
    <row r="17" spans="1:6" x14ac:dyDescent="0.25">
      <c r="A17" t="s">
        <v>4</v>
      </c>
      <c r="B17" t="s">
        <v>33</v>
      </c>
      <c r="C17" t="str">
        <f>IF(A17="dset","Sets!"&amp;HLOOKUP(B17,[1]Sets!$A$2:$AY$3,2,)&amp;6,IF(A17="set","Maps!"&amp;HLOOKUP(B17,[1]Sets!$A$2:$AY$3,2,)&amp;6))</f>
        <v>Sets!S6</v>
      </c>
      <c r="D17">
        <v>1</v>
      </c>
    </row>
    <row r="18" spans="1:6" x14ac:dyDescent="0.25">
      <c r="A18" t="s">
        <v>4</v>
      </c>
      <c r="B18" t="s">
        <v>14</v>
      </c>
      <c r="C18" t="str">
        <f>IF(A18="dset","Sets!"&amp;HLOOKUP(B18,[1]Sets!$A$2:$AY$3,2,)&amp;6,IF(A18="set","Maps!"&amp;HLOOKUP(B18,[1]Sets!$A$2:$AY$3,2,)&amp;6))</f>
        <v>Sets!T6</v>
      </c>
      <c r="D18">
        <v>1</v>
      </c>
    </row>
    <row r="19" spans="1:6" x14ac:dyDescent="0.25">
      <c r="A19" t="s">
        <v>4</v>
      </c>
      <c r="B19" t="s">
        <v>78</v>
      </c>
      <c r="C19" t="str">
        <f>IF(A19="dset","Sets!"&amp;HLOOKUP(B19,[1]Sets!$A$2:$AY$3,2,)&amp;6,IF(A19="set","Maps!"&amp;HLOOKUP(B19,[1]Sets!$A$2:$AY$3,2,)&amp;6))</f>
        <v>Sets!V6</v>
      </c>
      <c r="D19">
        <v>1</v>
      </c>
    </row>
    <row r="20" spans="1:6" x14ac:dyDescent="0.25">
      <c r="A20" t="s">
        <v>4</v>
      </c>
      <c r="B20" t="s">
        <v>82</v>
      </c>
      <c r="C20" t="str">
        <f>IF(A20="dset","Sets!"&amp;HLOOKUP(B20,[1]Sets!$A$2:$AY$3,2,)&amp;6,IF(A20="set","Maps!"&amp;HLOOKUP(B20,[1]Sets!$A$2:$AY$3,2,)&amp;6))</f>
        <v>Sets!W6</v>
      </c>
      <c r="D20">
        <v>1</v>
      </c>
    </row>
    <row r="21" spans="1:6" x14ac:dyDescent="0.25">
      <c r="A21" t="s">
        <v>32</v>
      </c>
      <c r="B21" t="s">
        <v>77</v>
      </c>
      <c r="C21" s="8" t="s">
        <v>483</v>
      </c>
      <c r="D21">
        <v>1</v>
      </c>
      <c r="E21">
        <v>1</v>
      </c>
    </row>
    <row r="22" spans="1:6" x14ac:dyDescent="0.25">
      <c r="A22" t="s">
        <v>4</v>
      </c>
      <c r="B22" t="s">
        <v>37</v>
      </c>
      <c r="C22" t="s">
        <v>80</v>
      </c>
      <c r="D22">
        <v>1</v>
      </c>
    </row>
    <row r="23" spans="1:6" x14ac:dyDescent="0.25">
      <c r="A23" t="s">
        <v>32</v>
      </c>
      <c r="B23" t="s">
        <v>90</v>
      </c>
      <c r="C23" t="s">
        <v>80</v>
      </c>
      <c r="D23">
        <v>1</v>
      </c>
    </row>
    <row r="24" spans="1:6" x14ac:dyDescent="0.25">
      <c r="A24" t="s">
        <v>32</v>
      </c>
      <c r="B24" t="s">
        <v>100</v>
      </c>
      <c r="C24" s="8" t="s">
        <v>481</v>
      </c>
      <c r="D24">
        <v>1</v>
      </c>
      <c r="E24">
        <v>1</v>
      </c>
    </row>
    <row r="25" spans="1:6" x14ac:dyDescent="0.25">
      <c r="A25" t="s">
        <v>32</v>
      </c>
      <c r="B25" t="s">
        <v>92</v>
      </c>
      <c r="C25" t="s">
        <v>482</v>
      </c>
      <c r="F25">
        <v>0</v>
      </c>
    </row>
    <row r="26" spans="1:6" x14ac:dyDescent="0.25">
      <c r="A26" t="s">
        <v>32</v>
      </c>
      <c r="B26" t="s">
        <v>95</v>
      </c>
      <c r="C26" s="8" t="s">
        <v>98</v>
      </c>
      <c r="D26">
        <v>2</v>
      </c>
      <c r="E26">
        <v>2</v>
      </c>
    </row>
    <row r="27" spans="1:6" x14ac:dyDescent="0.25">
      <c r="A27" t="s">
        <v>91</v>
      </c>
      <c r="B27" t="s">
        <v>96</v>
      </c>
      <c r="C27" t="str">
        <f>"Sets!"&amp;HLOOKUP(B27,[1]Sets!$A$2:$AY$3,2,)&amp;6</f>
        <v>Sets!C6</v>
      </c>
      <c r="D27">
        <v>2</v>
      </c>
    </row>
    <row r="28" spans="1:6" x14ac:dyDescent="0.25">
      <c r="A28" s="8" t="s">
        <v>4</v>
      </c>
      <c r="B28" t="s">
        <v>97</v>
      </c>
      <c r="C28" t="str">
        <f>"Sets!"&amp;HLOOKUP(B28,[1]Sets!$A$2:$AY$3,2,)&amp;6</f>
        <v>Sets!O6</v>
      </c>
      <c r="D28">
        <v>1</v>
      </c>
    </row>
    <row r="29" spans="1:6" x14ac:dyDescent="0.25">
      <c r="A29" s="8" t="s">
        <v>91</v>
      </c>
      <c r="B29" t="s">
        <v>99</v>
      </c>
      <c r="C29" t="str">
        <f>"Sets!"&amp;HLOOKUP(B29,[1]Sets!$A$2:$AY$3,2,)&amp;6</f>
        <v>Sets!Z6</v>
      </c>
      <c r="D29">
        <v>2</v>
      </c>
    </row>
    <row r="30" spans="1:6" x14ac:dyDescent="0.25">
      <c r="A30" s="8" t="s">
        <v>91</v>
      </c>
      <c r="B30" t="s">
        <v>180</v>
      </c>
      <c r="C30" t="str">
        <f>"Sets!"&amp;HLOOKUP(B30,[1]Sets!$A$2:$AY$3,2,)&amp;6</f>
        <v>Sets!AF6</v>
      </c>
      <c r="D30">
        <v>1</v>
      </c>
    </row>
    <row r="31" spans="1:6" x14ac:dyDescent="0.25">
      <c r="A31" s="8" t="s">
        <v>91</v>
      </c>
      <c r="B31" t="s">
        <v>181</v>
      </c>
      <c r="C31" t="str">
        <f>"Sets!"&amp;HLOOKUP(B31,[1]Sets!$A$2:$AY$3,2,)&amp;6</f>
        <v>Sets!AG6</v>
      </c>
      <c r="D31">
        <v>1</v>
      </c>
    </row>
    <row r="32" spans="1:6" x14ac:dyDescent="0.25">
      <c r="A32" s="8" t="s">
        <v>91</v>
      </c>
      <c r="B32" t="s">
        <v>579</v>
      </c>
      <c r="C32" t="str">
        <f>"Sets!"&amp;HLOOKUP(B32,[1]Sets!$A$2:$AY$3,2,)&amp;6</f>
        <v>Sets!AH6</v>
      </c>
      <c r="D32">
        <v>1</v>
      </c>
    </row>
    <row r="33" spans="1:5" x14ac:dyDescent="0.25">
      <c r="A33" s="8" t="s">
        <v>91</v>
      </c>
      <c r="B33" t="s">
        <v>713</v>
      </c>
      <c r="C33" t="str">
        <f>"Sets!"&amp;HLOOKUP(B33,[1]Sets!$A$2:$AY$3,2,)&amp;6</f>
        <v>Sets!I6</v>
      </c>
      <c r="D33">
        <v>2</v>
      </c>
    </row>
    <row r="34" spans="1:5" x14ac:dyDescent="0.25">
      <c r="A34" s="8" t="s">
        <v>91</v>
      </c>
      <c r="B34" t="s">
        <v>184</v>
      </c>
      <c r="C34" t="str">
        <f>"Sets!"&amp;HLOOKUP(B34,[1]Sets!$A$2:$AY$3,2,)&amp;6</f>
        <v>Sets!AE6</v>
      </c>
      <c r="D34">
        <v>1</v>
      </c>
    </row>
    <row r="35" spans="1:5" x14ac:dyDescent="0.25">
      <c r="A35" s="8" t="s">
        <v>91</v>
      </c>
      <c r="B35" t="s">
        <v>101</v>
      </c>
      <c r="C35" t="str">
        <f>"Sets!"&amp;HLOOKUP(B35,[1]Sets!$A$2:$AY$3,2,)&amp;6</f>
        <v>Sets!AC6</v>
      </c>
      <c r="D35">
        <v>2</v>
      </c>
    </row>
    <row r="36" spans="1:5" x14ac:dyDescent="0.25">
      <c r="A36" s="8" t="s">
        <v>91</v>
      </c>
      <c r="B36" t="s">
        <v>102</v>
      </c>
      <c r="C36" t="str">
        <f>"Sets!"&amp;HLOOKUP(B36,[1]Sets!$A$2:$BI$3,2,)&amp;6</f>
        <v>Sets!AI6</v>
      </c>
      <c r="D36">
        <v>2</v>
      </c>
    </row>
    <row r="37" spans="1:5" x14ac:dyDescent="0.25">
      <c r="A37" s="8" t="s">
        <v>91</v>
      </c>
      <c r="B37" t="s">
        <v>103</v>
      </c>
      <c r="C37" t="str">
        <f>"Sets!"&amp;HLOOKUP(B37,[1]Sets!$A$2:$BF$3,2,)&amp;6</f>
        <v>Sets!AL6</v>
      </c>
      <c r="D37">
        <v>2</v>
      </c>
    </row>
    <row r="38" spans="1:5" x14ac:dyDescent="0.25">
      <c r="A38" s="8" t="s">
        <v>91</v>
      </c>
      <c r="B38" t="s">
        <v>104</v>
      </c>
      <c r="C38" t="str">
        <f>"Sets!"&amp;HLOOKUP(B38,[1]Sets!$A$2:$BF$3,2,)&amp;6</f>
        <v>Sets!AO6</v>
      </c>
      <c r="D38">
        <v>2</v>
      </c>
    </row>
    <row r="39" spans="1:5" x14ac:dyDescent="0.25">
      <c r="A39" s="8" t="s">
        <v>91</v>
      </c>
      <c r="B39" t="s">
        <v>105</v>
      </c>
      <c r="C39" t="str">
        <f>"Sets!"&amp;HLOOKUP(B39,[1]Sets!$A$2:$BF$3,2,)&amp;6</f>
        <v>Sets!AR6</v>
      </c>
      <c r="D39">
        <v>2</v>
      </c>
    </row>
    <row r="40" spans="1:5" x14ac:dyDescent="0.25">
      <c r="A40" s="8" t="s">
        <v>32</v>
      </c>
      <c r="B40" t="s">
        <v>186</v>
      </c>
      <c r="C40" t="s">
        <v>187</v>
      </c>
      <c r="D40">
        <v>2</v>
      </c>
      <c r="E40" t="s">
        <v>188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62"/>
  <sheetViews>
    <sheetView tabSelected="1" topLeftCell="AF1" zoomScale="90" zoomScaleNormal="90" workbookViewId="0">
      <pane ySplit="5" topLeftCell="A6" activePane="bottomLeft" state="frozen"/>
      <selection pane="bottomLeft" activeCell="AP28" sqref="AP28"/>
    </sheetView>
  </sheetViews>
  <sheetFormatPr baseColWidth="10" defaultColWidth="9.109375" defaultRowHeight="13.2" x14ac:dyDescent="0.25"/>
  <cols>
    <col min="1" max="1" width="16.44140625" bestFit="1" customWidth="1"/>
    <col min="2" max="2" width="16.44140625" customWidth="1"/>
    <col min="3" max="3" width="36.77734375" customWidth="1"/>
    <col min="4" max="4" width="13.44140625" bestFit="1" customWidth="1"/>
    <col min="5" max="5" width="18.44140625" customWidth="1"/>
    <col min="6" max="6" width="10.88671875" bestFit="1" customWidth="1"/>
    <col min="7" max="7" width="10.33203125" bestFit="1" customWidth="1"/>
    <col min="8" max="8" width="30" customWidth="1"/>
    <col min="9" max="9" width="19.77734375" customWidth="1"/>
    <col min="10" max="10" width="30.44140625" customWidth="1"/>
    <col min="11" max="11" width="22.88671875" customWidth="1"/>
    <col min="12" max="12" width="14.33203125" bestFit="1" customWidth="1"/>
    <col min="13" max="13" width="10.88671875" bestFit="1" customWidth="1"/>
    <col min="14" max="14" width="10.33203125" bestFit="1" customWidth="1"/>
    <col min="15" max="16" width="18.33203125" customWidth="1"/>
    <col min="17" max="17" width="9.88671875" bestFit="1" customWidth="1"/>
    <col min="18" max="18" width="10" customWidth="1"/>
    <col min="19" max="19" width="20.33203125" bestFit="1" customWidth="1"/>
    <col min="20" max="20" width="12.109375" bestFit="1" customWidth="1"/>
    <col min="22" max="22" width="12.44140625" bestFit="1" customWidth="1"/>
    <col min="23" max="23" width="10" bestFit="1" customWidth="1"/>
    <col min="26" max="26" width="12.109375" bestFit="1" customWidth="1"/>
    <col min="27" max="27" width="31.33203125" style="8" customWidth="1"/>
    <col min="28" max="28" width="12" bestFit="1" customWidth="1"/>
    <col min="29" max="29" width="16.6640625" bestFit="1" customWidth="1"/>
    <col min="30" max="30" width="10.5546875" bestFit="1" customWidth="1"/>
    <col min="35" max="35" width="11.6640625" bestFit="1" customWidth="1"/>
    <col min="36" max="36" width="10.5546875" bestFit="1" customWidth="1"/>
    <col min="37" max="37" width="3.44140625" bestFit="1" customWidth="1"/>
    <col min="38" max="38" width="11.5546875" bestFit="1" customWidth="1"/>
    <col min="39" max="39" width="11.6640625" bestFit="1" customWidth="1"/>
    <col min="40" max="40" width="3.6640625" bestFit="1" customWidth="1"/>
    <col min="41" max="41" width="23.21875" customWidth="1"/>
    <col min="42" max="42" width="21.109375" customWidth="1"/>
    <col min="43" max="43" width="3.5546875" bestFit="1" customWidth="1"/>
    <col min="44" max="44" width="10.5546875" bestFit="1" customWidth="1"/>
    <col min="45" max="45" width="10.44140625" bestFit="1" customWidth="1"/>
    <col min="46" max="46" width="3.6640625" bestFit="1" customWidth="1"/>
    <col min="48" max="48" width="13" bestFit="1" customWidth="1"/>
    <col min="49" max="49" width="10" bestFit="1" customWidth="1"/>
    <col min="51" max="51" width="34.109375" customWidth="1"/>
  </cols>
  <sheetData>
    <row r="1" spans="1:51" x14ac:dyDescent="0.25">
      <c r="A1" s="1" t="s">
        <v>16</v>
      </c>
      <c r="B1" s="1"/>
      <c r="C1" s="1" t="s">
        <v>16</v>
      </c>
      <c r="E1" s="56"/>
      <c r="F1" s="56" t="s">
        <v>65</v>
      </c>
      <c r="G1" s="56" t="s">
        <v>66</v>
      </c>
      <c r="H1" s="56" t="s">
        <v>67</v>
      </c>
      <c r="K1" s="56" t="s">
        <v>68</v>
      </c>
      <c r="L1" s="56" t="s">
        <v>69</v>
      </c>
      <c r="M1" s="56" t="s">
        <v>70</v>
      </c>
      <c r="N1" s="56" t="s">
        <v>71</v>
      </c>
      <c r="O1" s="56"/>
      <c r="P1" s="56" t="s">
        <v>72</v>
      </c>
      <c r="Q1" s="56" t="s">
        <v>73</v>
      </c>
      <c r="R1" s="56" t="s">
        <v>76</v>
      </c>
      <c r="S1" s="56" t="s">
        <v>171</v>
      </c>
      <c r="T1" s="56" t="s">
        <v>74</v>
      </c>
      <c r="U1" s="56" t="s">
        <v>75</v>
      </c>
      <c r="V1" s="56"/>
      <c r="W1" s="56"/>
    </row>
    <row r="2" spans="1:51" x14ac:dyDescent="0.25">
      <c r="A2" s="25" t="str">
        <f t="shared" ref="A2:AU2" si="0">+A5</f>
        <v>AC</v>
      </c>
      <c r="B2" s="25"/>
      <c r="C2" s="25" t="str">
        <f>+C5</f>
        <v>map_acIni_ac</v>
      </c>
      <c r="D2" s="25">
        <f>+D5</f>
        <v>0</v>
      </c>
      <c r="E2" s="25">
        <f t="shared" si="0"/>
        <v>0</v>
      </c>
      <c r="F2" s="25" t="str">
        <f t="shared" si="0"/>
        <v>c</v>
      </c>
      <c r="G2" s="25" t="str">
        <f t="shared" si="0"/>
        <v>a</v>
      </c>
      <c r="H2" s="25" t="str">
        <f t="shared" si="0"/>
        <v>f</v>
      </c>
      <c r="I2" s="25" t="str">
        <f t="shared" si="0"/>
        <v>map_f_ft</v>
      </c>
      <c r="J2" s="25">
        <f t="shared" si="0"/>
        <v>0</v>
      </c>
      <c r="K2" s="25" t="str">
        <f t="shared" si="0"/>
        <v>l</v>
      </c>
      <c r="L2" s="25" t="str">
        <f t="shared" si="0"/>
        <v>k</v>
      </c>
      <c r="M2" s="25" t="str">
        <f t="shared" si="0"/>
        <v>h</v>
      </c>
      <c r="N2" s="25" t="str">
        <f t="shared" si="0"/>
        <v>g</v>
      </c>
      <c r="O2" s="25" t="str">
        <f t="shared" si="0"/>
        <v>gt</v>
      </c>
      <c r="P2" s="25" t="str">
        <f t="shared" si="0"/>
        <v>gtind</v>
      </c>
      <c r="Q2" s="25" t="str">
        <f t="shared" si="0"/>
        <v>gtdir</v>
      </c>
      <c r="R2" s="25" t="str">
        <f t="shared" si="0"/>
        <v>e</v>
      </c>
      <c r="S2" s="25" t="str">
        <f t="shared" si="0"/>
        <v>i</v>
      </c>
      <c r="T2" s="25" t="str">
        <f t="shared" si="0"/>
        <v>w</v>
      </c>
      <c r="U2" s="25">
        <f t="shared" si="0"/>
        <v>0</v>
      </c>
      <c r="V2" s="25" t="str">
        <f t="shared" si="0"/>
        <v>acm</v>
      </c>
      <c r="W2" s="25" t="str">
        <f t="shared" si="0"/>
        <v>etax</v>
      </c>
      <c r="X2" s="25">
        <f t="shared" si="0"/>
        <v>0</v>
      </c>
      <c r="Y2" s="25">
        <f t="shared" si="0"/>
        <v>0</v>
      </c>
      <c r="Z2" s="25" t="str">
        <f t="shared" si="0"/>
        <v>macmap3</v>
      </c>
      <c r="AA2" s="48">
        <f t="shared" si="0"/>
        <v>0</v>
      </c>
      <c r="AB2" s="25">
        <f t="shared" si="0"/>
        <v>0</v>
      </c>
      <c r="AC2" s="25" t="str">
        <f t="shared" si="0"/>
        <v>map_acIni_acini</v>
      </c>
      <c r="AD2" s="25">
        <f t="shared" si="0"/>
        <v>0</v>
      </c>
      <c r="AE2" s="25" t="s">
        <v>185</v>
      </c>
      <c r="AF2" s="25" t="str">
        <f t="shared" ref="AF2:AH2" si="1">+AF5</f>
        <v>asplit_gtap</v>
      </c>
      <c r="AG2" s="25" t="str">
        <f t="shared" si="1"/>
        <v>csplit_gtap</v>
      </c>
      <c r="AH2" s="25" t="str">
        <f t="shared" si="1"/>
        <v>fsplit_gtap</v>
      </c>
      <c r="AI2" s="25" t="str">
        <f t="shared" si="0"/>
        <v>map_aG_ac</v>
      </c>
      <c r="AJ2" s="25">
        <f t="shared" si="0"/>
        <v>0</v>
      </c>
      <c r="AK2" s="25">
        <f t="shared" si="0"/>
        <v>0</v>
      </c>
      <c r="AL2" s="25" t="str">
        <f t="shared" si="0"/>
        <v>map_cG_ac</v>
      </c>
      <c r="AM2" s="25">
        <f t="shared" si="0"/>
        <v>0</v>
      </c>
      <c r="AN2" s="25">
        <f t="shared" si="0"/>
        <v>0</v>
      </c>
      <c r="AO2" s="25" t="str">
        <f t="shared" si="0"/>
        <v>map_fG_ac</v>
      </c>
      <c r="AP2" s="25">
        <f t="shared" si="0"/>
        <v>0</v>
      </c>
      <c r="AQ2" s="25">
        <f t="shared" si="0"/>
        <v>0</v>
      </c>
      <c r="AR2" s="25" t="str">
        <f t="shared" si="0"/>
        <v>map_a_c</v>
      </c>
      <c r="AS2" s="25">
        <f t="shared" si="0"/>
        <v>0</v>
      </c>
      <c r="AT2" s="25">
        <f t="shared" si="0"/>
        <v>0</v>
      </c>
      <c r="AU2" s="25">
        <f t="shared" si="0"/>
        <v>0</v>
      </c>
      <c r="AV2" s="25"/>
      <c r="AW2" s="25"/>
      <c r="AX2" s="25"/>
      <c r="AY2" s="25"/>
    </row>
    <row r="3" spans="1:51" x14ac:dyDescent="0.25">
      <c r="A3" s="26" t="str">
        <f t="shared" ref="A3:X3" si="2">SUBSTITUTE(ADDRESS(1,COLUMN(),4),"1","")</f>
        <v>A</v>
      </c>
      <c r="B3" s="26"/>
      <c r="C3" s="26" t="str">
        <f t="shared" ref="C3:AU3" si="3">SUBSTITUTE(ADDRESS(1,COLUMN(),4),"1","")</f>
        <v>C</v>
      </c>
      <c r="D3" s="26" t="str">
        <f t="shared" si="3"/>
        <v>D</v>
      </c>
      <c r="E3" s="26" t="str">
        <f t="shared" si="2"/>
        <v>E</v>
      </c>
      <c r="F3" s="26" t="str">
        <f t="shared" si="2"/>
        <v>F</v>
      </c>
      <c r="G3" s="26" t="str">
        <f t="shared" si="2"/>
        <v>G</v>
      </c>
      <c r="H3" s="26" t="str">
        <f t="shared" si="2"/>
        <v>H</v>
      </c>
      <c r="I3" s="26" t="str">
        <f t="shared" si="3"/>
        <v>I</v>
      </c>
      <c r="J3" s="26" t="str">
        <f t="shared" si="3"/>
        <v>J</v>
      </c>
      <c r="K3" s="26" t="str">
        <f t="shared" si="2"/>
        <v>K</v>
      </c>
      <c r="L3" s="26" t="str">
        <f t="shared" si="2"/>
        <v>L</v>
      </c>
      <c r="M3" s="26" t="str">
        <f t="shared" si="2"/>
        <v>M</v>
      </c>
      <c r="N3" s="26" t="str">
        <f t="shared" si="2"/>
        <v>N</v>
      </c>
      <c r="O3" s="26" t="str">
        <f t="shared" si="2"/>
        <v>O</v>
      </c>
      <c r="P3" s="26" t="str">
        <f t="shared" si="2"/>
        <v>P</v>
      </c>
      <c r="Q3" s="26" t="str">
        <f t="shared" si="2"/>
        <v>Q</v>
      </c>
      <c r="R3" s="26" t="str">
        <f t="shared" si="2"/>
        <v>R</v>
      </c>
      <c r="S3" s="26" t="str">
        <f t="shared" si="2"/>
        <v>S</v>
      </c>
      <c r="T3" s="26" t="str">
        <f t="shared" si="2"/>
        <v>T</v>
      </c>
      <c r="U3" s="26" t="str">
        <f t="shared" si="2"/>
        <v>U</v>
      </c>
      <c r="V3" s="26" t="str">
        <f t="shared" si="2"/>
        <v>V</v>
      </c>
      <c r="W3" s="26" t="str">
        <f t="shared" si="2"/>
        <v>W</v>
      </c>
      <c r="X3" s="26" t="str">
        <f t="shared" si="2"/>
        <v>X</v>
      </c>
      <c r="Y3" s="26" t="str">
        <f t="shared" si="3"/>
        <v>Y</v>
      </c>
      <c r="Z3" s="26" t="str">
        <f t="shared" si="3"/>
        <v>Z</v>
      </c>
      <c r="AA3" s="48" t="str">
        <f t="shared" si="3"/>
        <v>AA</v>
      </c>
      <c r="AB3" s="26" t="str">
        <f t="shared" si="3"/>
        <v>AB</v>
      </c>
      <c r="AC3" s="26" t="str">
        <f t="shared" si="3"/>
        <v>AC</v>
      </c>
      <c r="AD3" s="26" t="str">
        <f t="shared" si="3"/>
        <v>AD</v>
      </c>
      <c r="AE3" s="26" t="str">
        <f t="shared" si="3"/>
        <v>AE</v>
      </c>
      <c r="AF3" s="26" t="str">
        <f t="shared" si="3"/>
        <v>AF</v>
      </c>
      <c r="AG3" s="26" t="str">
        <f t="shared" si="3"/>
        <v>AG</v>
      </c>
      <c r="AH3" s="26" t="str">
        <f t="shared" si="3"/>
        <v>AH</v>
      </c>
      <c r="AI3" s="26" t="str">
        <f t="shared" si="3"/>
        <v>AI</v>
      </c>
      <c r="AJ3" s="26" t="str">
        <f t="shared" si="3"/>
        <v>AJ</v>
      </c>
      <c r="AK3" s="26" t="str">
        <f t="shared" si="3"/>
        <v>AK</v>
      </c>
      <c r="AL3" s="26" t="str">
        <f t="shared" si="3"/>
        <v>AL</v>
      </c>
      <c r="AM3" s="26" t="str">
        <f t="shared" si="3"/>
        <v>AM</v>
      </c>
      <c r="AN3" s="26" t="str">
        <f t="shared" si="3"/>
        <v>AN</v>
      </c>
      <c r="AO3" s="26" t="str">
        <f t="shared" si="3"/>
        <v>AO</v>
      </c>
      <c r="AP3" s="26" t="str">
        <f t="shared" si="3"/>
        <v>AP</v>
      </c>
      <c r="AQ3" s="26" t="str">
        <f t="shared" si="3"/>
        <v>AQ</v>
      </c>
      <c r="AR3" s="26" t="str">
        <f t="shared" si="3"/>
        <v>AR</v>
      </c>
      <c r="AS3" s="26" t="str">
        <f t="shared" si="3"/>
        <v>AS</v>
      </c>
      <c r="AT3" s="26" t="str">
        <f t="shared" si="3"/>
        <v>AT</v>
      </c>
      <c r="AU3" s="26" t="str">
        <f t="shared" si="3"/>
        <v>AU</v>
      </c>
      <c r="AV3" s="26"/>
      <c r="AW3" s="26"/>
      <c r="AX3" s="26"/>
      <c r="AY3" s="26"/>
    </row>
    <row r="4" spans="1:51" ht="39.6" x14ac:dyDescent="0.25">
      <c r="A4" s="3" t="s">
        <v>17</v>
      </c>
      <c r="B4" s="3"/>
      <c r="E4" s="56"/>
      <c r="F4" s="27" t="s">
        <v>26</v>
      </c>
      <c r="G4" s="27" t="s">
        <v>27</v>
      </c>
      <c r="H4" s="27" t="s">
        <v>28</v>
      </c>
      <c r="K4" s="27" t="s">
        <v>29</v>
      </c>
      <c r="L4" s="27" t="s">
        <v>30</v>
      </c>
      <c r="M4" s="27" t="s">
        <v>31</v>
      </c>
      <c r="N4" s="27" t="s">
        <v>2</v>
      </c>
      <c r="O4" s="27"/>
      <c r="P4" s="27" t="s">
        <v>62</v>
      </c>
      <c r="Q4" s="27" t="s">
        <v>34</v>
      </c>
      <c r="R4" s="27" t="s">
        <v>1</v>
      </c>
      <c r="S4" s="27" t="s">
        <v>173</v>
      </c>
      <c r="T4" s="27" t="s">
        <v>0</v>
      </c>
      <c r="U4" s="1"/>
      <c r="V4" s="27" t="s">
        <v>81</v>
      </c>
      <c r="W4" s="27" t="s">
        <v>19</v>
      </c>
      <c r="AF4" s="27" t="s">
        <v>182</v>
      </c>
      <c r="AG4" s="27" t="s">
        <v>183</v>
      </c>
    </row>
    <row r="5" spans="1:51" x14ac:dyDescent="0.25">
      <c r="A5" s="12" t="s">
        <v>36</v>
      </c>
      <c r="B5" s="3"/>
      <c r="C5" s="3" t="s">
        <v>96</v>
      </c>
      <c r="E5" s="7"/>
      <c r="F5" s="12" t="s">
        <v>7</v>
      </c>
      <c r="G5" s="12" t="s">
        <v>8</v>
      </c>
      <c r="H5" s="12" t="s">
        <v>9</v>
      </c>
      <c r="I5" s="3" t="s">
        <v>713</v>
      </c>
      <c r="K5" s="12" t="s">
        <v>10</v>
      </c>
      <c r="L5" s="12" t="s">
        <v>11</v>
      </c>
      <c r="M5" s="12" t="s">
        <v>15</v>
      </c>
      <c r="N5" s="12" t="s">
        <v>12</v>
      </c>
      <c r="O5" s="12" t="s">
        <v>97</v>
      </c>
      <c r="P5" s="12" t="s">
        <v>64</v>
      </c>
      <c r="Q5" s="12" t="s">
        <v>63</v>
      </c>
      <c r="R5" s="12" t="s">
        <v>13</v>
      </c>
      <c r="S5" s="12" t="s">
        <v>33</v>
      </c>
      <c r="T5" s="12" t="s">
        <v>14</v>
      </c>
      <c r="U5" s="12"/>
      <c r="V5" s="12" t="s">
        <v>78</v>
      </c>
      <c r="W5" s="12" t="s">
        <v>82</v>
      </c>
      <c r="Z5" t="s">
        <v>99</v>
      </c>
      <c r="AC5" s="3" t="s">
        <v>101</v>
      </c>
      <c r="AE5" t="s">
        <v>185</v>
      </c>
      <c r="AF5" t="s">
        <v>180</v>
      </c>
      <c r="AG5" t="s">
        <v>181</v>
      </c>
      <c r="AH5" t="s">
        <v>579</v>
      </c>
      <c r="AI5" s="22" t="s">
        <v>102</v>
      </c>
      <c r="AL5" s="22" t="s">
        <v>103</v>
      </c>
      <c r="AO5" t="s">
        <v>104</v>
      </c>
      <c r="AR5" s="22" t="s">
        <v>105</v>
      </c>
    </row>
    <row r="6" spans="1:51" x14ac:dyDescent="0.25">
      <c r="A6" s="34" t="s">
        <v>332</v>
      </c>
      <c r="B6" s="35"/>
      <c r="C6" s="34" t="s">
        <v>189</v>
      </c>
      <c r="D6" s="34" t="s">
        <v>332</v>
      </c>
      <c r="F6" s="34" t="s">
        <v>396</v>
      </c>
      <c r="G6" s="34" t="s">
        <v>332</v>
      </c>
      <c r="H6" s="42" t="s">
        <v>176</v>
      </c>
      <c r="I6" s="42" t="s">
        <v>176</v>
      </c>
      <c r="J6" s="42" t="s">
        <v>565</v>
      </c>
      <c r="K6" s="42" t="s">
        <v>460</v>
      </c>
      <c r="L6" s="42" t="s">
        <v>465</v>
      </c>
      <c r="M6" s="34" t="s">
        <v>470</v>
      </c>
      <c r="N6" s="34" t="s">
        <v>471</v>
      </c>
      <c r="O6" s="34" t="s">
        <v>559</v>
      </c>
      <c r="P6" s="34" t="s">
        <v>559</v>
      </c>
      <c r="Q6" s="34" t="s">
        <v>473</v>
      </c>
      <c r="R6" s="42" t="s">
        <v>477</v>
      </c>
      <c r="S6" s="42" t="s">
        <v>474</v>
      </c>
      <c r="T6" s="42" t="s">
        <v>475</v>
      </c>
      <c r="V6" t="s">
        <v>670</v>
      </c>
      <c r="Z6" t="s">
        <v>656</v>
      </c>
      <c r="AA6" s="42" t="s">
        <v>332</v>
      </c>
      <c r="AC6" s="34" t="s">
        <v>189</v>
      </c>
      <c r="AD6" s="34" t="s">
        <v>189</v>
      </c>
      <c r="AF6" t="s">
        <v>342</v>
      </c>
      <c r="AI6" t="s">
        <v>106</v>
      </c>
      <c r="AJ6" t="s">
        <v>332</v>
      </c>
      <c r="AL6" t="s">
        <v>106</v>
      </c>
      <c r="AM6" t="s">
        <v>396</v>
      </c>
      <c r="AO6" s="34" t="s">
        <v>543</v>
      </c>
      <c r="AP6" s="34" t="s">
        <v>176</v>
      </c>
      <c r="AR6" s="34" t="s">
        <v>332</v>
      </c>
      <c r="AS6" s="34" t="s">
        <v>396</v>
      </c>
    </row>
    <row r="7" spans="1:51" x14ac:dyDescent="0.25">
      <c r="A7" s="34" t="s">
        <v>333</v>
      </c>
      <c r="B7" s="35"/>
      <c r="C7" s="34" t="s">
        <v>190</v>
      </c>
      <c r="D7" s="34" t="s">
        <v>333</v>
      </c>
      <c r="F7" s="34" t="s">
        <v>397</v>
      </c>
      <c r="G7" s="34" t="s">
        <v>333</v>
      </c>
      <c r="H7" s="42" t="s">
        <v>460</v>
      </c>
      <c r="I7" s="42" t="s">
        <v>460</v>
      </c>
      <c r="J7" s="42" t="s">
        <v>559</v>
      </c>
      <c r="K7" s="42" t="s">
        <v>461</v>
      </c>
      <c r="M7" s="34"/>
      <c r="O7" s="34" t="s">
        <v>560</v>
      </c>
      <c r="P7" s="34" t="s">
        <v>560</v>
      </c>
      <c r="S7" s="42"/>
      <c r="V7" t="s">
        <v>671</v>
      </c>
      <c r="Z7" t="s">
        <v>656</v>
      </c>
      <c r="AA7" s="42" t="s">
        <v>333</v>
      </c>
      <c r="AC7" s="34" t="s">
        <v>190</v>
      </c>
      <c r="AD7" s="34" t="s">
        <v>190</v>
      </c>
      <c r="AF7" t="s">
        <v>701</v>
      </c>
      <c r="AI7" t="s">
        <v>107</v>
      </c>
      <c r="AJ7" t="s">
        <v>333</v>
      </c>
      <c r="AL7" t="s">
        <v>107</v>
      </c>
      <c r="AM7" t="s">
        <v>397</v>
      </c>
      <c r="AO7" s="34" t="s">
        <v>544</v>
      </c>
      <c r="AP7" s="34" t="s">
        <v>460</v>
      </c>
      <c r="AR7" s="34" t="s">
        <v>333</v>
      </c>
      <c r="AS7" s="34" t="s">
        <v>397</v>
      </c>
    </row>
    <row r="8" spans="1:51" x14ac:dyDescent="0.25">
      <c r="A8" s="34" t="s">
        <v>334</v>
      </c>
      <c r="B8" s="35"/>
      <c r="C8" s="34" t="s">
        <v>191</v>
      </c>
      <c r="D8" s="34" t="s">
        <v>334</v>
      </c>
      <c r="F8" s="34" t="s">
        <v>398</v>
      </c>
      <c r="G8" s="34" t="s">
        <v>334</v>
      </c>
      <c r="H8" s="42" t="s">
        <v>461</v>
      </c>
      <c r="I8" s="42" t="s">
        <v>461</v>
      </c>
      <c r="J8" s="42" t="s">
        <v>560</v>
      </c>
      <c r="K8" s="42" t="s">
        <v>462</v>
      </c>
      <c r="M8" s="34"/>
      <c r="O8" s="34" t="s">
        <v>561</v>
      </c>
      <c r="P8" s="34" t="s">
        <v>561</v>
      </c>
      <c r="S8" s="32"/>
      <c r="T8" s="8"/>
      <c r="V8" s="40" t="s">
        <v>672</v>
      </c>
      <c r="Z8" t="s">
        <v>656</v>
      </c>
      <c r="AA8" s="42" t="s">
        <v>334</v>
      </c>
      <c r="AC8" s="34" t="s">
        <v>191</v>
      </c>
      <c r="AD8" s="34" t="s">
        <v>191</v>
      </c>
      <c r="AI8" t="s">
        <v>108</v>
      </c>
      <c r="AJ8" t="s">
        <v>334</v>
      </c>
      <c r="AL8" t="s">
        <v>108</v>
      </c>
      <c r="AM8" t="s">
        <v>398</v>
      </c>
      <c r="AO8" s="34" t="s">
        <v>545</v>
      </c>
      <c r="AP8" s="34" t="s">
        <v>461</v>
      </c>
      <c r="AQ8" s="23"/>
      <c r="AR8" s="34" t="s">
        <v>334</v>
      </c>
      <c r="AS8" s="34" t="s">
        <v>398</v>
      </c>
    </row>
    <row r="9" spans="1:51" x14ac:dyDescent="0.25">
      <c r="A9" s="34" t="s">
        <v>335</v>
      </c>
      <c r="B9" s="35"/>
      <c r="C9" s="34" t="s">
        <v>192</v>
      </c>
      <c r="D9" s="34" t="s">
        <v>335</v>
      </c>
      <c r="F9" s="34" t="s">
        <v>399</v>
      </c>
      <c r="G9" s="34" t="s">
        <v>335</v>
      </c>
      <c r="H9" s="42" t="s">
        <v>462</v>
      </c>
      <c r="I9" s="42" t="s">
        <v>462</v>
      </c>
      <c r="J9" s="42" t="s">
        <v>561</v>
      </c>
      <c r="K9" s="42" t="s">
        <v>463</v>
      </c>
      <c r="M9" s="34"/>
      <c r="O9" s="34" t="s">
        <v>562</v>
      </c>
      <c r="P9" s="34" t="s">
        <v>562</v>
      </c>
      <c r="V9" t="s">
        <v>673</v>
      </c>
      <c r="Z9" t="s">
        <v>656</v>
      </c>
      <c r="AA9" s="42" t="s">
        <v>335</v>
      </c>
      <c r="AC9" s="34" t="s">
        <v>192</v>
      </c>
      <c r="AD9" s="34" t="s">
        <v>192</v>
      </c>
      <c r="AI9" t="s">
        <v>109</v>
      </c>
      <c r="AJ9" t="s">
        <v>335</v>
      </c>
      <c r="AL9" t="s">
        <v>109</v>
      </c>
      <c r="AM9" t="s">
        <v>399</v>
      </c>
      <c r="AO9" s="34" t="s">
        <v>546</v>
      </c>
      <c r="AP9" s="34" t="s">
        <v>462</v>
      </c>
      <c r="AQ9" s="23"/>
      <c r="AR9" s="34" t="s">
        <v>335</v>
      </c>
      <c r="AS9" s="34" t="s">
        <v>399</v>
      </c>
    </row>
    <row r="10" spans="1:51" x14ac:dyDescent="0.25">
      <c r="A10" s="34" t="s">
        <v>336</v>
      </c>
      <c r="B10" s="35"/>
      <c r="C10" s="34" t="s">
        <v>193</v>
      </c>
      <c r="D10" s="34" t="s">
        <v>336</v>
      </c>
      <c r="F10" s="34" t="s">
        <v>400</v>
      </c>
      <c r="G10" s="34" t="s">
        <v>336</v>
      </c>
      <c r="H10" s="42" t="s">
        <v>463</v>
      </c>
      <c r="I10" s="42" t="s">
        <v>463</v>
      </c>
      <c r="J10" s="42" t="s">
        <v>562</v>
      </c>
      <c r="K10" s="42" t="s">
        <v>464</v>
      </c>
      <c r="M10" s="34"/>
      <c r="O10" s="34" t="s">
        <v>563</v>
      </c>
      <c r="P10" s="34" t="s">
        <v>563</v>
      </c>
      <c r="V10" t="s">
        <v>674</v>
      </c>
      <c r="Z10" t="s">
        <v>656</v>
      </c>
      <c r="AA10" s="42" t="s">
        <v>336</v>
      </c>
      <c r="AC10" s="34" t="s">
        <v>193</v>
      </c>
      <c r="AD10" s="34" t="s">
        <v>193</v>
      </c>
      <c r="AI10" t="s">
        <v>110</v>
      </c>
      <c r="AJ10" t="s">
        <v>336</v>
      </c>
      <c r="AL10" t="s">
        <v>110</v>
      </c>
      <c r="AM10" t="s">
        <v>400</v>
      </c>
      <c r="AO10" s="34" t="s">
        <v>547</v>
      </c>
      <c r="AP10" s="34" t="s">
        <v>463</v>
      </c>
      <c r="AQ10" s="23"/>
      <c r="AR10" s="34" t="s">
        <v>336</v>
      </c>
      <c r="AS10" s="34" t="s">
        <v>400</v>
      </c>
    </row>
    <row r="11" spans="1:51" x14ac:dyDescent="0.25">
      <c r="A11" s="34" t="s">
        <v>337</v>
      </c>
      <c r="B11" s="35"/>
      <c r="C11" s="34" t="s">
        <v>194</v>
      </c>
      <c r="D11" s="34" t="s">
        <v>337</v>
      </c>
      <c r="F11" s="34" t="s">
        <v>401</v>
      </c>
      <c r="G11" s="34" t="s">
        <v>337</v>
      </c>
      <c r="H11" s="42" t="s">
        <v>464</v>
      </c>
      <c r="I11" s="42" t="s">
        <v>464</v>
      </c>
      <c r="J11" s="42" t="s">
        <v>563</v>
      </c>
      <c r="K11" s="34" t="s">
        <v>460</v>
      </c>
      <c r="M11" s="34"/>
      <c r="O11" s="34" t="s">
        <v>564</v>
      </c>
      <c r="P11" s="34" t="s">
        <v>564</v>
      </c>
      <c r="V11" t="s">
        <v>675</v>
      </c>
      <c r="Z11" t="s">
        <v>656</v>
      </c>
      <c r="AA11" s="42" t="s">
        <v>337</v>
      </c>
      <c r="AC11" s="34" t="s">
        <v>194</v>
      </c>
      <c r="AD11" s="34" t="s">
        <v>194</v>
      </c>
      <c r="AI11" t="s">
        <v>111</v>
      </c>
      <c r="AJ11" t="s">
        <v>337</v>
      </c>
      <c r="AL11" t="s">
        <v>111</v>
      </c>
      <c r="AM11" t="s">
        <v>401</v>
      </c>
      <c r="AO11" s="34" t="s">
        <v>548</v>
      </c>
      <c r="AP11" s="34" t="s">
        <v>464</v>
      </c>
      <c r="AQ11" s="23"/>
      <c r="AR11" s="34" t="s">
        <v>337</v>
      </c>
      <c r="AS11" s="34" t="s">
        <v>401</v>
      </c>
    </row>
    <row r="12" spans="1:51" x14ac:dyDescent="0.25">
      <c r="A12" s="34" t="s">
        <v>338</v>
      </c>
      <c r="B12" s="35"/>
      <c r="C12" s="34" t="s">
        <v>195</v>
      </c>
      <c r="D12" s="34" t="s">
        <v>338</v>
      </c>
      <c r="F12" s="34" t="s">
        <v>402</v>
      </c>
      <c r="G12" s="34" t="s">
        <v>338</v>
      </c>
      <c r="H12" t="s">
        <v>714</v>
      </c>
      <c r="I12" t="s">
        <v>714</v>
      </c>
      <c r="J12" t="s">
        <v>724</v>
      </c>
      <c r="K12" t="s">
        <v>714</v>
      </c>
      <c r="M12" s="34"/>
      <c r="O12" t="s">
        <v>724</v>
      </c>
      <c r="P12" t="s">
        <v>724</v>
      </c>
      <c r="V12" t="s">
        <v>676</v>
      </c>
      <c r="Z12" t="s">
        <v>656</v>
      </c>
      <c r="AA12" s="42" t="s">
        <v>338</v>
      </c>
      <c r="AC12" s="34" t="s">
        <v>195</v>
      </c>
      <c r="AD12" s="34" t="s">
        <v>195</v>
      </c>
      <c r="AI12" t="s">
        <v>112</v>
      </c>
      <c r="AJ12" t="s">
        <v>338</v>
      </c>
      <c r="AL12" t="s">
        <v>112</v>
      </c>
      <c r="AM12" t="s">
        <v>402</v>
      </c>
      <c r="AO12" s="34" t="s">
        <v>550</v>
      </c>
      <c r="AP12" s="34" t="s">
        <v>465</v>
      </c>
      <c r="AQ12" s="23"/>
      <c r="AR12" s="34" t="s">
        <v>338</v>
      </c>
      <c r="AS12" s="34" t="s">
        <v>402</v>
      </c>
    </row>
    <row r="13" spans="1:51" x14ac:dyDescent="0.25">
      <c r="A13" s="34" t="s">
        <v>339</v>
      </c>
      <c r="B13" s="35"/>
      <c r="C13" s="34" t="s">
        <v>196</v>
      </c>
      <c r="D13" s="34" t="s">
        <v>339</v>
      </c>
      <c r="F13" s="34" t="s">
        <v>403</v>
      </c>
      <c r="G13" s="34" t="s">
        <v>339</v>
      </c>
      <c r="H13" t="s">
        <v>715</v>
      </c>
      <c r="I13" t="s">
        <v>715</v>
      </c>
      <c r="J13" t="s">
        <v>725</v>
      </c>
      <c r="K13" t="s">
        <v>715</v>
      </c>
      <c r="M13" s="34"/>
      <c r="O13" t="s">
        <v>725</v>
      </c>
      <c r="P13" t="s">
        <v>725</v>
      </c>
      <c r="V13" t="s">
        <v>677</v>
      </c>
      <c r="Z13" t="s">
        <v>656</v>
      </c>
      <c r="AA13" s="42" t="s">
        <v>339</v>
      </c>
      <c r="AC13" s="34" t="s">
        <v>196</v>
      </c>
      <c r="AD13" s="34" t="s">
        <v>196</v>
      </c>
      <c r="AI13" t="s">
        <v>113</v>
      </c>
      <c r="AJ13" t="s">
        <v>339</v>
      </c>
      <c r="AL13" t="s">
        <v>113</v>
      </c>
      <c r="AM13" t="s">
        <v>403</v>
      </c>
      <c r="AO13" s="34" t="s">
        <v>549</v>
      </c>
      <c r="AP13" s="34" t="s">
        <v>177</v>
      </c>
      <c r="AQ13" s="24"/>
      <c r="AR13" s="34" t="s">
        <v>339</v>
      </c>
      <c r="AS13" s="34" t="s">
        <v>403</v>
      </c>
    </row>
    <row r="14" spans="1:51" x14ac:dyDescent="0.25">
      <c r="A14" s="34" t="s">
        <v>340</v>
      </c>
      <c r="B14" s="35"/>
      <c r="C14" s="34" t="s">
        <v>197</v>
      </c>
      <c r="D14" s="34" t="s">
        <v>340</v>
      </c>
      <c r="F14" s="34" t="s">
        <v>404</v>
      </c>
      <c r="G14" s="34" t="s">
        <v>340</v>
      </c>
      <c r="H14" t="s">
        <v>716</v>
      </c>
      <c r="I14" t="s">
        <v>716</v>
      </c>
      <c r="J14" t="s">
        <v>726</v>
      </c>
      <c r="K14" t="s">
        <v>716</v>
      </c>
      <c r="M14" s="34"/>
      <c r="O14" t="s">
        <v>726</v>
      </c>
      <c r="P14" t="s">
        <v>726</v>
      </c>
      <c r="V14" t="s">
        <v>678</v>
      </c>
      <c r="Z14" t="s">
        <v>656</v>
      </c>
      <c r="AA14" s="42" t="s">
        <v>340</v>
      </c>
      <c r="AC14" s="34" t="s">
        <v>197</v>
      </c>
      <c r="AD14" s="34" t="s">
        <v>197</v>
      </c>
      <c r="AI14" t="s">
        <v>114</v>
      </c>
      <c r="AJ14" t="s">
        <v>340</v>
      </c>
      <c r="AL14" t="s">
        <v>114</v>
      </c>
      <c r="AM14" t="s">
        <v>404</v>
      </c>
      <c r="AO14" s="34" t="s">
        <v>543</v>
      </c>
      <c r="AP14" s="34" t="s">
        <v>709</v>
      </c>
      <c r="AQ14" s="23"/>
      <c r="AR14" s="34" t="s">
        <v>340</v>
      </c>
      <c r="AS14" s="34" t="s">
        <v>404</v>
      </c>
    </row>
    <row r="15" spans="1:51" x14ac:dyDescent="0.25">
      <c r="A15" s="34" t="s">
        <v>701</v>
      </c>
      <c r="B15" s="35"/>
      <c r="C15" s="34" t="s">
        <v>703</v>
      </c>
      <c r="D15" s="34" t="s">
        <v>701</v>
      </c>
      <c r="F15" s="34" t="s">
        <v>702</v>
      </c>
      <c r="G15" s="34" t="s">
        <v>701</v>
      </c>
      <c r="H15" t="s">
        <v>717</v>
      </c>
      <c r="I15" t="s">
        <v>717</v>
      </c>
      <c r="J15" t="s">
        <v>727</v>
      </c>
      <c r="K15" t="s">
        <v>717</v>
      </c>
      <c r="M15" s="34"/>
      <c r="O15" t="s">
        <v>727</v>
      </c>
      <c r="P15" t="s">
        <v>727</v>
      </c>
      <c r="V15" t="s">
        <v>679</v>
      </c>
      <c r="Z15" t="s">
        <v>656</v>
      </c>
      <c r="AA15" s="42" t="s">
        <v>341</v>
      </c>
      <c r="AC15" s="34" t="s">
        <v>198</v>
      </c>
      <c r="AD15" s="34" t="s">
        <v>198</v>
      </c>
      <c r="AI15" t="s">
        <v>115</v>
      </c>
      <c r="AJ15" t="s">
        <v>341</v>
      </c>
      <c r="AL15" t="s">
        <v>115</v>
      </c>
      <c r="AM15" t="s">
        <v>405</v>
      </c>
      <c r="AO15" s="34" t="s">
        <v>754</v>
      </c>
      <c r="AP15" s="34" t="s">
        <v>616</v>
      </c>
      <c r="AR15" s="34" t="s">
        <v>341</v>
      </c>
      <c r="AS15" s="34" t="s">
        <v>405</v>
      </c>
    </row>
    <row r="16" spans="1:51" x14ac:dyDescent="0.25">
      <c r="A16" s="34" t="s">
        <v>341</v>
      </c>
      <c r="B16" s="35"/>
      <c r="C16" s="34" t="s">
        <v>198</v>
      </c>
      <c r="D16" s="34" t="s">
        <v>341</v>
      </c>
      <c r="F16" s="34" t="s">
        <v>405</v>
      </c>
      <c r="G16" s="34" t="s">
        <v>341</v>
      </c>
      <c r="H16" t="s">
        <v>718</v>
      </c>
      <c r="I16" t="s">
        <v>718</v>
      </c>
      <c r="J16" t="s">
        <v>728</v>
      </c>
      <c r="K16" t="s">
        <v>718</v>
      </c>
      <c r="O16" t="s">
        <v>728</v>
      </c>
      <c r="P16" t="s">
        <v>728</v>
      </c>
      <c r="V16" t="s">
        <v>680</v>
      </c>
      <c r="Z16" t="s">
        <v>656</v>
      </c>
      <c r="AA16" s="42" t="s">
        <v>701</v>
      </c>
      <c r="AC16" s="34" t="s">
        <v>703</v>
      </c>
      <c r="AD16" s="34" t="s">
        <v>703</v>
      </c>
      <c r="AI16" t="s">
        <v>116</v>
      </c>
      <c r="AJ16" t="s">
        <v>342</v>
      </c>
      <c r="AL16" t="s">
        <v>116</v>
      </c>
      <c r="AM16" t="s">
        <v>406</v>
      </c>
      <c r="AO16" s="34" t="s">
        <v>755</v>
      </c>
      <c r="AP16" s="34" t="s">
        <v>617</v>
      </c>
      <c r="AR16" s="34" t="s">
        <v>342</v>
      </c>
      <c r="AS16" s="34" t="s">
        <v>406</v>
      </c>
    </row>
    <row r="17" spans="1:45" x14ac:dyDescent="0.25">
      <c r="A17" s="34" t="s">
        <v>342</v>
      </c>
      <c r="B17" s="35"/>
      <c r="C17" s="34" t="s">
        <v>199</v>
      </c>
      <c r="D17" s="34" t="s">
        <v>342</v>
      </c>
      <c r="F17" s="34" t="s">
        <v>406</v>
      </c>
      <c r="G17" s="34" t="s">
        <v>342</v>
      </c>
      <c r="H17" t="s">
        <v>719</v>
      </c>
      <c r="I17" t="s">
        <v>719</v>
      </c>
      <c r="J17" t="s">
        <v>729</v>
      </c>
      <c r="K17" t="s">
        <v>719</v>
      </c>
      <c r="O17" t="s">
        <v>729</v>
      </c>
      <c r="P17" t="s">
        <v>729</v>
      </c>
      <c r="V17" t="s">
        <v>681</v>
      </c>
      <c r="Z17" t="s">
        <v>656</v>
      </c>
      <c r="AA17" s="42" t="s">
        <v>342</v>
      </c>
      <c r="AC17" s="34" t="s">
        <v>199</v>
      </c>
      <c r="AD17" s="34" t="s">
        <v>199</v>
      </c>
      <c r="AI17" t="s">
        <v>116</v>
      </c>
      <c r="AJ17" t="s">
        <v>701</v>
      </c>
      <c r="AL17" t="s">
        <v>116</v>
      </c>
      <c r="AM17" t="s">
        <v>702</v>
      </c>
      <c r="AO17" s="34" t="s">
        <v>756</v>
      </c>
      <c r="AP17" s="34" t="s">
        <v>618</v>
      </c>
      <c r="AR17" t="s">
        <v>701</v>
      </c>
      <c r="AS17" t="s">
        <v>702</v>
      </c>
    </row>
    <row r="18" spans="1:45" x14ac:dyDescent="0.25">
      <c r="A18" s="34" t="s">
        <v>343</v>
      </c>
      <c r="B18" s="35"/>
      <c r="C18" s="34" t="s">
        <v>200</v>
      </c>
      <c r="D18" s="34" t="s">
        <v>343</v>
      </c>
      <c r="F18" s="34" t="s">
        <v>407</v>
      </c>
      <c r="G18" s="34" t="s">
        <v>343</v>
      </c>
      <c r="H18" t="s">
        <v>720</v>
      </c>
      <c r="I18" t="s">
        <v>720</v>
      </c>
      <c r="J18" t="s">
        <v>730</v>
      </c>
      <c r="K18" t="s">
        <v>720</v>
      </c>
      <c r="O18" t="s">
        <v>730</v>
      </c>
      <c r="P18" t="s">
        <v>730</v>
      </c>
      <c r="V18" t="s">
        <v>682</v>
      </c>
      <c r="Z18" t="s">
        <v>656</v>
      </c>
      <c r="AA18" s="42" t="s">
        <v>343</v>
      </c>
      <c r="AC18" s="34" t="s">
        <v>200</v>
      </c>
      <c r="AD18" s="34" t="s">
        <v>200</v>
      </c>
      <c r="AI18" t="s">
        <v>117</v>
      </c>
      <c r="AJ18" t="s">
        <v>343</v>
      </c>
      <c r="AL18" t="s">
        <v>117</v>
      </c>
      <c r="AM18" t="s">
        <v>407</v>
      </c>
      <c r="AO18" s="34" t="s">
        <v>757</v>
      </c>
      <c r="AP18" s="34" t="s">
        <v>619</v>
      </c>
      <c r="AR18" s="34" t="s">
        <v>343</v>
      </c>
      <c r="AS18" s="34" t="s">
        <v>407</v>
      </c>
    </row>
    <row r="19" spans="1:45" x14ac:dyDescent="0.25">
      <c r="A19" s="34" t="s">
        <v>344</v>
      </c>
      <c r="B19" s="35"/>
      <c r="C19" s="34" t="s">
        <v>201</v>
      </c>
      <c r="D19" s="34" t="s">
        <v>344</v>
      </c>
      <c r="F19" s="34" t="s">
        <v>408</v>
      </c>
      <c r="G19" s="34" t="s">
        <v>344</v>
      </c>
      <c r="H19" t="s">
        <v>721</v>
      </c>
      <c r="I19" t="s">
        <v>721</v>
      </c>
      <c r="J19" t="s">
        <v>731</v>
      </c>
      <c r="K19" t="s">
        <v>721</v>
      </c>
      <c r="O19" t="s">
        <v>731</v>
      </c>
      <c r="P19" t="s">
        <v>731</v>
      </c>
      <c r="V19" t="s">
        <v>683</v>
      </c>
      <c r="Z19" t="s">
        <v>656</v>
      </c>
      <c r="AA19" s="42" t="s">
        <v>344</v>
      </c>
      <c r="AC19" s="34" t="s">
        <v>201</v>
      </c>
      <c r="AD19" s="34" t="s">
        <v>201</v>
      </c>
      <c r="AI19" t="s">
        <v>118</v>
      </c>
      <c r="AJ19" t="s">
        <v>344</v>
      </c>
      <c r="AL19" t="s">
        <v>118</v>
      </c>
      <c r="AM19" t="s">
        <v>408</v>
      </c>
      <c r="AO19" s="34" t="s">
        <v>758</v>
      </c>
      <c r="AP19" s="34" t="s">
        <v>620</v>
      </c>
      <c r="AR19" s="34" t="s">
        <v>344</v>
      </c>
      <c r="AS19" s="34" t="s">
        <v>408</v>
      </c>
    </row>
    <row r="20" spans="1:45" x14ac:dyDescent="0.25">
      <c r="A20" s="34" t="s">
        <v>345</v>
      </c>
      <c r="B20" s="35"/>
      <c r="C20" s="34" t="s">
        <v>202</v>
      </c>
      <c r="D20" s="34" t="s">
        <v>345</v>
      </c>
      <c r="F20" s="34" t="s">
        <v>409</v>
      </c>
      <c r="G20" s="34" t="s">
        <v>345</v>
      </c>
      <c r="H20" t="s">
        <v>722</v>
      </c>
      <c r="I20" t="s">
        <v>722</v>
      </c>
      <c r="J20" t="s">
        <v>732</v>
      </c>
      <c r="K20" t="s">
        <v>722</v>
      </c>
      <c r="O20" t="s">
        <v>732</v>
      </c>
      <c r="P20" t="s">
        <v>732</v>
      </c>
      <c r="V20" t="s">
        <v>684</v>
      </c>
      <c r="Z20" t="s">
        <v>656</v>
      </c>
      <c r="AA20" s="42" t="s">
        <v>345</v>
      </c>
      <c r="AC20" s="34" t="s">
        <v>202</v>
      </c>
      <c r="AD20" s="34" t="s">
        <v>202</v>
      </c>
      <c r="AI20" t="s">
        <v>119</v>
      </c>
      <c r="AJ20" t="s">
        <v>345</v>
      </c>
      <c r="AL20" t="s">
        <v>119</v>
      </c>
      <c r="AM20" t="s">
        <v>409</v>
      </c>
      <c r="AO20" s="34" t="s">
        <v>759</v>
      </c>
      <c r="AP20" s="34" t="s">
        <v>621</v>
      </c>
      <c r="AR20" s="34" t="s">
        <v>345</v>
      </c>
      <c r="AS20" s="34" t="s">
        <v>409</v>
      </c>
    </row>
    <row r="21" spans="1:45" x14ac:dyDescent="0.25">
      <c r="A21" s="34" t="s">
        <v>346</v>
      </c>
      <c r="B21" s="35"/>
      <c r="C21" s="34" t="s">
        <v>203</v>
      </c>
      <c r="D21" s="34" t="s">
        <v>346</v>
      </c>
      <c r="F21" s="34" t="s">
        <v>410</v>
      </c>
      <c r="G21" s="34" t="s">
        <v>346</v>
      </c>
      <c r="H21" t="s">
        <v>723</v>
      </c>
      <c r="I21" t="s">
        <v>723</v>
      </c>
      <c r="J21" t="s">
        <v>733</v>
      </c>
      <c r="K21" t="s">
        <v>723</v>
      </c>
      <c r="O21" t="s">
        <v>733</v>
      </c>
      <c r="P21" t="s">
        <v>733</v>
      </c>
      <c r="V21" t="s">
        <v>685</v>
      </c>
      <c r="Z21" t="s">
        <v>656</v>
      </c>
      <c r="AA21" s="42" t="s">
        <v>346</v>
      </c>
      <c r="AC21" s="34" t="s">
        <v>203</v>
      </c>
      <c r="AD21" s="34" t="s">
        <v>203</v>
      </c>
      <c r="AI21" t="s">
        <v>120</v>
      </c>
      <c r="AJ21" t="s">
        <v>346</v>
      </c>
      <c r="AL21" t="s">
        <v>120</v>
      </c>
      <c r="AM21" t="s">
        <v>410</v>
      </c>
      <c r="AO21" s="34" t="s">
        <v>760</v>
      </c>
      <c r="AP21" s="34" t="s">
        <v>622</v>
      </c>
      <c r="AR21" s="34" t="s">
        <v>346</v>
      </c>
      <c r="AS21" s="34" t="s">
        <v>410</v>
      </c>
    </row>
    <row r="22" spans="1:45" x14ac:dyDescent="0.25">
      <c r="A22" s="34" t="s">
        <v>347</v>
      </c>
      <c r="B22" s="35"/>
      <c r="C22" s="34" t="s">
        <v>204</v>
      </c>
      <c r="D22" s="34" t="s">
        <v>347</v>
      </c>
      <c r="F22" s="34" t="s">
        <v>411</v>
      </c>
      <c r="G22" s="34" t="s">
        <v>347</v>
      </c>
      <c r="H22" s="34" t="s">
        <v>466</v>
      </c>
      <c r="I22" s="34" t="s">
        <v>466</v>
      </c>
      <c r="J22" s="34" t="s">
        <v>693</v>
      </c>
      <c r="K22" s="34" t="s">
        <v>466</v>
      </c>
      <c r="O22" s="34" t="s">
        <v>693</v>
      </c>
      <c r="P22" s="34" t="s">
        <v>693</v>
      </c>
      <c r="V22" s="47" t="s">
        <v>686</v>
      </c>
      <c r="Z22" t="s">
        <v>656</v>
      </c>
      <c r="AA22" s="42" t="s">
        <v>347</v>
      </c>
      <c r="AC22" s="34" t="s">
        <v>204</v>
      </c>
      <c r="AD22" s="34" t="s">
        <v>204</v>
      </c>
      <c r="AI22" t="s">
        <v>121</v>
      </c>
      <c r="AJ22" s="53" t="s">
        <v>347</v>
      </c>
      <c r="AL22" t="s">
        <v>121</v>
      </c>
      <c r="AM22" t="s">
        <v>411</v>
      </c>
      <c r="AO22" s="34" t="s">
        <v>761</v>
      </c>
      <c r="AP22" s="34" t="s">
        <v>623</v>
      </c>
      <c r="AR22" s="34" t="s">
        <v>347</v>
      </c>
      <c r="AS22" s="34" t="s">
        <v>411</v>
      </c>
    </row>
    <row r="23" spans="1:45" x14ac:dyDescent="0.25">
      <c r="A23" s="34" t="s">
        <v>348</v>
      </c>
      <c r="B23" s="35"/>
      <c r="C23" s="34" t="s">
        <v>205</v>
      </c>
      <c r="D23" s="34" t="s">
        <v>348</v>
      </c>
      <c r="F23" s="34" t="s">
        <v>412</v>
      </c>
      <c r="G23" s="34" t="s">
        <v>348</v>
      </c>
      <c r="H23" s="34" t="s">
        <v>467</v>
      </c>
      <c r="I23" s="34" t="s">
        <v>467</v>
      </c>
      <c r="J23" s="34" t="s">
        <v>694</v>
      </c>
      <c r="K23" s="34" t="s">
        <v>467</v>
      </c>
      <c r="O23" s="34" t="s">
        <v>694</v>
      </c>
      <c r="P23" s="34" t="s">
        <v>694</v>
      </c>
      <c r="V23" s="55" t="s">
        <v>687</v>
      </c>
      <c r="Z23" t="s">
        <v>656</v>
      </c>
      <c r="AA23" s="42" t="s">
        <v>348</v>
      </c>
      <c r="AC23" s="34" t="s">
        <v>205</v>
      </c>
      <c r="AD23" s="34" t="s">
        <v>205</v>
      </c>
      <c r="AI23" t="s">
        <v>122</v>
      </c>
      <c r="AJ23" s="53" t="s">
        <v>348</v>
      </c>
      <c r="AL23" t="s">
        <v>122</v>
      </c>
      <c r="AM23" t="s">
        <v>412</v>
      </c>
      <c r="AO23" s="34" t="s">
        <v>762</v>
      </c>
      <c r="AP23" s="34" t="s">
        <v>624</v>
      </c>
      <c r="AR23" s="34" t="s">
        <v>348</v>
      </c>
      <c r="AS23" s="34" t="s">
        <v>412</v>
      </c>
    </row>
    <row r="24" spans="1:45" x14ac:dyDescent="0.25">
      <c r="A24" s="34" t="s">
        <v>349</v>
      </c>
      <c r="B24" s="35"/>
      <c r="C24" s="34" t="s">
        <v>206</v>
      </c>
      <c r="D24" s="34" t="s">
        <v>349</v>
      </c>
      <c r="F24" s="34" t="s">
        <v>413</v>
      </c>
      <c r="G24" s="34" t="s">
        <v>349</v>
      </c>
      <c r="H24" s="34" t="s">
        <v>468</v>
      </c>
      <c r="I24" s="34" t="s">
        <v>468</v>
      </c>
      <c r="J24" s="34" t="s">
        <v>695</v>
      </c>
      <c r="K24" s="34" t="s">
        <v>468</v>
      </c>
      <c r="O24" s="34" t="s">
        <v>695</v>
      </c>
      <c r="P24" s="34" t="s">
        <v>695</v>
      </c>
      <c r="V24" s="8" t="s">
        <v>690</v>
      </c>
      <c r="Z24" t="s">
        <v>656</v>
      </c>
      <c r="AA24" s="42" t="s">
        <v>349</v>
      </c>
      <c r="AC24" s="34" t="s">
        <v>206</v>
      </c>
      <c r="AD24" s="34" t="s">
        <v>206</v>
      </c>
      <c r="AI24" t="s">
        <v>123</v>
      </c>
      <c r="AJ24" t="s">
        <v>349</v>
      </c>
      <c r="AL24" t="s">
        <v>123</v>
      </c>
      <c r="AM24" t="s">
        <v>413</v>
      </c>
      <c r="AO24" s="34" t="s">
        <v>763</v>
      </c>
      <c r="AP24" s="34" t="s">
        <v>625</v>
      </c>
      <c r="AR24" s="34" t="s">
        <v>349</v>
      </c>
      <c r="AS24" s="34" t="s">
        <v>413</v>
      </c>
    </row>
    <row r="25" spans="1:45" x14ac:dyDescent="0.25">
      <c r="A25" s="34" t="s">
        <v>350</v>
      </c>
      <c r="B25" s="35"/>
      <c r="C25" s="34" t="s">
        <v>207</v>
      </c>
      <c r="D25" s="34" t="s">
        <v>350</v>
      </c>
      <c r="F25" s="34" t="s">
        <v>414</v>
      </c>
      <c r="G25" s="34" t="s">
        <v>350</v>
      </c>
      <c r="H25" s="34" t="s">
        <v>469</v>
      </c>
      <c r="I25" s="34" t="s">
        <v>469</v>
      </c>
      <c r="J25" s="34" t="s">
        <v>696</v>
      </c>
      <c r="K25" s="34" t="s">
        <v>469</v>
      </c>
      <c r="O25" s="34" t="s">
        <v>696</v>
      </c>
      <c r="P25" s="34" t="s">
        <v>696</v>
      </c>
      <c r="Z25" t="s">
        <v>656</v>
      </c>
      <c r="AA25" s="42" t="s">
        <v>350</v>
      </c>
      <c r="AC25" s="34" t="s">
        <v>207</v>
      </c>
      <c r="AD25" s="34" t="s">
        <v>207</v>
      </c>
      <c r="AI25" t="s">
        <v>124</v>
      </c>
      <c r="AJ25" t="s">
        <v>350</v>
      </c>
      <c r="AL25" t="s">
        <v>124</v>
      </c>
      <c r="AM25" t="s">
        <v>414</v>
      </c>
      <c r="AO25" s="34" t="s">
        <v>764</v>
      </c>
      <c r="AP25" s="34" t="s">
        <v>626</v>
      </c>
      <c r="AR25" s="34" t="s">
        <v>350</v>
      </c>
      <c r="AS25" s="34" t="s">
        <v>414</v>
      </c>
    </row>
    <row r="26" spans="1:45" x14ac:dyDescent="0.25">
      <c r="A26" s="34" t="s">
        <v>351</v>
      </c>
      <c r="B26" s="35"/>
      <c r="C26" s="34" t="s">
        <v>208</v>
      </c>
      <c r="D26" s="34" t="s">
        <v>351</v>
      </c>
      <c r="F26" s="34" t="s">
        <v>415</v>
      </c>
      <c r="G26" s="34" t="s">
        <v>351</v>
      </c>
      <c r="H26" s="42" t="s">
        <v>465</v>
      </c>
      <c r="I26" s="42" t="s">
        <v>465</v>
      </c>
      <c r="J26" s="42" t="s">
        <v>564</v>
      </c>
      <c r="O26" s="34" t="s">
        <v>565</v>
      </c>
      <c r="P26" s="34" t="s">
        <v>565</v>
      </c>
      <c r="Z26" t="s">
        <v>656</v>
      </c>
      <c r="AA26" s="42" t="s">
        <v>351</v>
      </c>
      <c r="AC26" s="34" t="s">
        <v>208</v>
      </c>
      <c r="AD26" s="34" t="s">
        <v>208</v>
      </c>
      <c r="AI26" t="s">
        <v>125</v>
      </c>
      <c r="AJ26" t="s">
        <v>351</v>
      </c>
      <c r="AL26" t="s">
        <v>125</v>
      </c>
      <c r="AM26" t="s">
        <v>415</v>
      </c>
      <c r="AO26" s="34" t="s">
        <v>765</v>
      </c>
      <c r="AP26" s="34" t="s">
        <v>627</v>
      </c>
      <c r="AR26" s="34" t="s">
        <v>351</v>
      </c>
      <c r="AS26" s="34" t="s">
        <v>415</v>
      </c>
    </row>
    <row r="27" spans="1:45" x14ac:dyDescent="0.25">
      <c r="A27" s="34" t="s">
        <v>352</v>
      </c>
      <c r="B27" s="35"/>
      <c r="C27" s="34" t="s">
        <v>209</v>
      </c>
      <c r="D27" s="34" t="s">
        <v>352</v>
      </c>
      <c r="F27" s="34" t="s">
        <v>416</v>
      </c>
      <c r="G27" s="34" t="s">
        <v>352</v>
      </c>
      <c r="H27" s="42" t="s">
        <v>177</v>
      </c>
      <c r="I27" s="42" t="s">
        <v>177</v>
      </c>
      <c r="J27" s="42" t="s">
        <v>566</v>
      </c>
      <c r="O27" t="s">
        <v>711</v>
      </c>
      <c r="P27" t="s">
        <v>711</v>
      </c>
      <c r="Z27" t="s">
        <v>656</v>
      </c>
      <c r="AA27" s="42" t="s">
        <v>352</v>
      </c>
      <c r="AC27" s="34" t="s">
        <v>209</v>
      </c>
      <c r="AD27" s="34" t="s">
        <v>209</v>
      </c>
      <c r="AI27" t="s">
        <v>126</v>
      </c>
      <c r="AJ27" t="s">
        <v>352</v>
      </c>
      <c r="AL27" t="s">
        <v>126</v>
      </c>
      <c r="AM27" t="s">
        <v>416</v>
      </c>
      <c r="AO27" s="34" t="s">
        <v>766</v>
      </c>
      <c r="AP27" s="34" t="s">
        <v>628</v>
      </c>
      <c r="AR27" s="34" t="s">
        <v>352</v>
      </c>
      <c r="AS27" s="34" t="s">
        <v>416</v>
      </c>
    </row>
    <row r="28" spans="1:45" x14ac:dyDescent="0.25">
      <c r="A28" s="34" t="s">
        <v>353</v>
      </c>
      <c r="B28" s="35"/>
      <c r="C28" s="34" t="s">
        <v>210</v>
      </c>
      <c r="D28" s="34" t="s">
        <v>353</v>
      </c>
      <c r="F28" s="34" t="s">
        <v>417</v>
      </c>
      <c r="G28" s="34" t="s">
        <v>353</v>
      </c>
      <c r="H28" s="34" t="s">
        <v>616</v>
      </c>
      <c r="I28" s="34" t="s">
        <v>616</v>
      </c>
      <c r="J28" s="34" t="s">
        <v>634</v>
      </c>
      <c r="O28" s="34" t="s">
        <v>634</v>
      </c>
      <c r="P28" s="34" t="s">
        <v>634</v>
      </c>
      <c r="Z28" t="s">
        <v>656</v>
      </c>
      <c r="AA28" s="42" t="s">
        <v>353</v>
      </c>
      <c r="AC28" s="34" t="s">
        <v>210</v>
      </c>
      <c r="AD28" s="34" t="s">
        <v>210</v>
      </c>
      <c r="AI28" t="s">
        <v>127</v>
      </c>
      <c r="AJ28" t="s">
        <v>353</v>
      </c>
      <c r="AL28" t="s">
        <v>127</v>
      </c>
      <c r="AM28" t="s">
        <v>417</v>
      </c>
      <c r="AO28" s="34" t="s">
        <v>767</v>
      </c>
      <c r="AP28" s="34" t="s">
        <v>629</v>
      </c>
      <c r="AR28" s="34" t="s">
        <v>353</v>
      </c>
      <c r="AS28" s="34" t="s">
        <v>417</v>
      </c>
    </row>
    <row r="29" spans="1:45" x14ac:dyDescent="0.25">
      <c r="A29" s="34" t="s">
        <v>354</v>
      </c>
      <c r="B29" s="35"/>
      <c r="C29" s="34" t="s">
        <v>211</v>
      </c>
      <c r="D29" s="34" t="s">
        <v>354</v>
      </c>
      <c r="F29" s="34" t="s">
        <v>418</v>
      </c>
      <c r="G29" s="34" t="s">
        <v>354</v>
      </c>
      <c r="H29" s="34" t="s">
        <v>617</v>
      </c>
      <c r="I29" s="34" t="s">
        <v>617</v>
      </c>
      <c r="J29" s="34" t="s">
        <v>635</v>
      </c>
      <c r="O29" s="34" t="s">
        <v>635</v>
      </c>
      <c r="P29" s="34" t="s">
        <v>635</v>
      </c>
      <c r="Z29" t="s">
        <v>656</v>
      </c>
      <c r="AA29" s="42" t="s">
        <v>354</v>
      </c>
      <c r="AC29" s="34" t="s">
        <v>211</v>
      </c>
      <c r="AD29" s="34" t="s">
        <v>211</v>
      </c>
      <c r="AI29" t="s">
        <v>128</v>
      </c>
      <c r="AJ29" t="s">
        <v>354</v>
      </c>
      <c r="AL29" t="s">
        <v>128</v>
      </c>
      <c r="AM29" t="s">
        <v>418</v>
      </c>
      <c r="AO29" s="34" t="s">
        <v>768</v>
      </c>
      <c r="AP29" s="34" t="s">
        <v>630</v>
      </c>
      <c r="AR29" s="34" t="s">
        <v>354</v>
      </c>
      <c r="AS29" s="34" t="s">
        <v>418</v>
      </c>
    </row>
    <row r="30" spans="1:45" x14ac:dyDescent="0.25">
      <c r="A30" s="34" t="s">
        <v>355</v>
      </c>
      <c r="B30" s="35"/>
      <c r="C30" s="34" t="s">
        <v>212</v>
      </c>
      <c r="D30" s="34" t="s">
        <v>355</v>
      </c>
      <c r="F30" s="34" t="s">
        <v>419</v>
      </c>
      <c r="G30" s="34" t="s">
        <v>355</v>
      </c>
      <c r="H30" s="34" t="s">
        <v>618</v>
      </c>
      <c r="I30" s="34" t="s">
        <v>618</v>
      </c>
      <c r="J30" s="34" t="s">
        <v>636</v>
      </c>
      <c r="N30" s="30"/>
      <c r="O30" s="34" t="s">
        <v>636</v>
      </c>
      <c r="P30" s="34" t="s">
        <v>636</v>
      </c>
      <c r="Z30" t="s">
        <v>656</v>
      </c>
      <c r="AA30" s="42" t="s">
        <v>355</v>
      </c>
      <c r="AC30" s="34" t="s">
        <v>212</v>
      </c>
      <c r="AD30" s="34" t="s">
        <v>212</v>
      </c>
      <c r="AI30" t="s">
        <v>129</v>
      </c>
      <c r="AJ30" t="s">
        <v>355</v>
      </c>
      <c r="AL30" t="s">
        <v>129</v>
      </c>
      <c r="AM30" t="s">
        <v>419</v>
      </c>
      <c r="AO30" s="34" t="s">
        <v>769</v>
      </c>
      <c r="AP30" s="34" t="s">
        <v>631</v>
      </c>
      <c r="AR30" s="34" t="s">
        <v>355</v>
      </c>
      <c r="AS30" s="34" t="s">
        <v>419</v>
      </c>
    </row>
    <row r="31" spans="1:45" x14ac:dyDescent="0.25">
      <c r="A31" s="34" t="s">
        <v>356</v>
      </c>
      <c r="B31" s="35"/>
      <c r="C31" s="34" t="s">
        <v>213</v>
      </c>
      <c r="D31" s="34" t="s">
        <v>356</v>
      </c>
      <c r="F31" s="34" t="s">
        <v>420</v>
      </c>
      <c r="G31" s="34" t="s">
        <v>356</v>
      </c>
      <c r="H31" s="34" t="s">
        <v>619</v>
      </c>
      <c r="I31" s="34" t="s">
        <v>619</v>
      </c>
      <c r="J31" s="34" t="s">
        <v>637</v>
      </c>
      <c r="O31" s="34" t="s">
        <v>637</v>
      </c>
      <c r="P31" s="34" t="s">
        <v>637</v>
      </c>
      <c r="Z31" t="s">
        <v>656</v>
      </c>
      <c r="AA31" s="42" t="s">
        <v>356</v>
      </c>
      <c r="AC31" s="34" t="s">
        <v>213</v>
      </c>
      <c r="AD31" s="34" t="s">
        <v>213</v>
      </c>
      <c r="AI31" t="s">
        <v>130</v>
      </c>
      <c r="AJ31" t="s">
        <v>356</v>
      </c>
      <c r="AL31" t="s">
        <v>130</v>
      </c>
      <c r="AM31" t="s">
        <v>420</v>
      </c>
      <c r="AO31" s="34" t="s">
        <v>770</v>
      </c>
      <c r="AP31" s="34" t="s">
        <v>632</v>
      </c>
      <c r="AR31" s="34" t="s">
        <v>356</v>
      </c>
      <c r="AS31" s="34" t="s">
        <v>420</v>
      </c>
    </row>
    <row r="32" spans="1:45" x14ac:dyDescent="0.25">
      <c r="A32" s="34" t="s">
        <v>357</v>
      </c>
      <c r="B32" s="35"/>
      <c r="C32" s="34" t="s">
        <v>214</v>
      </c>
      <c r="D32" s="34" t="s">
        <v>357</v>
      </c>
      <c r="F32" s="34" t="s">
        <v>421</v>
      </c>
      <c r="G32" s="34" t="s">
        <v>357</v>
      </c>
      <c r="H32" s="34" t="s">
        <v>620</v>
      </c>
      <c r="I32" s="34" t="s">
        <v>620</v>
      </c>
      <c r="J32" s="34" t="s">
        <v>638</v>
      </c>
      <c r="N32" s="31"/>
      <c r="O32" s="34" t="s">
        <v>638</v>
      </c>
      <c r="P32" s="34" t="s">
        <v>638</v>
      </c>
      <c r="V32" s="8"/>
      <c r="Z32" t="s">
        <v>656</v>
      </c>
      <c r="AA32" s="42" t="s">
        <v>357</v>
      </c>
      <c r="AC32" s="34" t="s">
        <v>214</v>
      </c>
      <c r="AD32" s="34" t="s">
        <v>214</v>
      </c>
      <c r="AI32" t="s">
        <v>131</v>
      </c>
      <c r="AJ32" t="s">
        <v>357</v>
      </c>
      <c r="AL32" t="s">
        <v>131</v>
      </c>
      <c r="AM32" t="s">
        <v>421</v>
      </c>
      <c r="AO32" s="34" t="s">
        <v>771</v>
      </c>
      <c r="AP32" s="34" t="s">
        <v>633</v>
      </c>
      <c r="AR32" s="34" t="s">
        <v>357</v>
      </c>
      <c r="AS32" s="34" t="s">
        <v>421</v>
      </c>
    </row>
    <row r="33" spans="1:45" x14ac:dyDescent="0.25">
      <c r="A33" s="34" t="s">
        <v>358</v>
      </c>
      <c r="B33" s="35"/>
      <c r="C33" s="34" t="s">
        <v>215</v>
      </c>
      <c r="D33" s="34" t="s">
        <v>358</v>
      </c>
      <c r="F33" s="34" t="s">
        <v>422</v>
      </c>
      <c r="G33" s="34" t="s">
        <v>358</v>
      </c>
      <c r="H33" s="34" t="s">
        <v>621</v>
      </c>
      <c r="I33" s="34" t="s">
        <v>621</v>
      </c>
      <c r="J33" s="34" t="s">
        <v>639</v>
      </c>
      <c r="O33" s="34" t="s">
        <v>639</v>
      </c>
      <c r="P33" s="34" t="s">
        <v>639</v>
      </c>
      <c r="Z33" t="s">
        <v>656</v>
      </c>
      <c r="AA33" s="42" t="s">
        <v>358</v>
      </c>
      <c r="AC33" s="34" t="s">
        <v>215</v>
      </c>
      <c r="AD33" s="34" t="s">
        <v>215</v>
      </c>
      <c r="AI33" t="s">
        <v>132</v>
      </c>
      <c r="AJ33" t="s">
        <v>358</v>
      </c>
      <c r="AL33" t="s">
        <v>132</v>
      </c>
      <c r="AM33" t="s">
        <v>422</v>
      </c>
      <c r="AO33" s="34" t="s">
        <v>545</v>
      </c>
      <c r="AP33" s="34" t="s">
        <v>466</v>
      </c>
      <c r="AR33" s="34" t="s">
        <v>358</v>
      </c>
      <c r="AS33" s="34" t="s">
        <v>422</v>
      </c>
    </row>
    <row r="34" spans="1:45" x14ac:dyDescent="0.25">
      <c r="A34" s="34" t="s">
        <v>359</v>
      </c>
      <c r="B34" s="35"/>
      <c r="C34" s="34" t="s">
        <v>216</v>
      </c>
      <c r="D34" s="34" t="s">
        <v>359</v>
      </c>
      <c r="F34" s="34" t="s">
        <v>423</v>
      </c>
      <c r="G34" s="34" t="s">
        <v>359</v>
      </c>
      <c r="H34" s="34" t="s">
        <v>622</v>
      </c>
      <c r="I34" s="34" t="s">
        <v>622</v>
      </c>
      <c r="J34" s="34" t="s">
        <v>640</v>
      </c>
      <c r="O34" s="34" t="s">
        <v>640</v>
      </c>
      <c r="P34" s="34" t="s">
        <v>640</v>
      </c>
      <c r="Z34" t="s">
        <v>656</v>
      </c>
      <c r="AA34" s="42" t="s">
        <v>359</v>
      </c>
      <c r="AC34" s="34" t="s">
        <v>216</v>
      </c>
      <c r="AD34" s="34" t="s">
        <v>216</v>
      </c>
      <c r="AI34" t="s">
        <v>133</v>
      </c>
      <c r="AJ34" t="s">
        <v>359</v>
      </c>
      <c r="AL34" t="s">
        <v>133</v>
      </c>
      <c r="AM34" t="s">
        <v>423</v>
      </c>
      <c r="AO34" s="34" t="s">
        <v>546</v>
      </c>
      <c r="AP34" s="34" t="s">
        <v>467</v>
      </c>
      <c r="AR34" s="34" t="s">
        <v>359</v>
      </c>
      <c r="AS34" s="34" t="s">
        <v>423</v>
      </c>
    </row>
    <row r="35" spans="1:45" x14ac:dyDescent="0.25">
      <c r="A35" s="34" t="s">
        <v>360</v>
      </c>
      <c r="B35" s="35"/>
      <c r="C35" s="34" t="s">
        <v>217</v>
      </c>
      <c r="D35" s="34" t="s">
        <v>360</v>
      </c>
      <c r="F35" s="34" t="s">
        <v>424</v>
      </c>
      <c r="G35" s="34" t="s">
        <v>360</v>
      </c>
      <c r="H35" s="34" t="s">
        <v>623</v>
      </c>
      <c r="I35" s="34" t="s">
        <v>623</v>
      </c>
      <c r="J35" s="34" t="s">
        <v>641</v>
      </c>
      <c r="O35" s="34" t="s">
        <v>641</v>
      </c>
      <c r="P35" s="34" t="s">
        <v>641</v>
      </c>
      <c r="V35" s="8"/>
      <c r="Z35" t="s">
        <v>656</v>
      </c>
      <c r="AA35" s="42" t="s">
        <v>360</v>
      </c>
      <c r="AC35" s="34" t="s">
        <v>217</v>
      </c>
      <c r="AD35" s="34" t="s">
        <v>217</v>
      </c>
      <c r="AI35" t="s">
        <v>134</v>
      </c>
      <c r="AJ35" t="s">
        <v>360</v>
      </c>
      <c r="AL35" t="s">
        <v>134</v>
      </c>
      <c r="AM35" t="s">
        <v>424</v>
      </c>
      <c r="AO35" s="34" t="s">
        <v>547</v>
      </c>
      <c r="AP35" s="34" t="s">
        <v>468</v>
      </c>
      <c r="AR35" s="34" t="s">
        <v>360</v>
      </c>
      <c r="AS35" s="34" t="s">
        <v>424</v>
      </c>
    </row>
    <row r="36" spans="1:45" x14ac:dyDescent="0.25">
      <c r="A36" s="34" t="s">
        <v>361</v>
      </c>
      <c r="B36" s="35"/>
      <c r="C36" s="34" t="s">
        <v>218</v>
      </c>
      <c r="D36" s="34" t="s">
        <v>361</v>
      </c>
      <c r="F36" s="34" t="s">
        <v>425</v>
      </c>
      <c r="G36" s="34" t="s">
        <v>361</v>
      </c>
      <c r="H36" s="34" t="s">
        <v>624</v>
      </c>
      <c r="I36" s="34" t="s">
        <v>624</v>
      </c>
      <c r="J36" s="34" t="s">
        <v>642</v>
      </c>
      <c r="O36" s="34" t="s">
        <v>642</v>
      </c>
      <c r="P36" s="34" t="s">
        <v>642</v>
      </c>
      <c r="V36" s="8"/>
      <c r="Z36" t="s">
        <v>656</v>
      </c>
      <c r="AA36" s="42" t="s">
        <v>361</v>
      </c>
      <c r="AC36" s="34" t="s">
        <v>218</v>
      </c>
      <c r="AD36" s="34" t="s">
        <v>218</v>
      </c>
      <c r="AI36" s="53" t="s">
        <v>135</v>
      </c>
      <c r="AJ36" t="s">
        <v>361</v>
      </c>
      <c r="AL36" s="53" t="s">
        <v>135</v>
      </c>
      <c r="AM36" t="s">
        <v>425</v>
      </c>
      <c r="AO36" s="34" t="s">
        <v>548</v>
      </c>
      <c r="AP36" s="34" t="s">
        <v>469</v>
      </c>
      <c r="AR36" s="34" t="s">
        <v>361</v>
      </c>
      <c r="AS36" s="34" t="s">
        <v>425</v>
      </c>
    </row>
    <row r="37" spans="1:45" x14ac:dyDescent="0.25">
      <c r="A37" s="34" t="s">
        <v>362</v>
      </c>
      <c r="B37" s="35"/>
      <c r="C37" s="34" t="s">
        <v>219</v>
      </c>
      <c r="D37" s="34" t="s">
        <v>362</v>
      </c>
      <c r="F37" s="34" t="s">
        <v>426</v>
      </c>
      <c r="G37" s="34" t="s">
        <v>362</v>
      </c>
      <c r="H37" s="34" t="s">
        <v>625</v>
      </c>
      <c r="I37" s="34" t="s">
        <v>625</v>
      </c>
      <c r="J37" s="34" t="s">
        <v>643</v>
      </c>
      <c r="O37" s="34" t="s">
        <v>643</v>
      </c>
      <c r="P37" s="34" t="s">
        <v>643</v>
      </c>
      <c r="Z37" t="s">
        <v>656</v>
      </c>
      <c r="AA37" s="42" t="s">
        <v>362</v>
      </c>
      <c r="AC37" s="34" t="s">
        <v>219</v>
      </c>
      <c r="AD37" s="34" t="s">
        <v>219</v>
      </c>
      <c r="AI37" s="53" t="s">
        <v>136</v>
      </c>
      <c r="AJ37" t="s">
        <v>362</v>
      </c>
      <c r="AL37" s="53" t="s">
        <v>136</v>
      </c>
      <c r="AM37" t="s">
        <v>426</v>
      </c>
      <c r="AO37" s="34" t="s">
        <v>544</v>
      </c>
      <c r="AP37" t="s">
        <v>714</v>
      </c>
      <c r="AR37" s="34" t="s">
        <v>362</v>
      </c>
      <c r="AS37" s="34" t="s">
        <v>426</v>
      </c>
    </row>
    <row r="38" spans="1:45" x14ac:dyDescent="0.25">
      <c r="A38" s="34" t="s">
        <v>363</v>
      </c>
      <c r="B38" s="35"/>
      <c r="C38" s="34" t="s">
        <v>220</v>
      </c>
      <c r="D38" s="34" t="s">
        <v>363</v>
      </c>
      <c r="F38" s="34" t="s">
        <v>427</v>
      </c>
      <c r="G38" s="34" t="s">
        <v>363</v>
      </c>
      <c r="H38" s="34" t="s">
        <v>626</v>
      </c>
      <c r="I38" s="34" t="s">
        <v>626</v>
      </c>
      <c r="J38" s="34" t="s">
        <v>644</v>
      </c>
      <c r="O38" s="34" t="s">
        <v>644</v>
      </c>
      <c r="P38" s="34" t="s">
        <v>644</v>
      </c>
      <c r="Z38" t="s">
        <v>656</v>
      </c>
      <c r="AA38" s="42" t="s">
        <v>363</v>
      </c>
      <c r="AC38" s="34" t="s">
        <v>220</v>
      </c>
      <c r="AD38" s="34" t="s">
        <v>220</v>
      </c>
      <c r="AI38" s="53" t="s">
        <v>137</v>
      </c>
      <c r="AJ38" t="s">
        <v>363</v>
      </c>
      <c r="AL38" s="53" t="s">
        <v>137</v>
      </c>
      <c r="AM38" t="s">
        <v>427</v>
      </c>
      <c r="AO38" s="34" t="s">
        <v>545</v>
      </c>
      <c r="AP38" t="s">
        <v>715</v>
      </c>
      <c r="AR38" s="34" t="s">
        <v>363</v>
      </c>
      <c r="AS38" s="34" t="s">
        <v>427</v>
      </c>
    </row>
    <row r="39" spans="1:45" x14ac:dyDescent="0.25">
      <c r="A39" s="34" t="s">
        <v>364</v>
      </c>
      <c r="B39" s="35"/>
      <c r="C39" s="34" t="s">
        <v>221</v>
      </c>
      <c r="D39" s="34" t="s">
        <v>364</v>
      </c>
      <c r="F39" s="34" t="s">
        <v>428</v>
      </c>
      <c r="G39" s="34" t="s">
        <v>364</v>
      </c>
      <c r="H39" s="34" t="s">
        <v>627</v>
      </c>
      <c r="I39" s="34" t="s">
        <v>627</v>
      </c>
      <c r="J39" s="34" t="s">
        <v>645</v>
      </c>
      <c r="O39" s="34" t="s">
        <v>645</v>
      </c>
      <c r="P39" s="34" t="s">
        <v>645</v>
      </c>
      <c r="Z39" t="s">
        <v>656</v>
      </c>
      <c r="AA39" s="42" t="s">
        <v>364</v>
      </c>
      <c r="AC39" s="34" t="s">
        <v>221</v>
      </c>
      <c r="AD39" s="34" t="s">
        <v>221</v>
      </c>
      <c r="AI39" t="s">
        <v>138</v>
      </c>
      <c r="AJ39" t="s">
        <v>364</v>
      </c>
      <c r="AL39" t="s">
        <v>138</v>
      </c>
      <c r="AM39" t="s">
        <v>428</v>
      </c>
      <c r="AO39" s="34" t="s">
        <v>546</v>
      </c>
      <c r="AP39" t="s">
        <v>716</v>
      </c>
      <c r="AR39" s="34" t="s">
        <v>364</v>
      </c>
      <c r="AS39" s="34" t="s">
        <v>428</v>
      </c>
    </row>
    <row r="40" spans="1:45" x14ac:dyDescent="0.25">
      <c r="A40" s="34" t="s">
        <v>365</v>
      </c>
      <c r="B40" s="35"/>
      <c r="C40" s="34" t="s">
        <v>222</v>
      </c>
      <c r="D40" s="34" t="s">
        <v>365</v>
      </c>
      <c r="F40" s="34" t="s">
        <v>429</v>
      </c>
      <c r="G40" s="34" t="s">
        <v>365</v>
      </c>
      <c r="H40" s="34" t="s">
        <v>628</v>
      </c>
      <c r="I40" s="34" t="s">
        <v>628</v>
      </c>
      <c r="J40" s="34" t="s">
        <v>646</v>
      </c>
      <c r="O40" s="34" t="s">
        <v>646</v>
      </c>
      <c r="P40" s="34" t="s">
        <v>646</v>
      </c>
      <c r="Z40" t="s">
        <v>656</v>
      </c>
      <c r="AA40" s="42" t="s">
        <v>365</v>
      </c>
      <c r="AC40" s="34" t="s">
        <v>222</v>
      </c>
      <c r="AD40" s="34" t="s">
        <v>222</v>
      </c>
      <c r="AI40" t="s">
        <v>139</v>
      </c>
      <c r="AJ40" t="s">
        <v>365</v>
      </c>
      <c r="AL40" t="s">
        <v>139</v>
      </c>
      <c r="AM40" t="s">
        <v>429</v>
      </c>
      <c r="AO40" s="34" t="s">
        <v>547</v>
      </c>
      <c r="AP40" t="s">
        <v>717</v>
      </c>
      <c r="AR40" s="34" t="s">
        <v>365</v>
      </c>
      <c r="AS40" s="34" t="s">
        <v>429</v>
      </c>
    </row>
    <row r="41" spans="1:45" x14ac:dyDescent="0.25">
      <c r="A41" s="34" t="s">
        <v>366</v>
      </c>
      <c r="B41" s="35"/>
      <c r="C41" s="34" t="s">
        <v>223</v>
      </c>
      <c r="D41" s="34" t="s">
        <v>366</v>
      </c>
      <c r="F41" s="34" t="s">
        <v>430</v>
      </c>
      <c r="G41" s="34" t="s">
        <v>366</v>
      </c>
      <c r="H41" s="34" t="s">
        <v>629</v>
      </c>
      <c r="I41" s="34" t="s">
        <v>629</v>
      </c>
      <c r="J41" s="34" t="s">
        <v>647</v>
      </c>
      <c r="O41" s="34" t="s">
        <v>647</v>
      </c>
      <c r="P41" s="34" t="s">
        <v>647</v>
      </c>
      <c r="Z41" t="s">
        <v>656</v>
      </c>
      <c r="AA41" s="42" t="s">
        <v>366</v>
      </c>
      <c r="AC41" s="34" t="s">
        <v>223</v>
      </c>
      <c r="AD41" s="34" t="s">
        <v>223</v>
      </c>
      <c r="AI41" t="s">
        <v>140</v>
      </c>
      <c r="AJ41" t="s">
        <v>366</v>
      </c>
      <c r="AL41" t="s">
        <v>140</v>
      </c>
      <c r="AM41" t="s">
        <v>430</v>
      </c>
      <c r="AO41" s="34" t="s">
        <v>548</v>
      </c>
      <c r="AP41" t="s">
        <v>718</v>
      </c>
      <c r="AR41" s="34" t="s">
        <v>366</v>
      </c>
      <c r="AS41" s="34" t="s">
        <v>430</v>
      </c>
    </row>
    <row r="42" spans="1:45" x14ac:dyDescent="0.25">
      <c r="A42" s="34" t="s">
        <v>367</v>
      </c>
      <c r="B42" s="35"/>
      <c r="C42" s="34" t="s">
        <v>224</v>
      </c>
      <c r="D42" s="34" t="s">
        <v>367</v>
      </c>
      <c r="F42" s="34" t="s">
        <v>431</v>
      </c>
      <c r="G42" s="34" t="s">
        <v>367</v>
      </c>
      <c r="H42" s="34" t="s">
        <v>630</v>
      </c>
      <c r="I42" s="34" t="s">
        <v>630</v>
      </c>
      <c r="J42" s="34" t="s">
        <v>648</v>
      </c>
      <c r="O42" s="34" t="s">
        <v>648</v>
      </c>
      <c r="P42" s="34" t="s">
        <v>648</v>
      </c>
      <c r="Z42" t="s">
        <v>656</v>
      </c>
      <c r="AA42" s="42" t="s">
        <v>367</v>
      </c>
      <c r="AC42" s="34" t="s">
        <v>224</v>
      </c>
      <c r="AD42" s="34" t="s">
        <v>224</v>
      </c>
      <c r="AI42" t="s">
        <v>141</v>
      </c>
      <c r="AJ42" t="s">
        <v>367</v>
      </c>
      <c r="AL42" t="s">
        <v>141</v>
      </c>
      <c r="AM42" t="s">
        <v>431</v>
      </c>
      <c r="AO42" s="34" t="s">
        <v>544</v>
      </c>
      <c r="AP42" t="s">
        <v>719</v>
      </c>
      <c r="AR42" s="34" t="s">
        <v>367</v>
      </c>
      <c r="AS42" s="34" t="s">
        <v>431</v>
      </c>
    </row>
    <row r="43" spans="1:45" x14ac:dyDescent="0.25">
      <c r="A43" s="34" t="s">
        <v>368</v>
      </c>
      <c r="B43" s="35"/>
      <c r="C43" s="34" t="s">
        <v>225</v>
      </c>
      <c r="D43" s="34" t="s">
        <v>368</v>
      </c>
      <c r="F43" s="34" t="s">
        <v>432</v>
      </c>
      <c r="G43" s="34" t="s">
        <v>368</v>
      </c>
      <c r="H43" s="34" t="s">
        <v>631</v>
      </c>
      <c r="I43" s="34" t="s">
        <v>631</v>
      </c>
      <c r="J43" s="34" t="s">
        <v>649</v>
      </c>
      <c r="O43" s="34" t="s">
        <v>649</v>
      </c>
      <c r="P43" s="34" t="s">
        <v>649</v>
      </c>
      <c r="Z43" t="s">
        <v>656</v>
      </c>
      <c r="AA43" s="42" t="s">
        <v>368</v>
      </c>
      <c r="AC43" s="34" t="s">
        <v>225</v>
      </c>
      <c r="AD43" s="34" t="s">
        <v>225</v>
      </c>
      <c r="AI43" t="s">
        <v>142</v>
      </c>
      <c r="AJ43" t="s">
        <v>368</v>
      </c>
      <c r="AL43" t="s">
        <v>142</v>
      </c>
      <c r="AM43" t="s">
        <v>432</v>
      </c>
      <c r="AO43" s="34" t="s">
        <v>545</v>
      </c>
      <c r="AP43" t="s">
        <v>720</v>
      </c>
      <c r="AR43" s="34" t="s">
        <v>368</v>
      </c>
      <c r="AS43" s="34" t="s">
        <v>432</v>
      </c>
    </row>
    <row r="44" spans="1:45" x14ac:dyDescent="0.25">
      <c r="A44" s="34" t="s">
        <v>369</v>
      </c>
      <c r="B44" s="35"/>
      <c r="C44" s="34" t="s">
        <v>226</v>
      </c>
      <c r="D44" s="34" t="s">
        <v>369</v>
      </c>
      <c r="F44" s="34" t="s">
        <v>433</v>
      </c>
      <c r="G44" s="34" t="s">
        <v>369</v>
      </c>
      <c r="H44" s="34" t="s">
        <v>632</v>
      </c>
      <c r="I44" s="34" t="s">
        <v>632</v>
      </c>
      <c r="J44" s="34" t="s">
        <v>650</v>
      </c>
      <c r="O44" s="34" t="s">
        <v>650</v>
      </c>
      <c r="P44" s="34" t="s">
        <v>650</v>
      </c>
      <c r="Z44" t="s">
        <v>656</v>
      </c>
      <c r="AA44" s="42" t="s">
        <v>369</v>
      </c>
      <c r="AC44" s="34" t="s">
        <v>226</v>
      </c>
      <c r="AD44" s="34" t="s">
        <v>226</v>
      </c>
      <c r="AI44" t="s">
        <v>143</v>
      </c>
      <c r="AJ44" t="s">
        <v>369</v>
      </c>
      <c r="AL44" t="s">
        <v>143</v>
      </c>
      <c r="AM44" t="s">
        <v>433</v>
      </c>
      <c r="AO44" s="34" t="s">
        <v>546</v>
      </c>
      <c r="AP44" t="s">
        <v>721</v>
      </c>
      <c r="AR44" s="34" t="s">
        <v>369</v>
      </c>
      <c r="AS44" s="34" t="s">
        <v>433</v>
      </c>
    </row>
    <row r="45" spans="1:45" x14ac:dyDescent="0.25">
      <c r="A45" s="34" t="s">
        <v>370</v>
      </c>
      <c r="B45" s="35"/>
      <c r="C45" s="34" t="s">
        <v>227</v>
      </c>
      <c r="D45" s="34" t="s">
        <v>370</v>
      </c>
      <c r="F45" s="34" t="s">
        <v>434</v>
      </c>
      <c r="G45" s="34" t="s">
        <v>370</v>
      </c>
      <c r="H45" s="34" t="s">
        <v>633</v>
      </c>
      <c r="I45" s="34" t="s">
        <v>633</v>
      </c>
      <c r="J45" s="34" t="s">
        <v>651</v>
      </c>
      <c r="O45" s="34" t="s">
        <v>651</v>
      </c>
      <c r="P45" s="34" t="s">
        <v>651</v>
      </c>
      <c r="Z45" t="s">
        <v>656</v>
      </c>
      <c r="AA45" s="42" t="s">
        <v>370</v>
      </c>
      <c r="AC45" s="34" t="s">
        <v>227</v>
      </c>
      <c r="AD45" s="34" t="s">
        <v>227</v>
      </c>
      <c r="AI45" t="s">
        <v>144</v>
      </c>
      <c r="AJ45" t="s">
        <v>370</v>
      </c>
      <c r="AL45" t="s">
        <v>144</v>
      </c>
      <c r="AM45" t="s">
        <v>434</v>
      </c>
      <c r="AO45" s="34" t="s">
        <v>547</v>
      </c>
      <c r="AP45" t="s">
        <v>722</v>
      </c>
      <c r="AR45" s="34" t="s">
        <v>370</v>
      </c>
      <c r="AS45" s="34" t="s">
        <v>434</v>
      </c>
    </row>
    <row r="46" spans="1:45" x14ac:dyDescent="0.25">
      <c r="A46" s="34" t="s">
        <v>371</v>
      </c>
      <c r="B46" s="35"/>
      <c r="C46" s="34" t="s">
        <v>228</v>
      </c>
      <c r="D46" s="34" t="s">
        <v>371</v>
      </c>
      <c r="F46" s="34" t="s">
        <v>435</v>
      </c>
      <c r="G46" s="34" t="s">
        <v>371</v>
      </c>
      <c r="H46" s="34" t="s">
        <v>466</v>
      </c>
      <c r="I46" s="34" t="s">
        <v>709</v>
      </c>
      <c r="J46" s="34" t="s">
        <v>711</v>
      </c>
      <c r="O46" s="34" t="s">
        <v>651</v>
      </c>
      <c r="P46" s="34" t="s">
        <v>651</v>
      </c>
      <c r="Z46" t="s">
        <v>656</v>
      </c>
      <c r="AA46" s="42" t="s">
        <v>371</v>
      </c>
      <c r="AC46" s="34" t="s">
        <v>228</v>
      </c>
      <c r="AD46" s="34" t="s">
        <v>228</v>
      </c>
      <c r="AI46" t="s">
        <v>145</v>
      </c>
      <c r="AJ46" t="s">
        <v>371</v>
      </c>
      <c r="AL46" t="s">
        <v>145</v>
      </c>
      <c r="AM46" t="s">
        <v>435</v>
      </c>
      <c r="AO46" s="34" t="s">
        <v>548</v>
      </c>
      <c r="AP46" t="s">
        <v>723</v>
      </c>
      <c r="AR46" s="34" t="s">
        <v>371</v>
      </c>
      <c r="AS46" s="34" t="s">
        <v>435</v>
      </c>
    </row>
    <row r="47" spans="1:45" x14ac:dyDescent="0.25">
      <c r="A47" s="34" t="s">
        <v>372</v>
      </c>
      <c r="B47" s="35"/>
      <c r="C47" s="34" t="s">
        <v>229</v>
      </c>
      <c r="D47" s="34" t="s">
        <v>372</v>
      </c>
      <c r="F47" s="34" t="s">
        <v>436</v>
      </c>
      <c r="G47" s="34" t="s">
        <v>372</v>
      </c>
      <c r="H47" s="34" t="s">
        <v>467</v>
      </c>
      <c r="O47" s="34" t="s">
        <v>566</v>
      </c>
      <c r="P47" s="34" t="s">
        <v>566</v>
      </c>
      <c r="Z47" t="s">
        <v>656</v>
      </c>
      <c r="AA47" s="42" t="s">
        <v>372</v>
      </c>
      <c r="AC47" s="34" t="s">
        <v>229</v>
      </c>
      <c r="AD47" s="34" t="s">
        <v>229</v>
      </c>
      <c r="AI47" t="s">
        <v>146</v>
      </c>
      <c r="AJ47" t="s">
        <v>372</v>
      </c>
      <c r="AL47" t="s">
        <v>146</v>
      </c>
      <c r="AM47" t="s">
        <v>436</v>
      </c>
      <c r="AR47" s="34" t="s">
        <v>372</v>
      </c>
      <c r="AS47" s="34" t="s">
        <v>436</v>
      </c>
    </row>
    <row r="48" spans="1:45" x14ac:dyDescent="0.25">
      <c r="A48" s="34" t="s">
        <v>373</v>
      </c>
      <c r="B48" s="35"/>
      <c r="C48" s="34" t="s">
        <v>230</v>
      </c>
      <c r="D48" s="34" t="s">
        <v>373</v>
      </c>
      <c r="F48" s="34" t="s">
        <v>437</v>
      </c>
      <c r="G48" s="34" t="s">
        <v>373</v>
      </c>
      <c r="H48" s="34" t="s">
        <v>468</v>
      </c>
      <c r="O48" s="34" t="s">
        <v>569</v>
      </c>
      <c r="P48" s="34" t="s">
        <v>569</v>
      </c>
      <c r="Z48" t="s">
        <v>656</v>
      </c>
      <c r="AA48" s="42" t="s">
        <v>373</v>
      </c>
      <c r="AC48" s="34" t="s">
        <v>230</v>
      </c>
      <c r="AD48" s="34" t="s">
        <v>230</v>
      </c>
      <c r="AI48" t="s">
        <v>147</v>
      </c>
      <c r="AJ48" t="s">
        <v>373</v>
      </c>
      <c r="AL48" t="s">
        <v>147</v>
      </c>
      <c r="AM48" t="s">
        <v>437</v>
      </c>
      <c r="AR48" s="34" t="s">
        <v>373</v>
      </c>
      <c r="AS48" s="34" t="s">
        <v>437</v>
      </c>
    </row>
    <row r="49" spans="1:45" x14ac:dyDescent="0.25">
      <c r="A49" s="34" t="s">
        <v>374</v>
      </c>
      <c r="B49" s="35"/>
      <c r="C49" s="34" t="s">
        <v>231</v>
      </c>
      <c r="D49" s="34" t="s">
        <v>374</v>
      </c>
      <c r="F49" s="34" t="s">
        <v>438</v>
      </c>
      <c r="G49" s="34" t="s">
        <v>374</v>
      </c>
      <c r="H49" s="34" t="s">
        <v>469</v>
      </c>
      <c r="O49" s="34" t="s">
        <v>571</v>
      </c>
      <c r="P49" s="34" t="s">
        <v>571</v>
      </c>
      <c r="X49" s="8"/>
      <c r="Z49" t="s">
        <v>656</v>
      </c>
      <c r="AA49" s="42" t="s">
        <v>374</v>
      </c>
      <c r="AC49" s="34" t="s">
        <v>231</v>
      </c>
      <c r="AD49" s="34" t="s">
        <v>231</v>
      </c>
      <c r="AI49" t="s">
        <v>148</v>
      </c>
      <c r="AJ49" t="s">
        <v>374</v>
      </c>
      <c r="AL49" t="s">
        <v>148</v>
      </c>
      <c r="AM49" t="s">
        <v>438</v>
      </c>
      <c r="AR49" s="34" t="s">
        <v>374</v>
      </c>
      <c r="AS49" s="34" t="s">
        <v>438</v>
      </c>
    </row>
    <row r="50" spans="1:45" x14ac:dyDescent="0.25">
      <c r="A50" s="34" t="s">
        <v>375</v>
      </c>
      <c r="B50" s="35"/>
      <c r="C50" s="34" t="s">
        <v>232</v>
      </c>
      <c r="D50" s="34" t="s">
        <v>375</v>
      </c>
      <c r="F50" s="34" t="s">
        <v>439</v>
      </c>
      <c r="G50" s="34" t="s">
        <v>375</v>
      </c>
      <c r="H50" s="34" t="s">
        <v>709</v>
      </c>
      <c r="O50" s="34" t="s">
        <v>573</v>
      </c>
      <c r="P50" s="34" t="s">
        <v>573</v>
      </c>
      <c r="X50" s="8"/>
      <c r="Z50" t="s">
        <v>656</v>
      </c>
      <c r="AA50" s="42" t="s">
        <v>375</v>
      </c>
      <c r="AC50" s="34" t="s">
        <v>232</v>
      </c>
      <c r="AD50" s="34" t="s">
        <v>232</v>
      </c>
      <c r="AI50" t="s">
        <v>149</v>
      </c>
      <c r="AJ50" t="s">
        <v>375</v>
      </c>
      <c r="AL50" t="s">
        <v>149</v>
      </c>
      <c r="AM50" t="s">
        <v>439</v>
      </c>
      <c r="AR50" s="34" t="s">
        <v>375</v>
      </c>
      <c r="AS50" s="34" t="s">
        <v>439</v>
      </c>
    </row>
    <row r="51" spans="1:45" x14ac:dyDescent="0.25">
      <c r="A51" s="34" t="s">
        <v>376</v>
      </c>
      <c r="B51" s="35"/>
      <c r="C51" s="34" t="s">
        <v>233</v>
      </c>
      <c r="D51" s="34" t="s">
        <v>376</v>
      </c>
      <c r="F51" s="34" t="s">
        <v>440</v>
      </c>
      <c r="G51" s="34" t="s">
        <v>376</v>
      </c>
      <c r="O51" s="34" t="s">
        <v>575</v>
      </c>
      <c r="P51" s="34" t="s">
        <v>568</v>
      </c>
      <c r="Z51" t="s">
        <v>656</v>
      </c>
      <c r="AA51" s="42" t="s">
        <v>376</v>
      </c>
      <c r="AC51" s="34" t="s">
        <v>233</v>
      </c>
      <c r="AD51" s="34" t="s">
        <v>233</v>
      </c>
      <c r="AI51" t="s">
        <v>150</v>
      </c>
      <c r="AJ51" t="s">
        <v>376</v>
      </c>
      <c r="AL51" t="s">
        <v>150</v>
      </c>
      <c r="AM51" t="s">
        <v>440</v>
      </c>
      <c r="AR51" s="34" t="s">
        <v>376</v>
      </c>
      <c r="AS51" s="34" t="s">
        <v>440</v>
      </c>
    </row>
    <row r="52" spans="1:45" x14ac:dyDescent="0.25">
      <c r="A52" s="34" t="s">
        <v>508</v>
      </c>
      <c r="B52" s="35"/>
      <c r="C52" s="34" t="s">
        <v>484</v>
      </c>
      <c r="D52" s="34" t="s">
        <v>508</v>
      </c>
      <c r="F52" s="34" t="s">
        <v>520</v>
      </c>
      <c r="G52" s="34" t="s">
        <v>508</v>
      </c>
      <c r="O52" s="34" t="s">
        <v>568</v>
      </c>
      <c r="Z52" t="s">
        <v>656</v>
      </c>
      <c r="AA52" s="42" t="s">
        <v>508</v>
      </c>
      <c r="AC52" s="34" t="s">
        <v>484</v>
      </c>
      <c r="AD52" s="34" t="s">
        <v>484</v>
      </c>
      <c r="AI52" t="s">
        <v>151</v>
      </c>
      <c r="AJ52" t="s">
        <v>508</v>
      </c>
      <c r="AL52" t="s">
        <v>151</v>
      </c>
      <c r="AM52" t="s">
        <v>520</v>
      </c>
      <c r="AR52" s="34" t="s">
        <v>508</v>
      </c>
      <c r="AS52" s="34" t="s">
        <v>520</v>
      </c>
    </row>
    <row r="53" spans="1:45" x14ac:dyDescent="0.25">
      <c r="A53" s="34" t="s">
        <v>509</v>
      </c>
      <c r="B53" s="35"/>
      <c r="C53" s="34" t="s">
        <v>485</v>
      </c>
      <c r="D53" s="34" t="s">
        <v>509</v>
      </c>
      <c r="F53" s="34" t="s">
        <v>521</v>
      </c>
      <c r="G53" s="34" t="s">
        <v>509</v>
      </c>
      <c r="Z53" t="s">
        <v>656</v>
      </c>
      <c r="AA53" s="42" t="s">
        <v>509</v>
      </c>
      <c r="AC53" s="34" t="s">
        <v>485</v>
      </c>
      <c r="AD53" s="34" t="s">
        <v>485</v>
      </c>
      <c r="AI53" t="s">
        <v>532</v>
      </c>
      <c r="AJ53" s="53" t="s">
        <v>509</v>
      </c>
      <c r="AL53" t="s">
        <v>532</v>
      </c>
      <c r="AM53" t="s">
        <v>521</v>
      </c>
      <c r="AR53" s="34" t="s">
        <v>509</v>
      </c>
      <c r="AS53" s="34" t="s">
        <v>521</v>
      </c>
    </row>
    <row r="54" spans="1:45" x14ac:dyDescent="0.25">
      <c r="A54" s="34" t="s">
        <v>510</v>
      </c>
      <c r="B54" s="35"/>
      <c r="C54" s="34" t="s">
        <v>486</v>
      </c>
      <c r="D54" s="34" t="s">
        <v>510</v>
      </c>
      <c r="F54" s="34" t="s">
        <v>522</v>
      </c>
      <c r="G54" s="34" t="s">
        <v>510</v>
      </c>
      <c r="Z54" t="s">
        <v>656</v>
      </c>
      <c r="AA54" s="42" t="s">
        <v>510</v>
      </c>
      <c r="AC54" s="34" t="s">
        <v>486</v>
      </c>
      <c r="AD54" s="34" t="s">
        <v>486</v>
      </c>
      <c r="AI54" t="s">
        <v>533</v>
      </c>
      <c r="AJ54" t="s">
        <v>510</v>
      </c>
      <c r="AL54" t="s">
        <v>533</v>
      </c>
      <c r="AM54" t="s">
        <v>522</v>
      </c>
      <c r="AR54" s="34" t="s">
        <v>510</v>
      </c>
      <c r="AS54" s="34" t="s">
        <v>522</v>
      </c>
    </row>
    <row r="55" spans="1:45" x14ac:dyDescent="0.25">
      <c r="A55" s="34" t="s">
        <v>511</v>
      </c>
      <c r="B55" s="35"/>
      <c r="C55" s="34" t="s">
        <v>487</v>
      </c>
      <c r="D55" s="34" t="s">
        <v>511</v>
      </c>
      <c r="F55" s="34" t="s">
        <v>523</v>
      </c>
      <c r="G55" s="34" t="s">
        <v>511</v>
      </c>
      <c r="I55" s="34"/>
      <c r="J55" s="34"/>
      <c r="Z55" t="s">
        <v>656</v>
      </c>
      <c r="AA55" s="42" t="s">
        <v>511</v>
      </c>
      <c r="AC55" s="34" t="s">
        <v>487</v>
      </c>
      <c r="AD55" s="34" t="s">
        <v>487</v>
      </c>
      <c r="AI55" t="s">
        <v>534</v>
      </c>
      <c r="AJ55" t="s">
        <v>511</v>
      </c>
      <c r="AL55" t="s">
        <v>534</v>
      </c>
      <c r="AM55" t="s">
        <v>523</v>
      </c>
      <c r="AR55" s="34" t="s">
        <v>511</v>
      </c>
      <c r="AS55" s="34" t="s">
        <v>523</v>
      </c>
    </row>
    <row r="56" spans="1:45" x14ac:dyDescent="0.25">
      <c r="A56" s="34" t="s">
        <v>512</v>
      </c>
      <c r="B56" s="35"/>
      <c r="C56" s="34" t="s">
        <v>488</v>
      </c>
      <c r="D56" s="34" t="s">
        <v>512</v>
      </c>
      <c r="F56" s="34" t="s">
        <v>524</v>
      </c>
      <c r="G56" s="34" t="s">
        <v>512</v>
      </c>
      <c r="I56" s="34"/>
      <c r="J56" s="34"/>
      <c r="Z56" t="s">
        <v>656</v>
      </c>
      <c r="AA56" s="42" t="s">
        <v>512</v>
      </c>
      <c r="AC56" s="34" t="s">
        <v>488</v>
      </c>
      <c r="AD56" s="34" t="s">
        <v>488</v>
      </c>
      <c r="AI56" t="s">
        <v>535</v>
      </c>
      <c r="AJ56" t="s">
        <v>512</v>
      </c>
      <c r="AL56" t="s">
        <v>535</v>
      </c>
      <c r="AM56" t="s">
        <v>524</v>
      </c>
      <c r="AR56" s="34" t="s">
        <v>512</v>
      </c>
      <c r="AS56" s="34" t="s">
        <v>524</v>
      </c>
    </row>
    <row r="57" spans="1:45" x14ac:dyDescent="0.25">
      <c r="A57" s="34" t="s">
        <v>513</v>
      </c>
      <c r="B57" s="29"/>
      <c r="C57" s="34" t="s">
        <v>489</v>
      </c>
      <c r="D57" s="34" t="s">
        <v>513</v>
      </c>
      <c r="F57" s="34" t="s">
        <v>525</v>
      </c>
      <c r="G57" s="34" t="s">
        <v>513</v>
      </c>
      <c r="I57" s="34"/>
      <c r="J57" s="34"/>
      <c r="Z57" t="s">
        <v>656</v>
      </c>
      <c r="AA57" s="49" t="s">
        <v>513</v>
      </c>
      <c r="AC57" s="34" t="s">
        <v>489</v>
      </c>
      <c r="AD57" s="34" t="s">
        <v>489</v>
      </c>
      <c r="AI57" t="s">
        <v>536</v>
      </c>
      <c r="AJ57" t="s">
        <v>513</v>
      </c>
      <c r="AL57" t="s">
        <v>536</v>
      </c>
      <c r="AM57" t="s">
        <v>525</v>
      </c>
      <c r="AR57" s="34" t="s">
        <v>513</v>
      </c>
      <c r="AS57" s="34" t="s">
        <v>525</v>
      </c>
    </row>
    <row r="58" spans="1:45" x14ac:dyDescent="0.25">
      <c r="A58" s="34" t="s">
        <v>514</v>
      </c>
      <c r="B58" s="29"/>
      <c r="C58" s="34" t="s">
        <v>490</v>
      </c>
      <c r="D58" s="34" t="s">
        <v>514</v>
      </c>
      <c r="F58" s="34" t="s">
        <v>526</v>
      </c>
      <c r="G58" s="34" t="s">
        <v>514</v>
      </c>
      <c r="I58" s="34"/>
      <c r="J58" s="34"/>
      <c r="Z58" t="s">
        <v>656</v>
      </c>
      <c r="AA58" s="49" t="s">
        <v>514</v>
      </c>
      <c r="AC58" s="34" t="s">
        <v>490</v>
      </c>
      <c r="AD58" s="34" t="s">
        <v>490</v>
      </c>
      <c r="AI58" t="s">
        <v>537</v>
      </c>
      <c r="AJ58" t="s">
        <v>514</v>
      </c>
      <c r="AL58" t="s">
        <v>537</v>
      </c>
      <c r="AM58" t="s">
        <v>526</v>
      </c>
      <c r="AR58" s="34" t="s">
        <v>514</v>
      </c>
      <c r="AS58" s="34" t="s">
        <v>526</v>
      </c>
    </row>
    <row r="59" spans="1:45" x14ac:dyDescent="0.25">
      <c r="A59" s="34" t="s">
        <v>515</v>
      </c>
      <c r="B59" s="29"/>
      <c r="C59" s="34" t="s">
        <v>491</v>
      </c>
      <c r="D59" s="34" t="s">
        <v>515</v>
      </c>
      <c r="F59" s="34" t="s">
        <v>527</v>
      </c>
      <c r="G59" s="34" t="s">
        <v>515</v>
      </c>
      <c r="I59" s="34"/>
      <c r="J59" s="34"/>
      <c r="Z59" t="s">
        <v>656</v>
      </c>
      <c r="AA59" s="49" t="s">
        <v>515</v>
      </c>
      <c r="AC59" s="34" t="s">
        <v>491</v>
      </c>
      <c r="AD59" s="34" t="s">
        <v>491</v>
      </c>
      <c r="AI59" t="s">
        <v>538</v>
      </c>
      <c r="AJ59" t="s">
        <v>515</v>
      </c>
      <c r="AL59" t="s">
        <v>538</v>
      </c>
      <c r="AM59" t="s">
        <v>527</v>
      </c>
      <c r="AR59" s="34" t="s">
        <v>515</v>
      </c>
      <c r="AS59" s="34" t="s">
        <v>527</v>
      </c>
    </row>
    <row r="60" spans="1:45" x14ac:dyDescent="0.25">
      <c r="A60" s="34" t="s">
        <v>516</v>
      </c>
      <c r="B60" s="29"/>
      <c r="C60" s="34" t="s">
        <v>492</v>
      </c>
      <c r="D60" s="34" t="s">
        <v>516</v>
      </c>
      <c r="F60" s="34" t="s">
        <v>528</v>
      </c>
      <c r="G60" s="34" t="s">
        <v>516</v>
      </c>
      <c r="I60" s="34"/>
      <c r="J60" s="34"/>
      <c r="X60" s="8"/>
      <c r="Z60" t="s">
        <v>656</v>
      </c>
      <c r="AA60" s="49" t="s">
        <v>516</v>
      </c>
      <c r="AC60" s="34" t="s">
        <v>492</v>
      </c>
      <c r="AD60" s="34" t="s">
        <v>492</v>
      </c>
      <c r="AI60" t="s">
        <v>539</v>
      </c>
      <c r="AJ60" t="s">
        <v>516</v>
      </c>
      <c r="AL60" t="s">
        <v>539</v>
      </c>
      <c r="AM60" t="s">
        <v>528</v>
      </c>
      <c r="AR60" s="34" t="s">
        <v>516</v>
      </c>
      <c r="AS60" s="34" t="s">
        <v>528</v>
      </c>
    </row>
    <row r="61" spans="1:45" x14ac:dyDescent="0.25">
      <c r="A61" s="34" t="s">
        <v>517</v>
      </c>
      <c r="B61" s="29"/>
      <c r="C61" s="34" t="s">
        <v>493</v>
      </c>
      <c r="D61" s="34" t="s">
        <v>517</v>
      </c>
      <c r="F61" s="34" t="s">
        <v>529</v>
      </c>
      <c r="G61" s="34" t="s">
        <v>517</v>
      </c>
      <c r="I61" s="34"/>
      <c r="J61" s="34"/>
      <c r="Z61" t="s">
        <v>656</v>
      </c>
      <c r="AA61" s="49" t="s">
        <v>517</v>
      </c>
      <c r="AC61" s="34" t="s">
        <v>493</v>
      </c>
      <c r="AD61" s="34" t="s">
        <v>493</v>
      </c>
      <c r="AI61" t="s">
        <v>540</v>
      </c>
      <c r="AJ61" t="s">
        <v>517</v>
      </c>
      <c r="AL61" t="s">
        <v>540</v>
      </c>
      <c r="AM61" t="s">
        <v>529</v>
      </c>
      <c r="AR61" s="34" t="s">
        <v>517</v>
      </c>
      <c r="AS61" s="34" t="s">
        <v>529</v>
      </c>
    </row>
    <row r="62" spans="1:45" x14ac:dyDescent="0.25">
      <c r="A62" s="34" t="s">
        <v>518</v>
      </c>
      <c r="B62" s="29"/>
      <c r="C62" s="34" t="s">
        <v>494</v>
      </c>
      <c r="D62" s="34" t="s">
        <v>518</v>
      </c>
      <c r="F62" s="34" t="s">
        <v>530</v>
      </c>
      <c r="G62" s="34" t="s">
        <v>518</v>
      </c>
      <c r="I62" s="34"/>
      <c r="J62" s="34"/>
      <c r="Z62" t="s">
        <v>656</v>
      </c>
      <c r="AA62" s="49" t="s">
        <v>518</v>
      </c>
      <c r="AC62" s="34" t="s">
        <v>494</v>
      </c>
      <c r="AD62" s="34" t="s">
        <v>494</v>
      </c>
      <c r="AI62" t="s">
        <v>541</v>
      </c>
      <c r="AJ62" t="s">
        <v>518</v>
      </c>
      <c r="AL62" t="s">
        <v>541</v>
      </c>
      <c r="AM62" t="s">
        <v>530</v>
      </c>
      <c r="AO62" s="21"/>
      <c r="AR62" s="34" t="s">
        <v>518</v>
      </c>
      <c r="AS62" s="34" t="s">
        <v>530</v>
      </c>
    </row>
    <row r="63" spans="1:45" x14ac:dyDescent="0.25">
      <c r="A63" s="34" t="s">
        <v>519</v>
      </c>
      <c r="B63" s="29"/>
      <c r="C63" s="34" t="s">
        <v>495</v>
      </c>
      <c r="D63" s="34" t="s">
        <v>519</v>
      </c>
      <c r="F63" s="34" t="s">
        <v>531</v>
      </c>
      <c r="G63" s="34" t="s">
        <v>519</v>
      </c>
      <c r="I63" s="34"/>
      <c r="J63" s="34"/>
      <c r="Z63" t="s">
        <v>656</v>
      </c>
      <c r="AA63" s="49" t="s">
        <v>519</v>
      </c>
      <c r="AC63" s="34" t="s">
        <v>495</v>
      </c>
      <c r="AD63" s="34" t="s">
        <v>495</v>
      </c>
      <c r="AI63" t="s">
        <v>542</v>
      </c>
      <c r="AJ63" t="s">
        <v>519</v>
      </c>
      <c r="AL63" t="s">
        <v>542</v>
      </c>
      <c r="AM63" t="s">
        <v>531</v>
      </c>
      <c r="AO63" s="21"/>
      <c r="AR63" s="34" t="s">
        <v>519</v>
      </c>
      <c r="AS63" s="34" t="s">
        <v>531</v>
      </c>
    </row>
    <row r="64" spans="1:45" x14ac:dyDescent="0.25">
      <c r="A64" s="34" t="s">
        <v>377</v>
      </c>
      <c r="B64" s="35"/>
      <c r="C64" s="34" t="s">
        <v>234</v>
      </c>
      <c r="D64" s="34" t="s">
        <v>377</v>
      </c>
      <c r="F64" s="34" t="s">
        <v>441</v>
      </c>
      <c r="G64" s="34" t="s">
        <v>377</v>
      </c>
      <c r="I64" s="34"/>
      <c r="J64" s="34"/>
      <c r="Z64" t="s">
        <v>656</v>
      </c>
      <c r="AA64" s="42" t="s">
        <v>377</v>
      </c>
      <c r="AC64" s="34" t="s">
        <v>234</v>
      </c>
      <c r="AD64" s="34" t="s">
        <v>234</v>
      </c>
      <c r="AI64" t="s">
        <v>152</v>
      </c>
      <c r="AJ64" t="s">
        <v>377</v>
      </c>
      <c r="AL64" t="s">
        <v>152</v>
      </c>
      <c r="AM64" t="s">
        <v>441</v>
      </c>
      <c r="AO64" s="21"/>
      <c r="AR64" s="34" t="s">
        <v>377</v>
      </c>
      <c r="AS64" s="34" t="s">
        <v>441</v>
      </c>
    </row>
    <row r="65" spans="1:45" x14ac:dyDescent="0.25">
      <c r="A65" s="34" t="s">
        <v>378</v>
      </c>
      <c r="B65" s="35"/>
      <c r="C65" s="34" t="s">
        <v>235</v>
      </c>
      <c r="D65" s="34" t="s">
        <v>378</v>
      </c>
      <c r="F65" s="34" t="s">
        <v>442</v>
      </c>
      <c r="G65" s="34" t="s">
        <v>378</v>
      </c>
      <c r="I65" s="34"/>
      <c r="J65" s="34"/>
      <c r="Z65" t="s">
        <v>656</v>
      </c>
      <c r="AA65" s="42" t="s">
        <v>378</v>
      </c>
      <c r="AC65" s="34" t="s">
        <v>235</v>
      </c>
      <c r="AD65" s="34" t="s">
        <v>235</v>
      </c>
      <c r="AI65" t="s">
        <v>153</v>
      </c>
      <c r="AJ65" t="s">
        <v>378</v>
      </c>
      <c r="AL65" t="s">
        <v>153</v>
      </c>
      <c r="AM65" t="s">
        <v>442</v>
      </c>
      <c r="AO65" s="21"/>
      <c r="AR65" s="34" t="s">
        <v>378</v>
      </c>
      <c r="AS65" s="34" t="s">
        <v>442</v>
      </c>
    </row>
    <row r="66" spans="1:45" x14ac:dyDescent="0.25">
      <c r="A66" s="34" t="s">
        <v>379</v>
      </c>
      <c r="B66" s="35"/>
      <c r="C66" s="34" t="s">
        <v>236</v>
      </c>
      <c r="D66" s="34" t="s">
        <v>379</v>
      </c>
      <c r="F66" s="34" t="s">
        <v>443</v>
      </c>
      <c r="G66" s="34" t="s">
        <v>379</v>
      </c>
      <c r="I66" s="34"/>
      <c r="J66" s="34"/>
      <c r="Z66" t="s">
        <v>656</v>
      </c>
      <c r="AA66" s="42" t="s">
        <v>379</v>
      </c>
      <c r="AC66" s="34" t="s">
        <v>236</v>
      </c>
      <c r="AD66" s="34" t="s">
        <v>236</v>
      </c>
      <c r="AI66" t="s">
        <v>154</v>
      </c>
      <c r="AJ66" t="s">
        <v>379</v>
      </c>
      <c r="AL66" t="s">
        <v>154</v>
      </c>
      <c r="AM66" t="s">
        <v>443</v>
      </c>
      <c r="AR66" s="34" t="s">
        <v>379</v>
      </c>
      <c r="AS66" s="34" t="s">
        <v>443</v>
      </c>
    </row>
    <row r="67" spans="1:45" x14ac:dyDescent="0.25">
      <c r="A67" s="34" t="s">
        <v>380</v>
      </c>
      <c r="B67" s="35"/>
      <c r="C67" s="34" t="s">
        <v>237</v>
      </c>
      <c r="D67" s="34" t="s">
        <v>380</v>
      </c>
      <c r="F67" s="34" t="s">
        <v>444</v>
      </c>
      <c r="G67" s="34" t="s">
        <v>380</v>
      </c>
      <c r="I67" s="34"/>
      <c r="J67" s="34"/>
      <c r="Z67" t="s">
        <v>656</v>
      </c>
      <c r="AA67" s="42" t="s">
        <v>380</v>
      </c>
      <c r="AC67" s="34" t="s">
        <v>237</v>
      </c>
      <c r="AD67" s="34" t="s">
        <v>237</v>
      </c>
      <c r="AI67" t="s">
        <v>155</v>
      </c>
      <c r="AJ67" t="s">
        <v>380</v>
      </c>
      <c r="AL67" t="s">
        <v>155</v>
      </c>
      <c r="AM67" t="s">
        <v>444</v>
      </c>
      <c r="AO67" s="21"/>
      <c r="AR67" s="34" t="s">
        <v>380</v>
      </c>
      <c r="AS67" s="34" t="s">
        <v>444</v>
      </c>
    </row>
    <row r="68" spans="1:45" x14ac:dyDescent="0.25">
      <c r="A68" s="34" t="s">
        <v>381</v>
      </c>
      <c r="B68" s="35"/>
      <c r="C68" s="34" t="s">
        <v>238</v>
      </c>
      <c r="D68" s="34" t="s">
        <v>381</v>
      </c>
      <c r="F68" s="34" t="s">
        <v>445</v>
      </c>
      <c r="G68" s="34" t="s">
        <v>381</v>
      </c>
      <c r="I68" s="34"/>
      <c r="J68" s="34"/>
      <c r="Z68" t="s">
        <v>656</v>
      </c>
      <c r="AA68" s="42" t="s">
        <v>381</v>
      </c>
      <c r="AC68" s="34" t="s">
        <v>238</v>
      </c>
      <c r="AD68" s="34" t="s">
        <v>238</v>
      </c>
      <c r="AI68" t="s">
        <v>156</v>
      </c>
      <c r="AJ68" t="s">
        <v>381</v>
      </c>
      <c r="AL68" t="s">
        <v>156</v>
      </c>
      <c r="AM68" t="s">
        <v>445</v>
      </c>
      <c r="AO68" s="21"/>
      <c r="AR68" s="34" t="s">
        <v>381</v>
      </c>
      <c r="AS68" s="34" t="s">
        <v>445</v>
      </c>
    </row>
    <row r="69" spans="1:45" x14ac:dyDescent="0.25">
      <c r="A69" s="34" t="s">
        <v>382</v>
      </c>
      <c r="B69" s="35"/>
      <c r="C69" s="34" t="s">
        <v>239</v>
      </c>
      <c r="D69" s="34" t="s">
        <v>382</v>
      </c>
      <c r="F69" s="34" t="s">
        <v>446</v>
      </c>
      <c r="G69" s="34" t="s">
        <v>382</v>
      </c>
      <c r="I69" s="34"/>
      <c r="J69" s="34"/>
      <c r="Z69" t="s">
        <v>656</v>
      </c>
      <c r="AA69" s="42" t="s">
        <v>382</v>
      </c>
      <c r="AC69" s="34" t="s">
        <v>239</v>
      </c>
      <c r="AD69" s="34" t="s">
        <v>239</v>
      </c>
      <c r="AI69" t="s">
        <v>157</v>
      </c>
      <c r="AJ69" t="s">
        <v>382</v>
      </c>
      <c r="AL69" t="s">
        <v>157</v>
      </c>
      <c r="AM69" s="53" t="s">
        <v>446</v>
      </c>
      <c r="AO69" s="21"/>
      <c r="AR69" s="34" t="s">
        <v>382</v>
      </c>
      <c r="AS69" s="34" t="s">
        <v>446</v>
      </c>
    </row>
    <row r="70" spans="1:45" x14ac:dyDescent="0.25">
      <c r="A70" t="s">
        <v>705</v>
      </c>
      <c r="C70" t="s">
        <v>706</v>
      </c>
      <c r="D70" t="s">
        <v>705</v>
      </c>
      <c r="F70" t="s">
        <v>707</v>
      </c>
      <c r="G70" s="34" t="s">
        <v>705</v>
      </c>
      <c r="I70" s="8"/>
      <c r="J70" s="8"/>
      <c r="Z70" t="s">
        <v>656</v>
      </c>
      <c r="AA70" s="8" t="s">
        <v>705</v>
      </c>
      <c r="AC70" s="8" t="s">
        <v>706</v>
      </c>
      <c r="AD70" s="8" t="s">
        <v>706</v>
      </c>
      <c r="AI70" t="s">
        <v>157</v>
      </c>
      <c r="AJ70" t="s">
        <v>705</v>
      </c>
      <c r="AL70" t="s">
        <v>157</v>
      </c>
      <c r="AM70" t="s">
        <v>707</v>
      </c>
      <c r="AO70" s="21"/>
      <c r="AR70" t="s">
        <v>705</v>
      </c>
      <c r="AS70" t="s">
        <v>707</v>
      </c>
    </row>
    <row r="71" spans="1:45" x14ac:dyDescent="0.25">
      <c r="A71" s="34" t="s">
        <v>383</v>
      </c>
      <c r="B71" s="35"/>
      <c r="C71" s="34" t="s">
        <v>240</v>
      </c>
      <c r="D71" s="34" t="s">
        <v>383</v>
      </c>
      <c r="F71" s="34" t="s">
        <v>447</v>
      </c>
      <c r="G71" s="34" t="s">
        <v>383</v>
      </c>
      <c r="I71" s="34"/>
      <c r="J71" s="34"/>
      <c r="Z71" t="s">
        <v>656</v>
      </c>
      <c r="AA71" s="42" t="s">
        <v>383</v>
      </c>
      <c r="AC71" s="34" t="s">
        <v>240</v>
      </c>
      <c r="AD71" s="34" t="s">
        <v>240</v>
      </c>
      <c r="AI71" t="s">
        <v>158</v>
      </c>
      <c r="AJ71" t="s">
        <v>383</v>
      </c>
      <c r="AL71" t="s">
        <v>158</v>
      </c>
      <c r="AM71" s="53" t="s">
        <v>447</v>
      </c>
      <c r="AO71" s="21"/>
      <c r="AR71" s="34" t="s">
        <v>383</v>
      </c>
      <c r="AS71" s="34" t="s">
        <v>447</v>
      </c>
    </row>
    <row r="72" spans="1:45" x14ac:dyDescent="0.25">
      <c r="A72" s="34" t="s">
        <v>384</v>
      </c>
      <c r="B72" s="35"/>
      <c r="C72" s="34" t="s">
        <v>241</v>
      </c>
      <c r="D72" s="34" t="s">
        <v>384</v>
      </c>
      <c r="F72" s="34" t="s">
        <v>448</v>
      </c>
      <c r="G72" s="34" t="s">
        <v>384</v>
      </c>
      <c r="I72" s="34"/>
      <c r="J72" s="34"/>
      <c r="Z72" t="s">
        <v>656</v>
      </c>
      <c r="AA72" s="42" t="s">
        <v>384</v>
      </c>
      <c r="AC72" s="34" t="s">
        <v>241</v>
      </c>
      <c r="AD72" s="34" t="s">
        <v>241</v>
      </c>
      <c r="AI72" t="s">
        <v>159</v>
      </c>
      <c r="AJ72" t="s">
        <v>384</v>
      </c>
      <c r="AL72" t="s">
        <v>159</v>
      </c>
      <c r="AM72" s="53" t="s">
        <v>448</v>
      </c>
      <c r="AO72" s="21"/>
      <c r="AR72" s="34" t="s">
        <v>384</v>
      </c>
      <c r="AS72" s="34" t="s">
        <v>448</v>
      </c>
    </row>
    <row r="73" spans="1:45" x14ac:dyDescent="0.25">
      <c r="A73" s="34" t="s">
        <v>385</v>
      </c>
      <c r="B73" s="35"/>
      <c r="C73" s="34" t="s">
        <v>242</v>
      </c>
      <c r="D73" s="34" t="s">
        <v>385</v>
      </c>
      <c r="F73" s="34" t="s">
        <v>449</v>
      </c>
      <c r="G73" s="34" t="s">
        <v>385</v>
      </c>
      <c r="I73" s="34"/>
      <c r="J73" s="34"/>
      <c r="Z73" t="s">
        <v>656</v>
      </c>
      <c r="AA73" s="42" t="s">
        <v>385</v>
      </c>
      <c r="AC73" s="34" t="s">
        <v>242</v>
      </c>
      <c r="AD73" s="34" t="s">
        <v>242</v>
      </c>
      <c r="AI73" t="s">
        <v>160</v>
      </c>
      <c r="AJ73" t="s">
        <v>385</v>
      </c>
      <c r="AL73" t="s">
        <v>160</v>
      </c>
      <c r="AM73" s="53" t="s">
        <v>449</v>
      </c>
      <c r="AO73" s="21"/>
      <c r="AR73" s="34" t="s">
        <v>385</v>
      </c>
      <c r="AS73" s="34" t="s">
        <v>449</v>
      </c>
    </row>
    <row r="74" spans="1:45" x14ac:dyDescent="0.25">
      <c r="A74" s="34" t="s">
        <v>386</v>
      </c>
      <c r="B74" s="35"/>
      <c r="C74" s="34" t="s">
        <v>243</v>
      </c>
      <c r="D74" s="34" t="s">
        <v>386</v>
      </c>
      <c r="F74" s="34" t="s">
        <v>450</v>
      </c>
      <c r="G74" s="34" t="s">
        <v>386</v>
      </c>
      <c r="I74" s="34"/>
      <c r="J74" s="34"/>
      <c r="Z74" t="s">
        <v>656</v>
      </c>
      <c r="AA74" s="42" t="s">
        <v>386</v>
      </c>
      <c r="AC74" s="34" t="s">
        <v>243</v>
      </c>
      <c r="AD74" s="34" t="s">
        <v>243</v>
      </c>
      <c r="AI74" t="s">
        <v>161</v>
      </c>
      <c r="AJ74" t="s">
        <v>386</v>
      </c>
      <c r="AL74" t="s">
        <v>161</v>
      </c>
      <c r="AM74" s="53" t="s">
        <v>450</v>
      </c>
      <c r="AR74" s="34" t="s">
        <v>386</v>
      </c>
      <c r="AS74" s="34" t="s">
        <v>450</v>
      </c>
    </row>
    <row r="75" spans="1:45" x14ac:dyDescent="0.25">
      <c r="A75" s="34" t="s">
        <v>387</v>
      </c>
      <c r="B75" s="35"/>
      <c r="C75" s="34" t="s">
        <v>244</v>
      </c>
      <c r="D75" s="34" t="s">
        <v>387</v>
      </c>
      <c r="F75" s="34" t="s">
        <v>451</v>
      </c>
      <c r="G75" s="34" t="s">
        <v>387</v>
      </c>
      <c r="I75" s="34"/>
      <c r="J75" s="34"/>
      <c r="Z75" t="s">
        <v>656</v>
      </c>
      <c r="AA75" s="42" t="s">
        <v>387</v>
      </c>
      <c r="AC75" s="34" t="s">
        <v>244</v>
      </c>
      <c r="AD75" s="34" t="s">
        <v>244</v>
      </c>
      <c r="AI75" t="s">
        <v>162</v>
      </c>
      <c r="AJ75" t="s">
        <v>387</v>
      </c>
      <c r="AL75" t="s">
        <v>162</v>
      </c>
      <c r="AM75" s="53" t="s">
        <v>451</v>
      </c>
      <c r="AR75" s="34" t="s">
        <v>387</v>
      </c>
      <c r="AS75" s="34" t="s">
        <v>451</v>
      </c>
    </row>
    <row r="76" spans="1:45" x14ac:dyDescent="0.25">
      <c r="A76" s="34" t="s">
        <v>388</v>
      </c>
      <c r="B76" s="35"/>
      <c r="C76" s="34" t="s">
        <v>245</v>
      </c>
      <c r="D76" s="34" t="s">
        <v>388</v>
      </c>
      <c r="F76" s="34" t="s">
        <v>452</v>
      </c>
      <c r="G76" s="34" t="s">
        <v>388</v>
      </c>
      <c r="I76" s="34"/>
      <c r="J76" s="34"/>
      <c r="Z76" t="s">
        <v>656</v>
      </c>
      <c r="AA76" s="42" t="s">
        <v>388</v>
      </c>
      <c r="AC76" s="34" t="s">
        <v>245</v>
      </c>
      <c r="AD76" s="34" t="s">
        <v>245</v>
      </c>
      <c r="AI76" t="s">
        <v>163</v>
      </c>
      <c r="AJ76" t="s">
        <v>388</v>
      </c>
      <c r="AL76" t="s">
        <v>163</v>
      </c>
      <c r="AM76" s="53" t="s">
        <v>452</v>
      </c>
      <c r="AR76" s="34" t="s">
        <v>388</v>
      </c>
      <c r="AS76" s="34" t="s">
        <v>452</v>
      </c>
    </row>
    <row r="77" spans="1:45" x14ac:dyDescent="0.25">
      <c r="A77" s="34" t="s">
        <v>389</v>
      </c>
      <c r="B77" s="35"/>
      <c r="C77" s="34" t="s">
        <v>246</v>
      </c>
      <c r="D77" s="34" t="s">
        <v>389</v>
      </c>
      <c r="F77" s="34" t="s">
        <v>453</v>
      </c>
      <c r="G77" s="34" t="s">
        <v>389</v>
      </c>
      <c r="I77" s="34"/>
      <c r="J77" s="34"/>
      <c r="Z77" t="s">
        <v>656</v>
      </c>
      <c r="AA77" s="42" t="s">
        <v>389</v>
      </c>
      <c r="AC77" s="34" t="s">
        <v>246</v>
      </c>
      <c r="AD77" s="34" t="s">
        <v>246</v>
      </c>
      <c r="AI77" t="s">
        <v>164</v>
      </c>
      <c r="AJ77" t="s">
        <v>389</v>
      </c>
      <c r="AL77" t="s">
        <v>164</v>
      </c>
      <c r="AM77" s="53" t="s">
        <v>453</v>
      </c>
      <c r="AR77" s="34" t="s">
        <v>389</v>
      </c>
      <c r="AS77" s="34" t="s">
        <v>453</v>
      </c>
    </row>
    <row r="78" spans="1:45" x14ac:dyDescent="0.25">
      <c r="A78" s="34" t="s">
        <v>390</v>
      </c>
      <c r="B78" s="35"/>
      <c r="C78" s="34" t="s">
        <v>247</v>
      </c>
      <c r="D78" s="34" t="s">
        <v>390</v>
      </c>
      <c r="F78" s="34" t="s">
        <v>454</v>
      </c>
      <c r="G78" s="34" t="s">
        <v>390</v>
      </c>
      <c r="I78" s="34"/>
      <c r="J78" s="34"/>
      <c r="Z78" t="s">
        <v>656</v>
      </c>
      <c r="AA78" s="42" t="s">
        <v>390</v>
      </c>
      <c r="AC78" s="34" t="s">
        <v>247</v>
      </c>
      <c r="AD78" s="34" t="s">
        <v>247</v>
      </c>
      <c r="AI78" t="s">
        <v>165</v>
      </c>
      <c r="AJ78" t="s">
        <v>390</v>
      </c>
      <c r="AL78" t="s">
        <v>165</v>
      </c>
      <c r="AM78" s="53" t="s">
        <v>454</v>
      </c>
      <c r="AR78" s="34" t="s">
        <v>390</v>
      </c>
      <c r="AS78" s="34" t="s">
        <v>454</v>
      </c>
    </row>
    <row r="79" spans="1:45" x14ac:dyDescent="0.25">
      <c r="A79" s="34" t="s">
        <v>391</v>
      </c>
      <c r="B79" s="35"/>
      <c r="C79" s="34" t="s">
        <v>248</v>
      </c>
      <c r="D79" s="34" t="s">
        <v>391</v>
      </c>
      <c r="F79" s="34" t="s">
        <v>455</v>
      </c>
      <c r="G79" s="34" t="s">
        <v>391</v>
      </c>
      <c r="I79" s="34"/>
      <c r="J79" s="34"/>
      <c r="Z79" t="s">
        <v>656</v>
      </c>
      <c r="AA79" s="42" t="s">
        <v>391</v>
      </c>
      <c r="AC79" s="34" t="s">
        <v>248</v>
      </c>
      <c r="AD79" s="34" t="s">
        <v>248</v>
      </c>
      <c r="AI79" t="s">
        <v>166</v>
      </c>
      <c r="AJ79" t="s">
        <v>391</v>
      </c>
      <c r="AL79" t="s">
        <v>166</v>
      </c>
      <c r="AM79" s="53" t="s">
        <v>455</v>
      </c>
      <c r="AR79" s="34" t="s">
        <v>391</v>
      </c>
      <c r="AS79" s="34" t="s">
        <v>455</v>
      </c>
    </row>
    <row r="80" spans="1:45" x14ac:dyDescent="0.25">
      <c r="A80" s="34" t="s">
        <v>392</v>
      </c>
      <c r="B80" s="35"/>
      <c r="C80" s="34" t="s">
        <v>249</v>
      </c>
      <c r="D80" s="34" t="s">
        <v>392</v>
      </c>
      <c r="F80" s="34" t="s">
        <v>456</v>
      </c>
      <c r="G80" s="34" t="s">
        <v>392</v>
      </c>
      <c r="I80" s="34"/>
      <c r="J80" s="34"/>
      <c r="Z80" t="s">
        <v>656</v>
      </c>
      <c r="AA80" s="42" t="s">
        <v>392</v>
      </c>
      <c r="AC80" s="34" t="s">
        <v>249</v>
      </c>
      <c r="AD80" s="34" t="s">
        <v>249</v>
      </c>
      <c r="AI80" t="s">
        <v>167</v>
      </c>
      <c r="AJ80" t="s">
        <v>392</v>
      </c>
      <c r="AL80" t="s">
        <v>167</v>
      </c>
      <c r="AM80" t="s">
        <v>456</v>
      </c>
      <c r="AR80" s="34" t="s">
        <v>392</v>
      </c>
      <c r="AS80" s="34" t="s">
        <v>456</v>
      </c>
    </row>
    <row r="81" spans="1:45" x14ac:dyDescent="0.25">
      <c r="A81" s="34" t="s">
        <v>393</v>
      </c>
      <c r="B81" s="35"/>
      <c r="C81" s="34" t="s">
        <v>250</v>
      </c>
      <c r="D81" s="34" t="s">
        <v>393</v>
      </c>
      <c r="F81" s="34" t="s">
        <v>457</v>
      </c>
      <c r="G81" s="34" t="s">
        <v>393</v>
      </c>
      <c r="I81" s="34"/>
      <c r="J81" s="34"/>
      <c r="Z81" t="s">
        <v>656</v>
      </c>
      <c r="AA81" s="42" t="s">
        <v>393</v>
      </c>
      <c r="AC81" s="34" t="s">
        <v>250</v>
      </c>
      <c r="AD81" s="34" t="s">
        <v>250</v>
      </c>
      <c r="AI81" t="s">
        <v>168</v>
      </c>
      <c r="AJ81" t="s">
        <v>393</v>
      </c>
      <c r="AL81" t="s">
        <v>168</v>
      </c>
      <c r="AM81" t="s">
        <v>457</v>
      </c>
      <c r="AR81" s="34" t="s">
        <v>393</v>
      </c>
      <c r="AS81" s="34" t="s">
        <v>457</v>
      </c>
    </row>
    <row r="82" spans="1:45" x14ac:dyDescent="0.25">
      <c r="A82" s="34" t="s">
        <v>394</v>
      </c>
      <c r="B82" s="35"/>
      <c r="C82" s="34" t="s">
        <v>251</v>
      </c>
      <c r="D82" s="34" t="s">
        <v>394</v>
      </c>
      <c r="F82" s="34" t="s">
        <v>458</v>
      </c>
      <c r="G82" s="34" t="s">
        <v>394</v>
      </c>
      <c r="I82" s="34"/>
      <c r="J82" s="34"/>
      <c r="Z82" s="40" t="s">
        <v>656</v>
      </c>
      <c r="AA82" s="42" t="s">
        <v>394</v>
      </c>
      <c r="AC82" s="34" t="s">
        <v>251</v>
      </c>
      <c r="AD82" s="34" t="s">
        <v>251</v>
      </c>
      <c r="AI82" t="s">
        <v>169</v>
      </c>
      <c r="AJ82" t="s">
        <v>394</v>
      </c>
      <c r="AL82" t="s">
        <v>169</v>
      </c>
      <c r="AM82" t="s">
        <v>458</v>
      </c>
      <c r="AR82" s="34" t="s">
        <v>394</v>
      </c>
      <c r="AS82" s="34" t="s">
        <v>458</v>
      </c>
    </row>
    <row r="83" spans="1:45" x14ac:dyDescent="0.25">
      <c r="A83" s="34" t="s">
        <v>395</v>
      </c>
      <c r="B83" s="36"/>
      <c r="C83" s="34" t="s">
        <v>252</v>
      </c>
      <c r="D83" s="34" t="s">
        <v>395</v>
      </c>
      <c r="F83" s="34" t="s">
        <v>459</v>
      </c>
      <c r="G83" s="34" t="s">
        <v>395</v>
      </c>
      <c r="I83" s="34"/>
      <c r="J83" s="34"/>
      <c r="Z83" s="40" t="s">
        <v>656</v>
      </c>
      <c r="AA83" s="42" t="s">
        <v>395</v>
      </c>
      <c r="AC83" s="34" t="s">
        <v>252</v>
      </c>
      <c r="AD83" s="34" t="s">
        <v>252</v>
      </c>
      <c r="AI83" t="s">
        <v>170</v>
      </c>
      <c r="AJ83" t="s">
        <v>395</v>
      </c>
      <c r="AL83" t="s">
        <v>170</v>
      </c>
      <c r="AM83" s="54" t="s">
        <v>459</v>
      </c>
      <c r="AR83" s="34" t="s">
        <v>395</v>
      </c>
      <c r="AS83" s="34" t="s">
        <v>459</v>
      </c>
    </row>
    <row r="84" spans="1:45" x14ac:dyDescent="0.25">
      <c r="A84" s="34" t="s">
        <v>652</v>
      </c>
      <c r="B84" s="36"/>
      <c r="C84" s="34" t="s">
        <v>653</v>
      </c>
      <c r="D84" s="34" t="s">
        <v>652</v>
      </c>
      <c r="F84" s="34" t="s">
        <v>654</v>
      </c>
      <c r="G84" s="34" t="s">
        <v>652</v>
      </c>
      <c r="I84" s="34"/>
      <c r="J84" s="34"/>
      <c r="Z84" s="40" t="s">
        <v>656</v>
      </c>
      <c r="AA84" s="42" t="s">
        <v>652</v>
      </c>
      <c r="AC84" s="34" t="s">
        <v>653</v>
      </c>
      <c r="AD84" s="34" t="s">
        <v>653</v>
      </c>
      <c r="AI84" s="28" t="s">
        <v>154</v>
      </c>
      <c r="AJ84" s="29" t="s">
        <v>652</v>
      </c>
      <c r="AL84" s="28" t="s">
        <v>154</v>
      </c>
      <c r="AM84" s="39" t="s">
        <v>654</v>
      </c>
      <c r="AR84" s="34" t="s">
        <v>652</v>
      </c>
      <c r="AS84" s="34" t="s">
        <v>654</v>
      </c>
    </row>
    <row r="85" spans="1:45" x14ac:dyDescent="0.25">
      <c r="A85" s="34" t="s">
        <v>396</v>
      </c>
      <c r="B85" s="37"/>
      <c r="C85" s="34" t="s">
        <v>253</v>
      </c>
      <c r="D85" s="34" t="s">
        <v>396</v>
      </c>
      <c r="I85" s="34"/>
      <c r="J85" s="34"/>
      <c r="Z85" t="s">
        <v>657</v>
      </c>
      <c r="AA85" s="42" t="s">
        <v>396</v>
      </c>
      <c r="AC85" s="34" t="s">
        <v>253</v>
      </c>
      <c r="AD85" s="34" t="s">
        <v>253</v>
      </c>
      <c r="AI85" s="28"/>
      <c r="AJ85" s="29"/>
      <c r="AL85" s="28"/>
      <c r="AM85" s="39"/>
      <c r="AR85" s="34"/>
      <c r="AS85" s="34"/>
    </row>
    <row r="86" spans="1:45" x14ac:dyDescent="0.25">
      <c r="A86" s="34" t="s">
        <v>397</v>
      </c>
      <c r="B86" s="37"/>
      <c r="C86" s="34" t="s">
        <v>254</v>
      </c>
      <c r="D86" s="34" t="s">
        <v>397</v>
      </c>
      <c r="I86" s="34"/>
      <c r="J86" s="34"/>
      <c r="Z86" t="s">
        <v>657</v>
      </c>
      <c r="AA86" s="42" t="s">
        <v>397</v>
      </c>
      <c r="AC86" s="34" t="s">
        <v>254</v>
      </c>
      <c r="AD86" s="34" t="s">
        <v>254</v>
      </c>
      <c r="AJ86" s="35"/>
      <c r="AL86" s="28"/>
      <c r="AM86" s="39"/>
      <c r="AR86" s="34"/>
      <c r="AS86" s="34"/>
    </row>
    <row r="87" spans="1:45" x14ac:dyDescent="0.25">
      <c r="A87" s="34" t="s">
        <v>398</v>
      </c>
      <c r="B87" s="37"/>
      <c r="C87" s="34" t="s">
        <v>255</v>
      </c>
      <c r="D87" s="34" t="s">
        <v>398</v>
      </c>
      <c r="I87" s="34"/>
      <c r="J87" s="34"/>
      <c r="Z87" t="s">
        <v>657</v>
      </c>
      <c r="AA87" s="42" t="s">
        <v>398</v>
      </c>
      <c r="AC87" s="34" t="s">
        <v>255</v>
      </c>
      <c r="AD87" s="34" t="s">
        <v>255</v>
      </c>
      <c r="AL87" s="28"/>
      <c r="AM87" s="39"/>
      <c r="AR87" s="34"/>
      <c r="AS87" s="34"/>
    </row>
    <row r="88" spans="1:45" x14ac:dyDescent="0.25">
      <c r="A88" s="34" t="s">
        <v>399</v>
      </c>
      <c r="B88" s="37"/>
      <c r="C88" s="34" t="s">
        <v>256</v>
      </c>
      <c r="D88" s="34" t="s">
        <v>399</v>
      </c>
      <c r="I88" s="34"/>
      <c r="J88" s="34"/>
      <c r="Z88" t="s">
        <v>657</v>
      </c>
      <c r="AA88" s="42" t="s">
        <v>399</v>
      </c>
      <c r="AC88" s="34" t="s">
        <v>256</v>
      </c>
      <c r="AD88" s="34" t="s">
        <v>256</v>
      </c>
      <c r="AL88" s="28"/>
      <c r="AM88" s="39"/>
      <c r="AR88" s="34"/>
      <c r="AS88" s="34"/>
    </row>
    <row r="89" spans="1:45" x14ac:dyDescent="0.25">
      <c r="A89" s="34" t="s">
        <v>400</v>
      </c>
      <c r="B89" s="37"/>
      <c r="C89" s="34" t="s">
        <v>257</v>
      </c>
      <c r="D89" s="34" t="s">
        <v>400</v>
      </c>
      <c r="I89" s="34"/>
      <c r="J89" s="34"/>
      <c r="Z89" t="s">
        <v>657</v>
      </c>
      <c r="AA89" s="42" t="s">
        <v>400</v>
      </c>
      <c r="AC89" s="34" t="s">
        <v>257</v>
      </c>
      <c r="AD89" s="34" t="s">
        <v>257</v>
      </c>
      <c r="AL89" s="28"/>
      <c r="AM89" s="39"/>
      <c r="AR89" s="34"/>
      <c r="AS89" s="34"/>
    </row>
    <row r="90" spans="1:45" x14ac:dyDescent="0.25">
      <c r="A90" s="34" t="s">
        <v>401</v>
      </c>
      <c r="B90" s="37"/>
      <c r="C90" s="34" t="s">
        <v>258</v>
      </c>
      <c r="D90" s="34" t="s">
        <v>401</v>
      </c>
      <c r="I90" s="34"/>
      <c r="J90" s="34"/>
      <c r="Z90" t="s">
        <v>657</v>
      </c>
      <c r="AA90" s="42" t="s">
        <v>401</v>
      </c>
      <c r="AC90" s="34" t="s">
        <v>258</v>
      </c>
      <c r="AD90" s="34" t="s">
        <v>258</v>
      </c>
      <c r="AL90" s="28"/>
      <c r="AM90" s="39"/>
      <c r="AR90" s="34"/>
      <c r="AS90" s="34"/>
    </row>
    <row r="91" spans="1:45" x14ac:dyDescent="0.25">
      <c r="A91" s="34" t="s">
        <v>402</v>
      </c>
      <c r="B91" s="37"/>
      <c r="C91" s="34" t="s">
        <v>259</v>
      </c>
      <c r="D91" s="34" t="s">
        <v>402</v>
      </c>
      <c r="I91" s="34"/>
      <c r="J91" s="34"/>
      <c r="Z91" t="s">
        <v>657</v>
      </c>
      <c r="AA91" s="42" t="s">
        <v>402</v>
      </c>
      <c r="AC91" s="34" t="s">
        <v>259</v>
      </c>
      <c r="AD91" s="34" t="s">
        <v>259</v>
      </c>
      <c r="AL91" s="41"/>
      <c r="AM91" s="37"/>
      <c r="AR91" s="34"/>
      <c r="AS91" s="34"/>
    </row>
    <row r="92" spans="1:45" x14ac:dyDescent="0.25">
      <c r="A92" s="34" t="s">
        <v>403</v>
      </c>
      <c r="B92" s="37"/>
      <c r="C92" s="34" t="s">
        <v>260</v>
      </c>
      <c r="D92" s="34" t="s">
        <v>403</v>
      </c>
      <c r="I92" s="34"/>
      <c r="J92" s="34"/>
      <c r="Z92" t="s">
        <v>657</v>
      </c>
      <c r="AA92" s="42" t="s">
        <v>403</v>
      </c>
      <c r="AC92" s="34" t="s">
        <v>260</v>
      </c>
      <c r="AD92" s="34" t="s">
        <v>260</v>
      </c>
      <c r="AL92" s="41"/>
      <c r="AM92" s="41"/>
      <c r="AR92" s="34"/>
      <c r="AS92" s="34"/>
    </row>
    <row r="93" spans="1:45" x14ac:dyDescent="0.25">
      <c r="A93" s="34" t="s">
        <v>404</v>
      </c>
      <c r="B93" s="37"/>
      <c r="C93" s="34" t="s">
        <v>261</v>
      </c>
      <c r="D93" s="34" t="s">
        <v>404</v>
      </c>
      <c r="I93" s="34"/>
      <c r="J93" s="34"/>
      <c r="Z93" t="s">
        <v>657</v>
      </c>
      <c r="AA93" s="42" t="s">
        <v>404</v>
      </c>
      <c r="AC93" s="34" t="s">
        <v>261</v>
      </c>
      <c r="AD93" s="34" t="s">
        <v>261</v>
      </c>
      <c r="AL93" s="41"/>
      <c r="AM93" s="41"/>
      <c r="AR93" s="34"/>
      <c r="AS93" s="34"/>
    </row>
    <row r="94" spans="1:45" x14ac:dyDescent="0.25">
      <c r="A94" s="34" t="s">
        <v>702</v>
      </c>
      <c r="C94" s="34" t="s">
        <v>704</v>
      </c>
      <c r="D94" s="34" t="s">
        <v>702</v>
      </c>
      <c r="I94" s="42"/>
      <c r="J94" s="42"/>
      <c r="Z94" t="s">
        <v>657</v>
      </c>
      <c r="AA94" s="42" t="s">
        <v>702</v>
      </c>
      <c r="AC94" s="42" t="s">
        <v>704</v>
      </c>
      <c r="AD94" s="42" t="s">
        <v>704</v>
      </c>
      <c r="AL94" s="41"/>
      <c r="AM94" s="36"/>
      <c r="AR94" s="34"/>
      <c r="AS94" s="34"/>
    </row>
    <row r="95" spans="1:45" x14ac:dyDescent="0.25">
      <c r="A95" s="34" t="s">
        <v>405</v>
      </c>
      <c r="B95" s="37"/>
      <c r="C95" s="34" t="s">
        <v>262</v>
      </c>
      <c r="D95" s="34" t="s">
        <v>405</v>
      </c>
      <c r="I95" s="34"/>
      <c r="J95" s="34"/>
      <c r="Z95" t="s">
        <v>657</v>
      </c>
      <c r="AA95" s="42" t="s">
        <v>405</v>
      </c>
      <c r="AC95" s="34" t="s">
        <v>262</v>
      </c>
      <c r="AD95" s="34" t="s">
        <v>262</v>
      </c>
      <c r="AL95" s="41"/>
      <c r="AM95" s="41"/>
      <c r="AR95" s="34"/>
      <c r="AS95" s="34"/>
    </row>
    <row r="96" spans="1:45" x14ac:dyDescent="0.25">
      <c r="A96" s="34" t="s">
        <v>406</v>
      </c>
      <c r="B96" s="37"/>
      <c r="C96" s="34" t="s">
        <v>263</v>
      </c>
      <c r="D96" s="34" t="s">
        <v>406</v>
      </c>
      <c r="I96" s="34"/>
      <c r="J96" s="34"/>
      <c r="Z96" t="s">
        <v>657</v>
      </c>
      <c r="AA96" s="42" t="s">
        <v>406</v>
      </c>
      <c r="AC96" s="34" t="s">
        <v>263</v>
      </c>
      <c r="AD96" s="34" t="s">
        <v>263</v>
      </c>
      <c r="AL96" s="41"/>
      <c r="AM96" s="41"/>
      <c r="AR96" s="34"/>
      <c r="AS96" s="34"/>
    </row>
    <row r="97" spans="1:45" x14ac:dyDescent="0.25">
      <c r="A97" s="34" t="s">
        <v>407</v>
      </c>
      <c r="B97" s="37"/>
      <c r="C97" s="34" t="s">
        <v>264</v>
      </c>
      <c r="D97" s="34" t="s">
        <v>407</v>
      </c>
      <c r="I97" s="34"/>
      <c r="J97" s="34"/>
      <c r="Z97" t="s">
        <v>657</v>
      </c>
      <c r="AA97" s="42" t="s">
        <v>407</v>
      </c>
      <c r="AC97" s="34" t="s">
        <v>264</v>
      </c>
      <c r="AD97" s="34" t="s">
        <v>264</v>
      </c>
      <c r="AL97" s="41"/>
      <c r="AM97" s="41"/>
      <c r="AR97" s="34"/>
      <c r="AS97" s="34"/>
    </row>
    <row r="98" spans="1:45" x14ac:dyDescent="0.25">
      <c r="A98" s="34" t="s">
        <v>408</v>
      </c>
      <c r="B98" s="37"/>
      <c r="C98" s="34" t="s">
        <v>265</v>
      </c>
      <c r="D98" s="34" t="s">
        <v>408</v>
      </c>
      <c r="I98" s="34"/>
      <c r="J98" s="34"/>
      <c r="Z98" t="s">
        <v>657</v>
      </c>
      <c r="AA98" s="42" t="s">
        <v>408</v>
      </c>
      <c r="AC98" s="34" t="s">
        <v>265</v>
      </c>
      <c r="AD98" s="34" t="s">
        <v>265</v>
      </c>
      <c r="AL98" s="41"/>
      <c r="AM98" s="41"/>
      <c r="AR98" s="34"/>
      <c r="AS98" s="34"/>
    </row>
    <row r="99" spans="1:45" x14ac:dyDescent="0.25">
      <c r="A99" s="34" t="s">
        <v>409</v>
      </c>
      <c r="B99" s="37"/>
      <c r="C99" s="34" t="s">
        <v>266</v>
      </c>
      <c r="D99" s="34" t="s">
        <v>409</v>
      </c>
      <c r="I99" s="34"/>
      <c r="J99" s="34"/>
      <c r="Z99" t="s">
        <v>657</v>
      </c>
      <c r="AA99" s="42" t="s">
        <v>409</v>
      </c>
      <c r="AC99" s="34" t="s">
        <v>266</v>
      </c>
      <c r="AD99" s="34" t="s">
        <v>266</v>
      </c>
      <c r="AL99" s="41"/>
      <c r="AM99" s="41"/>
      <c r="AR99" s="34"/>
      <c r="AS99" s="34"/>
    </row>
    <row r="100" spans="1:45" x14ac:dyDescent="0.25">
      <c r="A100" s="34" t="s">
        <v>410</v>
      </c>
      <c r="B100" s="37"/>
      <c r="C100" s="34" t="s">
        <v>267</v>
      </c>
      <c r="D100" s="34" t="s">
        <v>410</v>
      </c>
      <c r="I100" s="34"/>
      <c r="J100" s="34"/>
      <c r="Z100" t="s">
        <v>657</v>
      </c>
      <c r="AA100" s="42" t="s">
        <v>410</v>
      </c>
      <c r="AC100" s="34" t="s">
        <v>267</v>
      </c>
      <c r="AD100" s="34" t="s">
        <v>267</v>
      </c>
      <c r="AL100" s="41"/>
      <c r="AM100" s="41"/>
      <c r="AR100" s="34"/>
      <c r="AS100" s="34"/>
    </row>
    <row r="101" spans="1:45" x14ac:dyDescent="0.25">
      <c r="A101" s="34" t="s">
        <v>411</v>
      </c>
      <c r="B101" s="37"/>
      <c r="C101" s="34" t="s">
        <v>268</v>
      </c>
      <c r="D101" s="34" t="s">
        <v>411</v>
      </c>
      <c r="I101" s="34"/>
      <c r="J101" s="34"/>
      <c r="Z101" t="s">
        <v>657</v>
      </c>
      <c r="AA101" s="42" t="s">
        <v>411</v>
      </c>
      <c r="AC101" s="34" t="s">
        <v>268</v>
      </c>
      <c r="AD101" s="34" t="s">
        <v>268</v>
      </c>
      <c r="AL101" s="41"/>
      <c r="AM101" s="41"/>
      <c r="AR101" s="34"/>
      <c r="AS101" s="34"/>
    </row>
    <row r="102" spans="1:45" x14ac:dyDescent="0.25">
      <c r="A102" s="34" t="s">
        <v>412</v>
      </c>
      <c r="B102" s="37"/>
      <c r="C102" s="34" t="s">
        <v>269</v>
      </c>
      <c r="D102" s="34" t="s">
        <v>412</v>
      </c>
      <c r="I102" s="34"/>
      <c r="J102" s="34"/>
      <c r="Z102" t="s">
        <v>657</v>
      </c>
      <c r="AA102" s="42" t="s">
        <v>412</v>
      </c>
      <c r="AC102" s="34" t="s">
        <v>269</v>
      </c>
      <c r="AD102" s="34" t="s">
        <v>269</v>
      </c>
      <c r="AL102" s="41"/>
      <c r="AM102" s="41"/>
      <c r="AR102" s="34"/>
      <c r="AS102" s="34"/>
    </row>
    <row r="103" spans="1:45" x14ac:dyDescent="0.25">
      <c r="A103" s="34" t="s">
        <v>413</v>
      </c>
      <c r="B103" s="37"/>
      <c r="C103" s="34" t="s">
        <v>270</v>
      </c>
      <c r="D103" s="34" t="s">
        <v>413</v>
      </c>
      <c r="I103" s="34"/>
      <c r="J103" s="34"/>
      <c r="Z103" t="s">
        <v>657</v>
      </c>
      <c r="AA103" s="42" t="s">
        <v>413</v>
      </c>
      <c r="AC103" s="34" t="s">
        <v>270</v>
      </c>
      <c r="AD103" s="34" t="s">
        <v>270</v>
      </c>
      <c r="AL103" s="41"/>
      <c r="AM103" s="41"/>
      <c r="AR103" s="34"/>
      <c r="AS103" s="34"/>
    </row>
    <row r="104" spans="1:45" x14ac:dyDescent="0.25">
      <c r="A104" s="34" t="s">
        <v>414</v>
      </c>
      <c r="B104" s="37"/>
      <c r="C104" s="34" t="s">
        <v>271</v>
      </c>
      <c r="D104" s="34" t="s">
        <v>414</v>
      </c>
      <c r="I104" s="34"/>
      <c r="J104" s="34"/>
      <c r="Z104" t="s">
        <v>657</v>
      </c>
      <c r="AA104" s="42" t="s">
        <v>414</v>
      </c>
      <c r="AC104" s="34" t="s">
        <v>271</v>
      </c>
      <c r="AD104" s="34" t="s">
        <v>271</v>
      </c>
      <c r="AL104" s="41"/>
      <c r="AM104" s="41"/>
      <c r="AR104" s="34"/>
      <c r="AS104" s="34"/>
    </row>
    <row r="105" spans="1:45" x14ac:dyDescent="0.25">
      <c r="A105" s="34" t="s">
        <v>415</v>
      </c>
      <c r="B105" s="37"/>
      <c r="C105" s="34" t="s">
        <v>272</v>
      </c>
      <c r="D105" s="34" t="s">
        <v>415</v>
      </c>
      <c r="I105" s="34"/>
      <c r="J105" s="34"/>
      <c r="Z105" t="s">
        <v>657</v>
      </c>
      <c r="AA105" s="42" t="s">
        <v>415</v>
      </c>
      <c r="AC105" s="34" t="s">
        <v>272</v>
      </c>
      <c r="AD105" s="34" t="s">
        <v>272</v>
      </c>
      <c r="AL105" s="41"/>
      <c r="AM105" s="41"/>
      <c r="AR105" s="34"/>
      <c r="AS105" s="34"/>
    </row>
    <row r="106" spans="1:45" x14ac:dyDescent="0.25">
      <c r="A106" s="34" t="s">
        <v>416</v>
      </c>
      <c r="B106" s="37"/>
      <c r="C106" s="34" t="s">
        <v>273</v>
      </c>
      <c r="D106" s="34" t="s">
        <v>416</v>
      </c>
      <c r="I106" s="34"/>
      <c r="J106" s="34"/>
      <c r="Z106" t="s">
        <v>657</v>
      </c>
      <c r="AA106" s="42" t="s">
        <v>416</v>
      </c>
      <c r="AC106" s="34" t="s">
        <v>273</v>
      </c>
      <c r="AD106" s="34" t="s">
        <v>273</v>
      </c>
      <c r="AL106" s="41"/>
      <c r="AM106" s="41"/>
      <c r="AR106" s="34"/>
      <c r="AS106" s="34"/>
    </row>
    <row r="107" spans="1:45" x14ac:dyDescent="0.25">
      <c r="A107" s="34" t="s">
        <v>417</v>
      </c>
      <c r="B107" s="37"/>
      <c r="C107" s="34" t="s">
        <v>274</v>
      </c>
      <c r="D107" s="34" t="s">
        <v>417</v>
      </c>
      <c r="I107" s="34"/>
      <c r="J107" s="34"/>
      <c r="Z107" t="s">
        <v>657</v>
      </c>
      <c r="AA107" s="42" t="s">
        <v>417</v>
      </c>
      <c r="AC107" s="34" t="s">
        <v>274</v>
      </c>
      <c r="AD107" s="34" t="s">
        <v>274</v>
      </c>
      <c r="AL107" s="41"/>
      <c r="AM107" s="41"/>
      <c r="AR107" s="34"/>
      <c r="AS107" s="34"/>
    </row>
    <row r="108" spans="1:45" x14ac:dyDescent="0.25">
      <c r="A108" s="34" t="s">
        <v>418</v>
      </c>
      <c r="B108" s="37"/>
      <c r="C108" s="34" t="s">
        <v>275</v>
      </c>
      <c r="D108" s="34" t="s">
        <v>418</v>
      </c>
      <c r="I108" s="34"/>
      <c r="J108" s="34"/>
      <c r="Z108" t="s">
        <v>657</v>
      </c>
      <c r="AA108" s="42" t="s">
        <v>418</v>
      </c>
      <c r="AC108" s="34" t="s">
        <v>275</v>
      </c>
      <c r="AD108" s="34" t="s">
        <v>275</v>
      </c>
      <c r="AL108" s="41"/>
      <c r="AM108" s="41"/>
      <c r="AR108" s="34"/>
      <c r="AS108" s="34"/>
    </row>
    <row r="109" spans="1:45" x14ac:dyDescent="0.25">
      <c r="A109" s="34" t="s">
        <v>419</v>
      </c>
      <c r="B109" s="37"/>
      <c r="C109" s="34" t="s">
        <v>276</v>
      </c>
      <c r="D109" s="34" t="s">
        <v>419</v>
      </c>
      <c r="I109" s="34"/>
      <c r="J109" s="34"/>
      <c r="Z109" t="s">
        <v>657</v>
      </c>
      <c r="AA109" s="42" t="s">
        <v>419</v>
      </c>
      <c r="AC109" s="34" t="s">
        <v>276</v>
      </c>
      <c r="AD109" s="34" t="s">
        <v>276</v>
      </c>
      <c r="AL109" s="41"/>
      <c r="AM109" s="41"/>
      <c r="AR109" s="34"/>
      <c r="AS109" s="34"/>
    </row>
    <row r="110" spans="1:45" x14ac:dyDescent="0.25">
      <c r="A110" s="34" t="s">
        <v>420</v>
      </c>
      <c r="B110" s="37"/>
      <c r="C110" s="34" t="s">
        <v>277</v>
      </c>
      <c r="D110" s="34" t="s">
        <v>420</v>
      </c>
      <c r="I110" s="34"/>
      <c r="J110" s="34"/>
      <c r="Z110" t="s">
        <v>657</v>
      </c>
      <c r="AA110" s="42" t="s">
        <v>420</v>
      </c>
      <c r="AC110" s="34" t="s">
        <v>277</v>
      </c>
      <c r="AD110" s="34" t="s">
        <v>277</v>
      </c>
      <c r="AL110" s="41"/>
      <c r="AM110" s="41"/>
      <c r="AR110" s="34"/>
      <c r="AS110" s="34"/>
    </row>
    <row r="111" spans="1:45" x14ac:dyDescent="0.25">
      <c r="A111" s="34" t="s">
        <v>421</v>
      </c>
      <c r="B111" s="37"/>
      <c r="C111" s="34" t="s">
        <v>278</v>
      </c>
      <c r="D111" s="34" t="s">
        <v>421</v>
      </c>
      <c r="I111" s="34"/>
      <c r="J111" s="34"/>
      <c r="Z111" t="s">
        <v>657</v>
      </c>
      <c r="AA111" s="42" t="s">
        <v>421</v>
      </c>
      <c r="AC111" s="34" t="s">
        <v>278</v>
      </c>
      <c r="AD111" s="34" t="s">
        <v>278</v>
      </c>
      <c r="AL111" s="41"/>
      <c r="AM111" s="41"/>
      <c r="AR111" s="34"/>
      <c r="AS111" s="34"/>
    </row>
    <row r="112" spans="1:45" x14ac:dyDescent="0.25">
      <c r="A112" s="34" t="s">
        <v>422</v>
      </c>
      <c r="B112" s="37"/>
      <c r="C112" s="34" t="s">
        <v>279</v>
      </c>
      <c r="D112" s="34" t="s">
        <v>422</v>
      </c>
      <c r="I112" s="34"/>
      <c r="J112" s="34"/>
      <c r="Z112" t="s">
        <v>657</v>
      </c>
      <c r="AA112" s="42" t="s">
        <v>422</v>
      </c>
      <c r="AC112" s="34" t="s">
        <v>279</v>
      </c>
      <c r="AD112" s="34" t="s">
        <v>279</v>
      </c>
      <c r="AL112" s="41"/>
      <c r="AM112" s="41"/>
      <c r="AR112" s="34"/>
      <c r="AS112" s="34"/>
    </row>
    <row r="113" spans="1:45" x14ac:dyDescent="0.25">
      <c r="A113" s="34" t="s">
        <v>423</v>
      </c>
      <c r="B113" s="37"/>
      <c r="C113" s="34" t="s">
        <v>280</v>
      </c>
      <c r="D113" s="34" t="s">
        <v>423</v>
      </c>
      <c r="I113" s="34"/>
      <c r="J113" s="34"/>
      <c r="Z113" t="s">
        <v>657</v>
      </c>
      <c r="AA113" s="42" t="s">
        <v>423</v>
      </c>
      <c r="AC113" s="34" t="s">
        <v>280</v>
      </c>
      <c r="AD113" s="34" t="s">
        <v>280</v>
      </c>
      <c r="AL113" s="41"/>
      <c r="AM113" s="41"/>
      <c r="AR113" s="34"/>
      <c r="AS113" s="34"/>
    </row>
    <row r="114" spans="1:45" x14ac:dyDescent="0.25">
      <c r="A114" s="34" t="s">
        <v>424</v>
      </c>
      <c r="B114" s="37"/>
      <c r="C114" s="34" t="s">
        <v>281</v>
      </c>
      <c r="D114" s="34" t="s">
        <v>424</v>
      </c>
      <c r="I114" s="34"/>
      <c r="J114" s="34"/>
      <c r="Z114" t="s">
        <v>657</v>
      </c>
      <c r="AA114" s="42" t="s">
        <v>424</v>
      </c>
      <c r="AC114" s="34" t="s">
        <v>281</v>
      </c>
      <c r="AD114" s="34" t="s">
        <v>281</v>
      </c>
      <c r="AR114" s="34"/>
      <c r="AS114" s="34"/>
    </row>
    <row r="115" spans="1:45" x14ac:dyDescent="0.25">
      <c r="A115" s="34" t="s">
        <v>425</v>
      </c>
      <c r="B115" s="37"/>
      <c r="C115" s="34" t="s">
        <v>282</v>
      </c>
      <c r="D115" s="34" t="s">
        <v>425</v>
      </c>
      <c r="I115" s="34"/>
      <c r="J115" s="34"/>
      <c r="Z115" t="s">
        <v>657</v>
      </c>
      <c r="AA115" s="42" t="s">
        <v>425</v>
      </c>
      <c r="AC115" s="34" t="s">
        <v>282</v>
      </c>
      <c r="AD115" s="34" t="s">
        <v>282</v>
      </c>
      <c r="AR115" s="34"/>
      <c r="AS115" s="34"/>
    </row>
    <row r="116" spans="1:45" x14ac:dyDescent="0.25">
      <c r="A116" s="34" t="s">
        <v>426</v>
      </c>
      <c r="B116" s="37"/>
      <c r="C116" s="34" t="s">
        <v>283</v>
      </c>
      <c r="D116" s="34" t="s">
        <v>426</v>
      </c>
      <c r="I116" s="34"/>
      <c r="J116" s="34"/>
      <c r="Z116" t="s">
        <v>657</v>
      </c>
      <c r="AA116" s="42" t="s">
        <v>426</v>
      </c>
      <c r="AC116" s="34" t="s">
        <v>283</v>
      </c>
      <c r="AD116" s="34" t="s">
        <v>283</v>
      </c>
      <c r="AR116" s="34"/>
      <c r="AS116" s="34"/>
    </row>
    <row r="117" spans="1:45" x14ac:dyDescent="0.25">
      <c r="A117" s="34" t="s">
        <v>427</v>
      </c>
      <c r="B117" s="37"/>
      <c r="C117" s="34" t="s">
        <v>284</v>
      </c>
      <c r="D117" s="34" t="s">
        <v>427</v>
      </c>
      <c r="I117" s="34"/>
      <c r="J117" s="34"/>
      <c r="Z117" t="s">
        <v>657</v>
      </c>
      <c r="AA117" s="42" t="s">
        <v>427</v>
      </c>
      <c r="AC117" s="34" t="s">
        <v>284</v>
      </c>
      <c r="AD117" s="34" t="s">
        <v>284</v>
      </c>
      <c r="AR117" s="34"/>
      <c r="AS117" s="34"/>
    </row>
    <row r="118" spans="1:45" x14ac:dyDescent="0.25">
      <c r="A118" s="34" t="s">
        <v>428</v>
      </c>
      <c r="B118" s="37"/>
      <c r="C118" s="34" t="s">
        <v>285</v>
      </c>
      <c r="D118" s="34" t="s">
        <v>428</v>
      </c>
      <c r="I118" s="34"/>
      <c r="J118" s="34"/>
      <c r="Z118" t="s">
        <v>657</v>
      </c>
      <c r="AA118" s="42" t="s">
        <v>428</v>
      </c>
      <c r="AC118" s="34" t="s">
        <v>285</v>
      </c>
      <c r="AD118" s="34" t="s">
        <v>285</v>
      </c>
      <c r="AR118" s="34"/>
      <c r="AS118" s="34"/>
    </row>
    <row r="119" spans="1:45" x14ac:dyDescent="0.25">
      <c r="A119" s="34" t="s">
        <v>429</v>
      </c>
      <c r="B119" s="37"/>
      <c r="C119" s="34" t="s">
        <v>286</v>
      </c>
      <c r="D119" s="34" t="s">
        <v>429</v>
      </c>
      <c r="I119" s="34"/>
      <c r="J119" s="34"/>
      <c r="Z119" t="s">
        <v>657</v>
      </c>
      <c r="AA119" s="42" t="s">
        <v>429</v>
      </c>
      <c r="AC119" s="34" t="s">
        <v>286</v>
      </c>
      <c r="AD119" s="34" t="s">
        <v>286</v>
      </c>
      <c r="AR119" s="34"/>
      <c r="AS119" s="34"/>
    </row>
    <row r="120" spans="1:45" x14ac:dyDescent="0.25">
      <c r="A120" s="34" t="s">
        <v>430</v>
      </c>
      <c r="B120" s="37"/>
      <c r="C120" s="34" t="s">
        <v>287</v>
      </c>
      <c r="D120" s="34" t="s">
        <v>430</v>
      </c>
      <c r="I120" s="34"/>
      <c r="J120" s="34"/>
      <c r="Z120" t="s">
        <v>657</v>
      </c>
      <c r="AA120" s="42" t="s">
        <v>430</v>
      </c>
      <c r="AC120" s="34" t="s">
        <v>287</v>
      </c>
      <c r="AD120" s="34" t="s">
        <v>287</v>
      </c>
      <c r="AR120" s="34"/>
      <c r="AS120" s="34"/>
    </row>
    <row r="121" spans="1:45" x14ac:dyDescent="0.25">
      <c r="A121" s="34" t="s">
        <v>431</v>
      </c>
      <c r="B121" s="37"/>
      <c r="C121" s="34" t="s">
        <v>288</v>
      </c>
      <c r="D121" s="34" t="s">
        <v>431</v>
      </c>
      <c r="I121" s="34"/>
      <c r="J121" s="34"/>
      <c r="Z121" t="s">
        <v>657</v>
      </c>
      <c r="AA121" s="42" t="s">
        <v>431</v>
      </c>
      <c r="AC121" s="34" t="s">
        <v>288</v>
      </c>
      <c r="AD121" s="34" t="s">
        <v>288</v>
      </c>
      <c r="AR121" s="34"/>
      <c r="AS121" s="34"/>
    </row>
    <row r="122" spans="1:45" x14ac:dyDescent="0.25">
      <c r="A122" s="34" t="s">
        <v>432</v>
      </c>
      <c r="B122" s="37"/>
      <c r="C122" s="34" t="s">
        <v>289</v>
      </c>
      <c r="D122" s="34" t="s">
        <v>432</v>
      </c>
      <c r="I122" s="34"/>
      <c r="J122" s="34"/>
      <c r="Z122" t="s">
        <v>657</v>
      </c>
      <c r="AA122" s="42" t="s">
        <v>432</v>
      </c>
      <c r="AC122" s="34" t="s">
        <v>289</v>
      </c>
      <c r="AD122" s="34" t="s">
        <v>289</v>
      </c>
      <c r="AR122" s="34"/>
      <c r="AS122" s="34"/>
    </row>
    <row r="123" spans="1:45" x14ac:dyDescent="0.25">
      <c r="A123" s="34" t="s">
        <v>433</v>
      </c>
      <c r="B123" s="37"/>
      <c r="C123" s="34" t="s">
        <v>290</v>
      </c>
      <c r="D123" s="34" t="s">
        <v>433</v>
      </c>
      <c r="I123" s="34"/>
      <c r="J123" s="34"/>
      <c r="Z123" t="s">
        <v>657</v>
      </c>
      <c r="AA123" s="42" t="s">
        <v>433</v>
      </c>
      <c r="AC123" s="34" t="s">
        <v>290</v>
      </c>
      <c r="AD123" s="34" t="s">
        <v>290</v>
      </c>
      <c r="AR123" s="34"/>
      <c r="AS123" s="34"/>
    </row>
    <row r="124" spans="1:45" x14ac:dyDescent="0.25">
      <c r="A124" s="34" t="s">
        <v>434</v>
      </c>
      <c r="B124" s="37"/>
      <c r="C124" s="34" t="s">
        <v>291</v>
      </c>
      <c r="D124" s="34" t="s">
        <v>434</v>
      </c>
      <c r="I124" s="34"/>
      <c r="J124" s="34"/>
      <c r="Z124" t="s">
        <v>657</v>
      </c>
      <c r="AA124" s="42" t="s">
        <v>434</v>
      </c>
      <c r="AC124" s="34" t="s">
        <v>291</v>
      </c>
      <c r="AD124" s="34" t="s">
        <v>291</v>
      </c>
      <c r="AR124" s="34"/>
      <c r="AS124" s="34"/>
    </row>
    <row r="125" spans="1:45" x14ac:dyDescent="0.25">
      <c r="A125" s="34" t="s">
        <v>435</v>
      </c>
      <c r="B125" s="37"/>
      <c r="C125" s="34" t="s">
        <v>292</v>
      </c>
      <c r="D125" s="34" t="s">
        <v>435</v>
      </c>
      <c r="I125" s="34"/>
      <c r="J125" s="34"/>
      <c r="Z125" t="s">
        <v>657</v>
      </c>
      <c r="AA125" s="42" t="s">
        <v>435</v>
      </c>
      <c r="AC125" s="34" t="s">
        <v>292</v>
      </c>
      <c r="AD125" s="34" t="s">
        <v>292</v>
      </c>
      <c r="AR125" s="34"/>
      <c r="AS125" s="34"/>
    </row>
    <row r="126" spans="1:45" x14ac:dyDescent="0.25">
      <c r="A126" s="34" t="s">
        <v>436</v>
      </c>
      <c r="B126" s="37"/>
      <c r="C126" s="34" t="s">
        <v>293</v>
      </c>
      <c r="D126" s="34" t="s">
        <v>436</v>
      </c>
      <c r="I126" s="34"/>
      <c r="J126" s="34"/>
      <c r="Z126" t="s">
        <v>657</v>
      </c>
      <c r="AA126" s="42" t="s">
        <v>436</v>
      </c>
      <c r="AC126" s="34" t="s">
        <v>293</v>
      </c>
      <c r="AD126" s="34" t="s">
        <v>293</v>
      </c>
      <c r="AR126" s="34"/>
      <c r="AS126" s="34"/>
    </row>
    <row r="127" spans="1:45" x14ac:dyDescent="0.25">
      <c r="A127" s="34" t="s">
        <v>437</v>
      </c>
      <c r="B127" s="37"/>
      <c r="C127" s="34" t="s">
        <v>294</v>
      </c>
      <c r="D127" s="34" t="s">
        <v>437</v>
      </c>
      <c r="I127" s="34"/>
      <c r="J127" s="34"/>
      <c r="Z127" t="s">
        <v>657</v>
      </c>
      <c r="AA127" s="42" t="s">
        <v>437</v>
      </c>
      <c r="AC127" s="34" t="s">
        <v>294</v>
      </c>
      <c r="AD127" s="34" t="s">
        <v>294</v>
      </c>
      <c r="AR127" s="34"/>
      <c r="AS127" s="34"/>
    </row>
    <row r="128" spans="1:45" x14ac:dyDescent="0.25">
      <c r="A128" s="34" t="s">
        <v>438</v>
      </c>
      <c r="B128" s="37"/>
      <c r="C128" s="34" t="s">
        <v>295</v>
      </c>
      <c r="D128" s="34" t="s">
        <v>438</v>
      </c>
      <c r="I128" s="34"/>
      <c r="J128" s="34"/>
      <c r="Z128" t="s">
        <v>657</v>
      </c>
      <c r="AA128" s="42" t="s">
        <v>438</v>
      </c>
      <c r="AC128" s="34" t="s">
        <v>295</v>
      </c>
      <c r="AD128" s="34" t="s">
        <v>295</v>
      </c>
      <c r="AR128" s="34"/>
      <c r="AS128" s="34"/>
    </row>
    <row r="129" spans="1:45" x14ac:dyDescent="0.25">
      <c r="A129" s="34" t="s">
        <v>439</v>
      </c>
      <c r="B129" s="37"/>
      <c r="C129" s="34" t="s">
        <v>296</v>
      </c>
      <c r="D129" s="34" t="s">
        <v>439</v>
      </c>
      <c r="I129" s="34"/>
      <c r="J129" s="34"/>
      <c r="Z129" t="s">
        <v>657</v>
      </c>
      <c r="AA129" s="42" t="s">
        <v>439</v>
      </c>
      <c r="AC129" s="34" t="s">
        <v>296</v>
      </c>
      <c r="AD129" s="34" t="s">
        <v>296</v>
      </c>
      <c r="AR129" s="34"/>
      <c r="AS129" s="34"/>
    </row>
    <row r="130" spans="1:45" x14ac:dyDescent="0.25">
      <c r="A130" s="34" t="s">
        <v>440</v>
      </c>
      <c r="B130" s="37"/>
      <c r="C130" s="34" t="s">
        <v>297</v>
      </c>
      <c r="D130" s="34" t="s">
        <v>440</v>
      </c>
      <c r="I130" s="34"/>
      <c r="J130" s="34"/>
      <c r="Z130" t="s">
        <v>657</v>
      </c>
      <c r="AA130" s="42" t="s">
        <v>440</v>
      </c>
      <c r="AC130" s="34" t="s">
        <v>297</v>
      </c>
      <c r="AD130" s="34" t="s">
        <v>297</v>
      </c>
      <c r="AR130" s="34"/>
      <c r="AS130" s="34"/>
    </row>
    <row r="131" spans="1:45" x14ac:dyDescent="0.25">
      <c r="A131" s="34" t="s">
        <v>520</v>
      </c>
      <c r="B131" s="37"/>
      <c r="C131" s="34" t="s">
        <v>496</v>
      </c>
      <c r="D131" s="34" t="s">
        <v>520</v>
      </c>
      <c r="I131" s="34"/>
      <c r="J131" s="34"/>
      <c r="Z131" t="s">
        <v>657</v>
      </c>
      <c r="AA131" s="42" t="s">
        <v>520</v>
      </c>
      <c r="AC131" s="34" t="s">
        <v>496</v>
      </c>
      <c r="AD131" s="34" t="s">
        <v>496</v>
      </c>
      <c r="AR131" s="34"/>
      <c r="AS131" s="34"/>
    </row>
    <row r="132" spans="1:45" x14ac:dyDescent="0.25">
      <c r="A132" s="34" t="s">
        <v>521</v>
      </c>
      <c r="B132" s="37"/>
      <c r="C132" s="34" t="s">
        <v>497</v>
      </c>
      <c r="D132" s="34" t="s">
        <v>521</v>
      </c>
      <c r="I132" s="34"/>
      <c r="J132" s="34"/>
      <c r="Z132" t="s">
        <v>657</v>
      </c>
      <c r="AA132" s="42" t="s">
        <v>521</v>
      </c>
      <c r="AC132" s="34" t="s">
        <v>497</v>
      </c>
      <c r="AD132" s="34" t="s">
        <v>497</v>
      </c>
      <c r="AR132" s="34"/>
      <c r="AS132" s="34"/>
    </row>
    <row r="133" spans="1:45" x14ac:dyDescent="0.25">
      <c r="A133" s="34" t="s">
        <v>522</v>
      </c>
      <c r="B133" s="37"/>
      <c r="C133" s="34" t="s">
        <v>498</v>
      </c>
      <c r="D133" s="34" t="s">
        <v>522</v>
      </c>
      <c r="I133" s="34"/>
      <c r="J133" s="34"/>
      <c r="Z133" t="s">
        <v>657</v>
      </c>
      <c r="AA133" s="42" t="s">
        <v>522</v>
      </c>
      <c r="AC133" s="34" t="s">
        <v>498</v>
      </c>
      <c r="AD133" s="34" t="s">
        <v>498</v>
      </c>
      <c r="AR133" s="34"/>
      <c r="AS133" s="34"/>
    </row>
    <row r="134" spans="1:45" x14ac:dyDescent="0.25">
      <c r="A134" s="34" t="s">
        <v>523</v>
      </c>
      <c r="B134" s="37"/>
      <c r="C134" s="34" t="s">
        <v>499</v>
      </c>
      <c r="D134" s="34" t="s">
        <v>523</v>
      </c>
      <c r="I134" s="34"/>
      <c r="J134" s="34"/>
      <c r="Z134" t="s">
        <v>657</v>
      </c>
      <c r="AA134" s="42" t="s">
        <v>523</v>
      </c>
      <c r="AC134" s="34" t="s">
        <v>499</v>
      </c>
      <c r="AD134" s="34" t="s">
        <v>499</v>
      </c>
      <c r="AR134" s="34"/>
      <c r="AS134" s="34"/>
    </row>
    <row r="135" spans="1:45" x14ac:dyDescent="0.25">
      <c r="A135" s="34" t="s">
        <v>524</v>
      </c>
      <c r="B135" s="37"/>
      <c r="C135" s="34" t="s">
        <v>500</v>
      </c>
      <c r="D135" s="34" t="s">
        <v>524</v>
      </c>
      <c r="I135" s="34"/>
      <c r="J135" s="34"/>
      <c r="Z135" t="s">
        <v>657</v>
      </c>
      <c r="AA135" s="42" t="s">
        <v>524</v>
      </c>
      <c r="AC135" s="34" t="s">
        <v>500</v>
      </c>
      <c r="AD135" s="34" t="s">
        <v>500</v>
      </c>
      <c r="AR135" s="34"/>
      <c r="AS135" s="34"/>
    </row>
    <row r="136" spans="1:45" x14ac:dyDescent="0.25">
      <c r="A136" s="34" t="s">
        <v>525</v>
      </c>
      <c r="B136" s="29"/>
      <c r="C136" s="34" t="s">
        <v>501</v>
      </c>
      <c r="D136" s="34" t="s">
        <v>525</v>
      </c>
      <c r="I136" s="34"/>
      <c r="J136" s="34"/>
      <c r="Z136" t="s">
        <v>657</v>
      </c>
      <c r="AA136" s="49" t="s">
        <v>525</v>
      </c>
      <c r="AC136" s="34" t="s">
        <v>501</v>
      </c>
      <c r="AD136" s="34" t="s">
        <v>501</v>
      </c>
      <c r="AR136" s="34"/>
      <c r="AS136" s="34"/>
    </row>
    <row r="137" spans="1:45" x14ac:dyDescent="0.25">
      <c r="A137" s="34" t="s">
        <v>526</v>
      </c>
      <c r="B137" s="39"/>
      <c r="C137" s="34" t="s">
        <v>502</v>
      </c>
      <c r="D137" s="34" t="s">
        <v>526</v>
      </c>
      <c r="I137" s="34"/>
      <c r="J137" s="34"/>
      <c r="Z137" t="s">
        <v>657</v>
      </c>
      <c r="AA137" s="42" t="s">
        <v>526</v>
      </c>
      <c r="AC137" s="34" t="s">
        <v>502</v>
      </c>
      <c r="AD137" s="34" t="s">
        <v>502</v>
      </c>
      <c r="AR137" s="34"/>
      <c r="AS137" s="34"/>
    </row>
    <row r="138" spans="1:45" x14ac:dyDescent="0.25">
      <c r="A138" s="34" t="s">
        <v>527</v>
      </c>
      <c r="B138" s="37"/>
      <c r="C138" s="34" t="s">
        <v>503</v>
      </c>
      <c r="D138" s="34" t="s">
        <v>527</v>
      </c>
      <c r="I138" s="34"/>
      <c r="J138" s="34"/>
      <c r="Z138" t="s">
        <v>657</v>
      </c>
      <c r="AA138" s="42" t="s">
        <v>527</v>
      </c>
      <c r="AC138" s="34" t="s">
        <v>503</v>
      </c>
      <c r="AD138" s="34" t="s">
        <v>503</v>
      </c>
      <c r="AR138" s="34"/>
      <c r="AS138" s="34"/>
    </row>
    <row r="139" spans="1:45" x14ac:dyDescent="0.25">
      <c r="A139" s="34" t="s">
        <v>528</v>
      </c>
      <c r="B139" s="37"/>
      <c r="C139" s="34" t="s">
        <v>504</v>
      </c>
      <c r="D139" s="34" t="s">
        <v>528</v>
      </c>
      <c r="I139" s="34"/>
      <c r="J139" s="34"/>
      <c r="Z139" t="s">
        <v>657</v>
      </c>
      <c r="AA139" s="42" t="s">
        <v>528</v>
      </c>
      <c r="AC139" s="34" t="s">
        <v>504</v>
      </c>
      <c r="AD139" s="34" t="s">
        <v>504</v>
      </c>
      <c r="AR139" s="34"/>
      <c r="AS139" s="34"/>
    </row>
    <row r="140" spans="1:45" x14ac:dyDescent="0.25">
      <c r="A140" s="34" t="s">
        <v>529</v>
      </c>
      <c r="B140" s="37"/>
      <c r="C140" s="34" t="s">
        <v>505</v>
      </c>
      <c r="D140" s="34" t="s">
        <v>529</v>
      </c>
      <c r="I140" s="34"/>
      <c r="J140" s="34"/>
      <c r="Z140" t="s">
        <v>657</v>
      </c>
      <c r="AA140" s="42" t="s">
        <v>529</v>
      </c>
      <c r="AC140" s="34" t="s">
        <v>505</v>
      </c>
      <c r="AD140" s="34" t="s">
        <v>505</v>
      </c>
      <c r="AR140" s="34"/>
      <c r="AS140" s="34"/>
    </row>
    <row r="141" spans="1:45" x14ac:dyDescent="0.25">
      <c r="A141" s="34" t="s">
        <v>530</v>
      </c>
      <c r="B141" s="37"/>
      <c r="C141" s="34" t="s">
        <v>506</v>
      </c>
      <c r="D141" s="34" t="s">
        <v>530</v>
      </c>
      <c r="I141" s="34"/>
      <c r="J141" s="34"/>
      <c r="Z141" t="s">
        <v>657</v>
      </c>
      <c r="AA141" s="42" t="s">
        <v>530</v>
      </c>
      <c r="AC141" s="34" t="s">
        <v>506</v>
      </c>
      <c r="AD141" s="34" t="s">
        <v>506</v>
      </c>
      <c r="AR141" s="34"/>
      <c r="AS141" s="34"/>
    </row>
    <row r="142" spans="1:45" x14ac:dyDescent="0.25">
      <c r="A142" s="34" t="s">
        <v>531</v>
      </c>
      <c r="B142" s="37"/>
      <c r="C142" s="34" t="s">
        <v>507</v>
      </c>
      <c r="D142" s="34" t="s">
        <v>531</v>
      </c>
      <c r="I142" s="34"/>
      <c r="J142" s="34"/>
      <c r="Z142" t="s">
        <v>657</v>
      </c>
      <c r="AA142" s="42" t="s">
        <v>531</v>
      </c>
      <c r="AC142" s="34" t="s">
        <v>507</v>
      </c>
      <c r="AD142" s="34" t="s">
        <v>507</v>
      </c>
      <c r="AR142" s="34"/>
      <c r="AS142" s="34"/>
    </row>
    <row r="143" spans="1:45" x14ac:dyDescent="0.25">
      <c r="A143" s="34" t="s">
        <v>441</v>
      </c>
      <c r="B143" s="37"/>
      <c r="C143" s="34" t="s">
        <v>298</v>
      </c>
      <c r="D143" s="34" t="s">
        <v>441</v>
      </c>
      <c r="I143" s="34"/>
      <c r="J143" s="34"/>
      <c r="Z143" t="s">
        <v>657</v>
      </c>
      <c r="AA143" s="42" t="s">
        <v>441</v>
      </c>
      <c r="AC143" s="34" t="s">
        <v>298</v>
      </c>
      <c r="AD143" s="34" t="s">
        <v>298</v>
      </c>
      <c r="AR143" s="34"/>
      <c r="AS143" s="34"/>
    </row>
    <row r="144" spans="1:45" x14ac:dyDescent="0.25">
      <c r="A144" s="34" t="s">
        <v>442</v>
      </c>
      <c r="B144" s="37"/>
      <c r="C144" s="34" t="s">
        <v>299</v>
      </c>
      <c r="D144" s="34" t="s">
        <v>442</v>
      </c>
      <c r="I144" s="34"/>
      <c r="J144" s="34"/>
      <c r="Z144" t="s">
        <v>657</v>
      </c>
      <c r="AA144" s="42" t="s">
        <v>442</v>
      </c>
      <c r="AC144" s="34" t="s">
        <v>299</v>
      </c>
      <c r="AD144" s="34" t="s">
        <v>299</v>
      </c>
      <c r="AR144" s="34"/>
      <c r="AS144" s="34"/>
    </row>
    <row r="145" spans="1:45" x14ac:dyDescent="0.25">
      <c r="A145" s="34" t="s">
        <v>443</v>
      </c>
      <c r="B145" s="37"/>
      <c r="C145" s="34" t="s">
        <v>300</v>
      </c>
      <c r="D145" s="34" t="s">
        <v>443</v>
      </c>
      <c r="I145" s="34"/>
      <c r="J145" s="34"/>
      <c r="Z145" t="s">
        <v>657</v>
      </c>
      <c r="AA145" s="42" t="s">
        <v>443</v>
      </c>
      <c r="AC145" s="34" t="s">
        <v>300</v>
      </c>
      <c r="AD145" s="34" t="s">
        <v>300</v>
      </c>
      <c r="AR145" s="34"/>
      <c r="AS145" s="34"/>
    </row>
    <row r="146" spans="1:45" x14ac:dyDescent="0.25">
      <c r="A146" s="34" t="s">
        <v>444</v>
      </c>
      <c r="B146" s="37"/>
      <c r="C146" s="34" t="s">
        <v>301</v>
      </c>
      <c r="D146" s="34" t="s">
        <v>444</v>
      </c>
      <c r="I146" s="34"/>
      <c r="J146" s="34"/>
      <c r="Z146" t="s">
        <v>657</v>
      </c>
      <c r="AA146" s="42" t="s">
        <v>444</v>
      </c>
      <c r="AC146" s="34" t="s">
        <v>301</v>
      </c>
      <c r="AD146" s="34" t="s">
        <v>301</v>
      </c>
      <c r="AO146" s="8"/>
      <c r="AR146" s="34"/>
      <c r="AS146" s="34"/>
    </row>
    <row r="147" spans="1:45" x14ac:dyDescent="0.25">
      <c r="A147" s="34" t="s">
        <v>445</v>
      </c>
      <c r="B147" s="37"/>
      <c r="C147" s="34" t="s">
        <v>302</v>
      </c>
      <c r="D147" s="34" t="s">
        <v>445</v>
      </c>
      <c r="I147" s="34"/>
      <c r="J147" s="34"/>
      <c r="Z147" t="s">
        <v>657</v>
      </c>
      <c r="AA147" s="42" t="s">
        <v>445</v>
      </c>
      <c r="AC147" s="34" t="s">
        <v>302</v>
      </c>
      <c r="AD147" s="34" t="s">
        <v>302</v>
      </c>
      <c r="AN147" s="8"/>
      <c r="AR147" s="34"/>
      <c r="AS147" s="34"/>
    </row>
    <row r="148" spans="1:45" x14ac:dyDescent="0.25">
      <c r="A148" s="34" t="s">
        <v>446</v>
      </c>
      <c r="B148" s="37"/>
      <c r="C148" s="34" t="s">
        <v>303</v>
      </c>
      <c r="D148" s="34" t="s">
        <v>446</v>
      </c>
      <c r="I148" s="34"/>
      <c r="J148" s="34"/>
      <c r="Z148" t="s">
        <v>657</v>
      </c>
      <c r="AA148" s="42" t="s">
        <v>446</v>
      </c>
      <c r="AC148" s="34" t="s">
        <v>303</v>
      </c>
      <c r="AD148" s="34" t="s">
        <v>303</v>
      </c>
      <c r="AR148" s="34"/>
      <c r="AS148" s="34"/>
    </row>
    <row r="149" spans="1:45" x14ac:dyDescent="0.25">
      <c r="A149" t="s">
        <v>707</v>
      </c>
      <c r="C149" t="s">
        <v>708</v>
      </c>
      <c r="D149" t="s">
        <v>707</v>
      </c>
      <c r="I149" s="34"/>
      <c r="J149" s="34"/>
      <c r="Z149" t="s">
        <v>657</v>
      </c>
      <c r="AA149" s="42" t="s">
        <v>707</v>
      </c>
      <c r="AC149" s="34" t="s">
        <v>708</v>
      </c>
      <c r="AD149" s="34" t="s">
        <v>708</v>
      </c>
      <c r="AJ149" s="8"/>
      <c r="AK149" s="8"/>
      <c r="AR149" s="34"/>
      <c r="AS149" s="34"/>
    </row>
    <row r="150" spans="1:45" x14ac:dyDescent="0.25">
      <c r="A150" s="34" t="s">
        <v>447</v>
      </c>
      <c r="B150" s="37"/>
      <c r="C150" s="34" t="s">
        <v>304</v>
      </c>
      <c r="D150" s="34" t="s">
        <v>447</v>
      </c>
      <c r="I150" s="34"/>
      <c r="J150" s="34"/>
      <c r="Z150" t="s">
        <v>657</v>
      </c>
      <c r="AA150" s="42" t="s">
        <v>447</v>
      </c>
      <c r="AC150" s="34" t="s">
        <v>304</v>
      </c>
      <c r="AD150" s="34" t="s">
        <v>304</v>
      </c>
      <c r="AR150" s="34"/>
      <c r="AS150" s="34"/>
    </row>
    <row r="151" spans="1:45" x14ac:dyDescent="0.25">
      <c r="A151" s="34" t="s">
        <v>448</v>
      </c>
      <c r="B151" s="37"/>
      <c r="C151" s="34" t="s">
        <v>305</v>
      </c>
      <c r="D151" s="34" t="s">
        <v>448</v>
      </c>
      <c r="I151" s="34"/>
      <c r="J151" s="34"/>
      <c r="Z151" t="s">
        <v>657</v>
      </c>
      <c r="AA151" s="42" t="s">
        <v>448</v>
      </c>
      <c r="AC151" s="34" t="s">
        <v>305</v>
      </c>
      <c r="AD151" s="34" t="s">
        <v>305</v>
      </c>
      <c r="AR151" s="34"/>
      <c r="AS151" s="34"/>
    </row>
    <row r="152" spans="1:45" x14ac:dyDescent="0.25">
      <c r="A152" s="34" t="s">
        <v>449</v>
      </c>
      <c r="B152" s="37"/>
      <c r="C152" s="34" t="s">
        <v>306</v>
      </c>
      <c r="D152" s="34" t="s">
        <v>449</v>
      </c>
      <c r="I152" s="34"/>
      <c r="J152" s="34"/>
      <c r="Z152" t="s">
        <v>657</v>
      </c>
      <c r="AA152" s="42" t="s">
        <v>449</v>
      </c>
      <c r="AC152" s="34" t="s">
        <v>306</v>
      </c>
      <c r="AD152" s="34" t="s">
        <v>306</v>
      </c>
      <c r="AR152" s="34"/>
      <c r="AS152" s="34"/>
    </row>
    <row r="153" spans="1:45" x14ac:dyDescent="0.25">
      <c r="A153" s="34" t="s">
        <v>450</v>
      </c>
      <c r="B153" s="37"/>
      <c r="C153" s="34" t="s">
        <v>307</v>
      </c>
      <c r="D153" s="34" t="s">
        <v>450</v>
      </c>
      <c r="I153" s="34"/>
      <c r="J153" s="34"/>
      <c r="Z153" t="s">
        <v>657</v>
      </c>
      <c r="AA153" s="42" t="s">
        <v>450</v>
      </c>
      <c r="AC153" s="34" t="s">
        <v>307</v>
      </c>
      <c r="AD153" s="34" t="s">
        <v>307</v>
      </c>
      <c r="AR153" s="34"/>
      <c r="AS153" s="34"/>
    </row>
    <row r="154" spans="1:45" x14ac:dyDescent="0.25">
      <c r="A154" s="34" t="s">
        <v>451</v>
      </c>
      <c r="B154" s="37"/>
      <c r="C154" s="34" t="s">
        <v>308</v>
      </c>
      <c r="D154" s="34" t="s">
        <v>451</v>
      </c>
      <c r="E154" s="38"/>
      <c r="I154" s="34"/>
      <c r="J154" s="34"/>
      <c r="Z154" t="s">
        <v>657</v>
      </c>
      <c r="AA154" s="42" t="s">
        <v>451</v>
      </c>
      <c r="AC154" s="34" t="s">
        <v>308</v>
      </c>
      <c r="AD154" s="34" t="s">
        <v>308</v>
      </c>
      <c r="AR154" s="34"/>
      <c r="AS154" s="34"/>
    </row>
    <row r="155" spans="1:45" ht="12" customHeight="1" x14ac:dyDescent="0.25">
      <c r="A155" s="34" t="s">
        <v>452</v>
      </c>
      <c r="B155" s="37"/>
      <c r="C155" s="34" t="s">
        <v>309</v>
      </c>
      <c r="D155" s="34" t="s">
        <v>452</v>
      </c>
      <c r="I155" s="34"/>
      <c r="J155" s="34"/>
      <c r="Z155" t="s">
        <v>657</v>
      </c>
      <c r="AA155" s="42" t="s">
        <v>452</v>
      </c>
      <c r="AC155" s="34" t="s">
        <v>309</v>
      </c>
      <c r="AD155" s="34" t="s">
        <v>309</v>
      </c>
      <c r="AR155" s="34"/>
      <c r="AS155" s="34"/>
    </row>
    <row r="156" spans="1:45" x14ac:dyDescent="0.25">
      <c r="A156" s="34" t="s">
        <v>453</v>
      </c>
      <c r="B156" s="37"/>
      <c r="C156" s="34" t="s">
        <v>310</v>
      </c>
      <c r="D156" s="34" t="s">
        <v>453</v>
      </c>
      <c r="I156" s="34"/>
      <c r="J156" s="34"/>
      <c r="Z156" t="s">
        <v>657</v>
      </c>
      <c r="AA156" s="42" t="s">
        <v>453</v>
      </c>
      <c r="AC156" s="34" t="s">
        <v>310</v>
      </c>
      <c r="AD156" s="34" t="s">
        <v>310</v>
      </c>
      <c r="AR156" s="34"/>
      <c r="AS156" s="34"/>
    </row>
    <row r="157" spans="1:45" x14ac:dyDescent="0.25">
      <c r="A157" s="34" t="s">
        <v>454</v>
      </c>
      <c r="B157" s="38"/>
      <c r="C157" s="34" t="s">
        <v>311</v>
      </c>
      <c r="D157" s="34" t="s">
        <v>454</v>
      </c>
      <c r="I157" s="34"/>
      <c r="J157" s="34"/>
      <c r="Z157" t="s">
        <v>657</v>
      </c>
      <c r="AA157" s="42" t="s">
        <v>454</v>
      </c>
      <c r="AC157" s="34" t="s">
        <v>311</v>
      </c>
      <c r="AD157" s="34" t="s">
        <v>311</v>
      </c>
      <c r="AR157" s="34"/>
      <c r="AS157" s="34"/>
    </row>
    <row r="158" spans="1:45" x14ac:dyDescent="0.25">
      <c r="A158" s="34" t="s">
        <v>455</v>
      </c>
      <c r="B158" s="38"/>
      <c r="C158" s="34" t="s">
        <v>312</v>
      </c>
      <c r="D158" s="34" t="s">
        <v>455</v>
      </c>
      <c r="I158" s="34"/>
      <c r="J158" s="34"/>
      <c r="Z158" t="s">
        <v>657</v>
      </c>
      <c r="AA158" s="42" t="s">
        <v>455</v>
      </c>
      <c r="AC158" s="34" t="s">
        <v>312</v>
      </c>
      <c r="AD158" s="34" t="s">
        <v>312</v>
      </c>
      <c r="AR158" s="34"/>
      <c r="AS158" s="34"/>
    </row>
    <row r="159" spans="1:45" x14ac:dyDescent="0.25">
      <c r="A159" s="34" t="s">
        <v>456</v>
      </c>
      <c r="B159" s="38"/>
      <c r="C159" s="34" t="s">
        <v>313</v>
      </c>
      <c r="D159" s="34" t="s">
        <v>456</v>
      </c>
      <c r="I159" s="34"/>
      <c r="J159" s="34"/>
      <c r="Z159" t="s">
        <v>657</v>
      </c>
      <c r="AA159" s="42" t="s">
        <v>456</v>
      </c>
      <c r="AC159" s="34" t="s">
        <v>313</v>
      </c>
      <c r="AD159" s="34" t="s">
        <v>313</v>
      </c>
      <c r="AR159" s="34"/>
      <c r="AS159" s="34"/>
    </row>
    <row r="160" spans="1:45" x14ac:dyDescent="0.25">
      <c r="A160" s="34" t="s">
        <v>457</v>
      </c>
      <c r="B160" s="38"/>
      <c r="C160" s="34" t="s">
        <v>314</v>
      </c>
      <c r="D160" s="34" t="s">
        <v>457</v>
      </c>
      <c r="I160" s="34"/>
      <c r="J160" s="34"/>
      <c r="Z160" t="s">
        <v>657</v>
      </c>
      <c r="AA160" s="42" t="s">
        <v>457</v>
      </c>
      <c r="AC160" s="34" t="s">
        <v>314</v>
      </c>
      <c r="AD160" s="34" t="s">
        <v>314</v>
      </c>
      <c r="AR160" s="34"/>
      <c r="AS160" s="34"/>
    </row>
    <row r="161" spans="1:45" x14ac:dyDescent="0.25">
      <c r="A161" s="34" t="s">
        <v>458</v>
      </c>
      <c r="B161" s="38"/>
      <c r="C161" s="34" t="s">
        <v>315</v>
      </c>
      <c r="D161" s="34" t="s">
        <v>458</v>
      </c>
      <c r="I161" s="34"/>
      <c r="J161" s="34"/>
      <c r="Z161" t="s">
        <v>657</v>
      </c>
      <c r="AA161" s="42" t="s">
        <v>458</v>
      </c>
      <c r="AC161" s="34" t="s">
        <v>315</v>
      </c>
      <c r="AD161" s="34" t="s">
        <v>315</v>
      </c>
      <c r="AR161" s="34"/>
      <c r="AS161" s="34"/>
    </row>
    <row r="162" spans="1:45" x14ac:dyDescent="0.25">
      <c r="A162" s="34" t="s">
        <v>459</v>
      </c>
      <c r="B162" s="38"/>
      <c r="C162" s="34" t="s">
        <v>316</v>
      </c>
      <c r="D162" s="34" t="s">
        <v>459</v>
      </c>
      <c r="I162" s="34"/>
      <c r="J162" s="34"/>
      <c r="Z162" t="s">
        <v>657</v>
      </c>
      <c r="AA162" s="42" t="s">
        <v>459</v>
      </c>
      <c r="AC162" s="34" t="s">
        <v>316</v>
      </c>
      <c r="AD162" s="34" t="s">
        <v>316</v>
      </c>
      <c r="AR162" s="34"/>
      <c r="AS162" s="34"/>
    </row>
    <row r="163" spans="1:45" x14ac:dyDescent="0.25">
      <c r="A163" s="34" t="s">
        <v>654</v>
      </c>
      <c r="B163" s="38"/>
      <c r="C163" s="34" t="s">
        <v>655</v>
      </c>
      <c r="D163" s="34" t="s">
        <v>654</v>
      </c>
      <c r="I163" s="34"/>
      <c r="J163" s="34"/>
      <c r="Z163" t="s">
        <v>657</v>
      </c>
      <c r="AA163" s="42" t="s">
        <v>654</v>
      </c>
      <c r="AC163" s="34" t="s">
        <v>655</v>
      </c>
      <c r="AD163" s="34" t="s">
        <v>655</v>
      </c>
      <c r="AR163" s="34"/>
      <c r="AS163" s="34"/>
    </row>
    <row r="164" spans="1:45" x14ac:dyDescent="0.25">
      <c r="A164" s="34" t="s">
        <v>176</v>
      </c>
      <c r="B164" s="43"/>
      <c r="C164" s="34" t="s">
        <v>317</v>
      </c>
      <c r="D164" s="34" t="s">
        <v>176</v>
      </c>
      <c r="I164" s="34"/>
      <c r="J164" s="34"/>
      <c r="Z164" t="s">
        <v>658</v>
      </c>
      <c r="AA164" s="50" t="s">
        <v>470</v>
      </c>
      <c r="AC164" s="34" t="s">
        <v>317</v>
      </c>
      <c r="AD164" s="34" t="s">
        <v>317</v>
      </c>
      <c r="AR164" s="34"/>
      <c r="AS164" s="34"/>
    </row>
    <row r="165" spans="1:45" x14ac:dyDescent="0.25">
      <c r="A165" s="34" t="s">
        <v>616</v>
      </c>
      <c r="C165" s="34" t="s">
        <v>580</v>
      </c>
      <c r="D165" s="34" t="s">
        <v>616</v>
      </c>
      <c r="I165" s="34"/>
      <c r="J165" s="34"/>
      <c r="Z165" t="s">
        <v>661</v>
      </c>
      <c r="AA165" s="50" t="s">
        <v>471</v>
      </c>
      <c r="AC165" s="34" t="s">
        <v>580</v>
      </c>
      <c r="AD165" s="34" t="s">
        <v>580</v>
      </c>
      <c r="AR165" s="34"/>
      <c r="AS165" s="34"/>
    </row>
    <row r="166" spans="1:45" x14ac:dyDescent="0.25">
      <c r="A166" s="34" t="s">
        <v>617</v>
      </c>
      <c r="C166" s="34" t="s">
        <v>581</v>
      </c>
      <c r="D166" s="34" t="s">
        <v>617</v>
      </c>
      <c r="I166" s="34"/>
      <c r="J166" s="34"/>
      <c r="Z166" t="s">
        <v>659</v>
      </c>
      <c r="AA166" s="8" t="s">
        <v>475</v>
      </c>
      <c r="AC166" s="34" t="s">
        <v>581</v>
      </c>
      <c r="AD166" s="34" t="s">
        <v>581</v>
      </c>
      <c r="AR166" s="34"/>
      <c r="AS166" s="34"/>
    </row>
    <row r="167" spans="1:45" x14ac:dyDescent="0.25">
      <c r="A167" s="34" t="s">
        <v>618</v>
      </c>
      <c r="C167" s="34" t="s">
        <v>582</v>
      </c>
      <c r="D167" s="34" t="s">
        <v>618</v>
      </c>
      <c r="I167" s="34"/>
      <c r="J167" s="34"/>
      <c r="Z167" t="s">
        <v>660</v>
      </c>
      <c r="AA167" s="8" t="s">
        <v>577</v>
      </c>
      <c r="AC167" s="34" t="s">
        <v>582</v>
      </c>
      <c r="AD167" s="34" t="s">
        <v>582</v>
      </c>
      <c r="AR167" s="34"/>
      <c r="AS167" s="34"/>
    </row>
    <row r="168" spans="1:45" x14ac:dyDescent="0.25">
      <c r="A168" s="34" t="s">
        <v>619</v>
      </c>
      <c r="C168" s="34" t="s">
        <v>583</v>
      </c>
      <c r="D168" s="34" t="s">
        <v>619</v>
      </c>
      <c r="I168" s="34"/>
      <c r="J168" s="34"/>
      <c r="Z168" t="s">
        <v>660</v>
      </c>
      <c r="AA168" s="8" t="s">
        <v>476</v>
      </c>
      <c r="AC168" s="34" t="s">
        <v>583</v>
      </c>
      <c r="AD168" s="34" t="s">
        <v>583</v>
      </c>
      <c r="AR168" s="34"/>
      <c r="AS168" s="34"/>
    </row>
    <row r="169" spans="1:45" x14ac:dyDescent="0.25">
      <c r="A169" s="34" t="s">
        <v>620</v>
      </c>
      <c r="C169" s="34" t="s">
        <v>584</v>
      </c>
      <c r="D169" s="34" t="s">
        <v>620</v>
      </c>
      <c r="I169" s="34"/>
      <c r="J169" s="34"/>
      <c r="Z169" t="s">
        <v>662</v>
      </c>
      <c r="AA169" s="8" t="s">
        <v>477</v>
      </c>
      <c r="AC169" s="34" t="s">
        <v>584</v>
      </c>
      <c r="AD169" s="34" t="s">
        <v>584</v>
      </c>
      <c r="AR169" s="34"/>
      <c r="AS169" s="34"/>
    </row>
    <row r="170" spans="1:45" x14ac:dyDescent="0.25">
      <c r="A170" s="34" t="s">
        <v>621</v>
      </c>
      <c r="C170" s="34" t="s">
        <v>585</v>
      </c>
      <c r="D170" s="34" t="s">
        <v>621</v>
      </c>
      <c r="I170" s="34"/>
      <c r="J170" s="34"/>
      <c r="Z170" t="s">
        <v>691</v>
      </c>
      <c r="AA170" s="8" t="s">
        <v>178</v>
      </c>
      <c r="AC170" s="34" t="s">
        <v>585</v>
      </c>
      <c r="AD170" s="34" t="s">
        <v>585</v>
      </c>
      <c r="AR170" s="34"/>
      <c r="AS170" s="34"/>
    </row>
    <row r="171" spans="1:45" x14ac:dyDescent="0.25">
      <c r="A171" s="34" t="s">
        <v>622</v>
      </c>
      <c r="C171" s="34" t="s">
        <v>586</v>
      </c>
      <c r="D171" s="34" t="s">
        <v>622</v>
      </c>
      <c r="I171" s="34"/>
      <c r="J171" s="34"/>
      <c r="Z171" t="s">
        <v>663</v>
      </c>
      <c r="AA171" s="42" t="s">
        <v>460</v>
      </c>
      <c r="AC171" s="34" t="s">
        <v>586</v>
      </c>
      <c r="AD171" s="34" t="s">
        <v>586</v>
      </c>
      <c r="AR171" s="34"/>
      <c r="AS171" s="34"/>
    </row>
    <row r="172" spans="1:45" x14ac:dyDescent="0.25">
      <c r="A172" s="34" t="s">
        <v>623</v>
      </c>
      <c r="C172" s="34" t="s">
        <v>587</v>
      </c>
      <c r="D172" s="34" t="s">
        <v>623</v>
      </c>
      <c r="I172" s="34"/>
      <c r="J172" s="34"/>
      <c r="Z172" t="s">
        <v>663</v>
      </c>
      <c r="AA172" s="42" t="s">
        <v>461</v>
      </c>
      <c r="AC172" s="34" t="s">
        <v>587</v>
      </c>
      <c r="AD172" s="34" t="s">
        <v>587</v>
      </c>
      <c r="AR172" s="34"/>
      <c r="AS172" s="34"/>
    </row>
    <row r="173" spans="1:45" x14ac:dyDescent="0.25">
      <c r="A173" s="34" t="s">
        <v>624</v>
      </c>
      <c r="C173" s="34" t="s">
        <v>588</v>
      </c>
      <c r="D173" s="34" t="s">
        <v>624</v>
      </c>
      <c r="I173" s="34"/>
      <c r="J173" s="34"/>
      <c r="Z173" t="s">
        <v>663</v>
      </c>
      <c r="AA173" s="42" t="s">
        <v>462</v>
      </c>
      <c r="AC173" s="34" t="s">
        <v>588</v>
      </c>
      <c r="AD173" s="34" t="s">
        <v>588</v>
      </c>
      <c r="AR173" s="34"/>
      <c r="AS173" s="34"/>
    </row>
    <row r="174" spans="1:45" x14ac:dyDescent="0.25">
      <c r="A174" s="34" t="s">
        <v>625</v>
      </c>
      <c r="C174" s="34" t="s">
        <v>589</v>
      </c>
      <c r="D174" s="34" t="s">
        <v>625</v>
      </c>
      <c r="I174" s="34"/>
      <c r="J174" s="34"/>
      <c r="Z174" t="s">
        <v>663</v>
      </c>
      <c r="AA174" s="42" t="s">
        <v>463</v>
      </c>
      <c r="AC174" s="34" t="s">
        <v>589</v>
      </c>
      <c r="AD174" s="34" t="s">
        <v>589</v>
      </c>
      <c r="AR174" s="34"/>
      <c r="AS174" s="34"/>
    </row>
    <row r="175" spans="1:45" x14ac:dyDescent="0.25">
      <c r="A175" s="34" t="s">
        <v>626</v>
      </c>
      <c r="C175" s="34" t="s">
        <v>590</v>
      </c>
      <c r="D175" s="34" t="s">
        <v>626</v>
      </c>
      <c r="I175" s="34"/>
      <c r="J175" s="34"/>
      <c r="Z175" t="s">
        <v>663</v>
      </c>
      <c r="AA175" s="42" t="s">
        <v>464</v>
      </c>
      <c r="AC175" s="34" t="s">
        <v>590</v>
      </c>
      <c r="AD175" s="34" t="s">
        <v>590</v>
      </c>
      <c r="AR175" s="34"/>
      <c r="AS175" s="34"/>
    </row>
    <row r="176" spans="1:45" x14ac:dyDescent="0.25">
      <c r="A176" s="34" t="s">
        <v>627</v>
      </c>
      <c r="C176" s="34" t="s">
        <v>591</v>
      </c>
      <c r="D176" s="34" t="s">
        <v>627</v>
      </c>
      <c r="I176" s="34"/>
      <c r="J176" s="34"/>
      <c r="Z176" t="s">
        <v>663</v>
      </c>
      <c r="AA176" s="34" t="s">
        <v>466</v>
      </c>
      <c r="AC176" s="34" t="s">
        <v>591</v>
      </c>
      <c r="AD176" s="34" t="s">
        <v>591</v>
      </c>
      <c r="AR176" s="34"/>
      <c r="AS176" s="34"/>
    </row>
    <row r="177" spans="1:45" x14ac:dyDescent="0.25">
      <c r="A177" s="34" t="s">
        <v>628</v>
      </c>
      <c r="C177" s="34" t="s">
        <v>592</v>
      </c>
      <c r="D177" s="34" t="s">
        <v>628</v>
      </c>
      <c r="I177" s="34"/>
      <c r="J177" s="34"/>
      <c r="Z177" t="s">
        <v>663</v>
      </c>
      <c r="AA177" s="34" t="s">
        <v>467</v>
      </c>
      <c r="AC177" s="34" t="s">
        <v>592</v>
      </c>
      <c r="AD177" s="34" t="s">
        <v>592</v>
      </c>
      <c r="AR177" s="34"/>
      <c r="AS177" s="34"/>
    </row>
    <row r="178" spans="1:45" x14ac:dyDescent="0.25">
      <c r="A178" s="34" t="s">
        <v>629</v>
      </c>
      <c r="C178" s="34" t="s">
        <v>593</v>
      </c>
      <c r="D178" s="34" t="s">
        <v>629</v>
      </c>
      <c r="I178" s="34"/>
      <c r="J178" s="34"/>
      <c r="Z178" t="s">
        <v>663</v>
      </c>
      <c r="AA178" s="34" t="s">
        <v>468</v>
      </c>
      <c r="AC178" s="34" t="s">
        <v>593</v>
      </c>
      <c r="AD178" s="34" t="s">
        <v>593</v>
      </c>
      <c r="AR178" s="34"/>
      <c r="AS178" s="34"/>
    </row>
    <row r="179" spans="1:45" x14ac:dyDescent="0.25">
      <c r="A179" s="34" t="s">
        <v>630</v>
      </c>
      <c r="C179" s="34" t="s">
        <v>594</v>
      </c>
      <c r="D179" s="34" t="s">
        <v>630</v>
      </c>
      <c r="I179" s="34"/>
      <c r="J179" s="34"/>
      <c r="Z179" t="s">
        <v>663</v>
      </c>
      <c r="AA179" s="34" t="s">
        <v>469</v>
      </c>
      <c r="AC179" s="34" t="s">
        <v>594</v>
      </c>
      <c r="AD179" s="34" t="s">
        <v>594</v>
      </c>
    </row>
    <row r="180" spans="1:45" x14ac:dyDescent="0.25">
      <c r="A180" s="34" t="s">
        <v>631</v>
      </c>
      <c r="C180" s="34" t="s">
        <v>595</v>
      </c>
      <c r="D180" s="34" t="s">
        <v>631</v>
      </c>
      <c r="I180" s="34"/>
      <c r="J180" s="34"/>
      <c r="Z180" t="s">
        <v>663</v>
      </c>
      <c r="AA180" t="s">
        <v>714</v>
      </c>
      <c r="AC180" s="34" t="s">
        <v>595</v>
      </c>
      <c r="AD180" s="34" t="s">
        <v>595</v>
      </c>
    </row>
    <row r="181" spans="1:45" x14ac:dyDescent="0.25">
      <c r="A181" s="34" t="s">
        <v>632</v>
      </c>
      <c r="C181" s="34" t="s">
        <v>596</v>
      </c>
      <c r="D181" s="34" t="s">
        <v>632</v>
      </c>
      <c r="I181" s="34"/>
      <c r="J181" s="34"/>
      <c r="Z181" t="s">
        <v>663</v>
      </c>
      <c r="AA181" t="s">
        <v>715</v>
      </c>
      <c r="AC181" s="34" t="s">
        <v>596</v>
      </c>
      <c r="AD181" s="34" t="s">
        <v>596</v>
      </c>
    </row>
    <row r="182" spans="1:45" x14ac:dyDescent="0.25">
      <c r="A182" s="34" t="s">
        <v>633</v>
      </c>
      <c r="C182" s="34" t="s">
        <v>597</v>
      </c>
      <c r="D182" s="34" t="s">
        <v>633</v>
      </c>
      <c r="I182" s="34"/>
      <c r="J182" s="34"/>
      <c r="Z182" t="s">
        <v>663</v>
      </c>
      <c r="AA182" t="s">
        <v>716</v>
      </c>
      <c r="AC182" s="34" t="s">
        <v>597</v>
      </c>
      <c r="AD182" s="34" t="s">
        <v>597</v>
      </c>
    </row>
    <row r="183" spans="1:45" x14ac:dyDescent="0.25">
      <c r="A183" t="s">
        <v>709</v>
      </c>
      <c r="C183" t="s">
        <v>712</v>
      </c>
      <c r="D183" t="s">
        <v>709</v>
      </c>
      <c r="Z183" t="s">
        <v>663</v>
      </c>
      <c r="AA183" t="s">
        <v>717</v>
      </c>
      <c r="AC183" t="s">
        <v>712</v>
      </c>
      <c r="AD183" t="s">
        <v>712</v>
      </c>
    </row>
    <row r="184" spans="1:45" x14ac:dyDescent="0.25">
      <c r="A184" s="34" t="s">
        <v>460</v>
      </c>
      <c r="B184" s="43"/>
      <c r="C184" s="34" t="s">
        <v>318</v>
      </c>
      <c r="D184" s="34" t="s">
        <v>460</v>
      </c>
      <c r="I184" s="34"/>
      <c r="J184" s="34"/>
      <c r="Z184" t="s">
        <v>663</v>
      </c>
      <c r="AA184" t="s">
        <v>718</v>
      </c>
      <c r="AC184" s="34" t="s">
        <v>318</v>
      </c>
      <c r="AD184" s="34" t="s">
        <v>318</v>
      </c>
    </row>
    <row r="185" spans="1:45" x14ac:dyDescent="0.25">
      <c r="A185" s="34" t="s">
        <v>461</v>
      </c>
      <c r="B185" s="43"/>
      <c r="C185" s="34" t="s">
        <v>319</v>
      </c>
      <c r="D185" s="34" t="s">
        <v>461</v>
      </c>
      <c r="I185" s="34"/>
      <c r="J185" s="34"/>
      <c r="Z185" t="s">
        <v>663</v>
      </c>
      <c r="AA185" t="s">
        <v>719</v>
      </c>
      <c r="AC185" s="34" t="s">
        <v>319</v>
      </c>
      <c r="AD185" s="34" t="s">
        <v>319</v>
      </c>
    </row>
    <row r="186" spans="1:45" x14ac:dyDescent="0.25">
      <c r="A186" s="34" t="s">
        <v>462</v>
      </c>
      <c r="B186" s="43"/>
      <c r="C186" s="34" t="s">
        <v>320</v>
      </c>
      <c r="D186" s="34" t="s">
        <v>462</v>
      </c>
      <c r="I186" s="34"/>
      <c r="J186" s="34"/>
      <c r="Z186" t="s">
        <v>663</v>
      </c>
      <c r="AA186" t="s">
        <v>720</v>
      </c>
      <c r="AC186" s="34" t="s">
        <v>320</v>
      </c>
      <c r="AD186" s="34" t="s">
        <v>320</v>
      </c>
    </row>
    <row r="187" spans="1:45" x14ac:dyDescent="0.25">
      <c r="A187" s="34" t="s">
        <v>463</v>
      </c>
      <c r="B187" s="43"/>
      <c r="C187" s="34" t="s">
        <v>321</v>
      </c>
      <c r="D187" s="34" t="s">
        <v>463</v>
      </c>
      <c r="I187" s="34"/>
      <c r="J187" s="34"/>
      <c r="Z187" t="s">
        <v>663</v>
      </c>
      <c r="AA187" t="s">
        <v>721</v>
      </c>
      <c r="AC187" s="34" t="s">
        <v>321</v>
      </c>
      <c r="AD187" s="34" t="s">
        <v>321</v>
      </c>
    </row>
    <row r="188" spans="1:45" x14ac:dyDescent="0.25">
      <c r="A188" s="34" t="s">
        <v>464</v>
      </c>
      <c r="B188" s="43"/>
      <c r="C188" s="34" t="s">
        <v>322</v>
      </c>
      <c r="D188" s="34" t="s">
        <v>464</v>
      </c>
      <c r="I188" s="34"/>
      <c r="J188" s="34"/>
      <c r="Z188" t="s">
        <v>663</v>
      </c>
      <c r="AA188" t="s">
        <v>722</v>
      </c>
      <c r="AC188" s="34" t="s">
        <v>322</v>
      </c>
      <c r="AD188" s="34" t="s">
        <v>322</v>
      </c>
    </row>
    <row r="189" spans="1:45" x14ac:dyDescent="0.25">
      <c r="A189" t="s">
        <v>714</v>
      </c>
      <c r="C189" t="s">
        <v>734</v>
      </c>
      <c r="D189" t="s">
        <v>714</v>
      </c>
      <c r="I189" s="34"/>
      <c r="J189" s="34"/>
      <c r="Z189" t="s">
        <v>663</v>
      </c>
      <c r="AA189" t="s">
        <v>723</v>
      </c>
      <c r="AC189" t="s">
        <v>734</v>
      </c>
      <c r="AD189" t="s">
        <v>734</v>
      </c>
    </row>
    <row r="190" spans="1:45" x14ac:dyDescent="0.25">
      <c r="A190" t="s">
        <v>715</v>
      </c>
      <c r="C190" t="s">
        <v>735</v>
      </c>
      <c r="D190" t="s">
        <v>715</v>
      </c>
      <c r="I190" s="34"/>
      <c r="J190" s="34"/>
      <c r="Z190" t="s">
        <v>664</v>
      </c>
      <c r="AA190" s="50" t="s">
        <v>465</v>
      </c>
      <c r="AC190" t="s">
        <v>735</v>
      </c>
      <c r="AD190" t="s">
        <v>735</v>
      </c>
    </row>
    <row r="191" spans="1:45" x14ac:dyDescent="0.25">
      <c r="A191" t="s">
        <v>716</v>
      </c>
      <c r="C191" t="s">
        <v>736</v>
      </c>
      <c r="D191" t="s">
        <v>716</v>
      </c>
      <c r="I191" s="34"/>
      <c r="J191" s="34"/>
      <c r="Z191" t="s">
        <v>689</v>
      </c>
      <c r="AA191" s="50" t="s">
        <v>176</v>
      </c>
      <c r="AC191" t="s">
        <v>736</v>
      </c>
      <c r="AD191" t="s">
        <v>736</v>
      </c>
    </row>
    <row r="192" spans="1:45" x14ac:dyDescent="0.25">
      <c r="A192" t="s">
        <v>717</v>
      </c>
      <c r="C192" t="s">
        <v>737</v>
      </c>
      <c r="D192" t="s">
        <v>717</v>
      </c>
      <c r="I192" s="34"/>
      <c r="J192" s="34"/>
      <c r="Z192" t="s">
        <v>689</v>
      </c>
      <c r="AA192" s="50" t="s">
        <v>177</v>
      </c>
      <c r="AC192" t="s">
        <v>737</v>
      </c>
      <c r="AD192" t="s">
        <v>737</v>
      </c>
    </row>
    <row r="193" spans="1:30" x14ac:dyDescent="0.25">
      <c r="A193" t="s">
        <v>718</v>
      </c>
      <c r="C193" t="s">
        <v>738</v>
      </c>
      <c r="D193" t="s">
        <v>718</v>
      </c>
      <c r="I193" s="34"/>
      <c r="J193" s="34"/>
      <c r="Z193" t="s">
        <v>689</v>
      </c>
      <c r="AA193" s="34" t="s">
        <v>616</v>
      </c>
      <c r="AC193" t="s">
        <v>738</v>
      </c>
      <c r="AD193" t="s">
        <v>738</v>
      </c>
    </row>
    <row r="194" spans="1:30" x14ac:dyDescent="0.25">
      <c r="A194" t="s">
        <v>719</v>
      </c>
      <c r="C194" t="s">
        <v>739</v>
      </c>
      <c r="D194" t="s">
        <v>719</v>
      </c>
      <c r="I194" s="34"/>
      <c r="J194" s="34"/>
      <c r="Z194" t="s">
        <v>689</v>
      </c>
      <c r="AA194" s="34" t="s">
        <v>617</v>
      </c>
      <c r="AC194" t="s">
        <v>739</v>
      </c>
      <c r="AD194" t="s">
        <v>739</v>
      </c>
    </row>
    <row r="195" spans="1:30" x14ac:dyDescent="0.25">
      <c r="A195" t="s">
        <v>720</v>
      </c>
      <c r="C195" t="s">
        <v>740</v>
      </c>
      <c r="D195" t="s">
        <v>720</v>
      </c>
      <c r="I195" s="34"/>
      <c r="J195" s="34"/>
      <c r="Z195" t="s">
        <v>689</v>
      </c>
      <c r="AA195" s="34" t="s">
        <v>618</v>
      </c>
      <c r="AC195" t="s">
        <v>740</v>
      </c>
      <c r="AD195" t="s">
        <v>740</v>
      </c>
    </row>
    <row r="196" spans="1:30" x14ac:dyDescent="0.25">
      <c r="A196" t="s">
        <v>721</v>
      </c>
      <c r="C196" t="s">
        <v>741</v>
      </c>
      <c r="D196" t="s">
        <v>721</v>
      </c>
      <c r="I196" s="34"/>
      <c r="J196" s="34"/>
      <c r="Z196" t="s">
        <v>689</v>
      </c>
      <c r="AA196" s="34" t="s">
        <v>619</v>
      </c>
      <c r="AC196" t="s">
        <v>741</v>
      </c>
      <c r="AD196" t="s">
        <v>741</v>
      </c>
    </row>
    <row r="197" spans="1:30" x14ac:dyDescent="0.25">
      <c r="A197" t="s">
        <v>722</v>
      </c>
      <c r="C197" t="s">
        <v>742</v>
      </c>
      <c r="D197" t="s">
        <v>722</v>
      </c>
      <c r="I197" s="34"/>
      <c r="J197" s="34"/>
      <c r="Z197" t="s">
        <v>689</v>
      </c>
      <c r="AA197" s="34" t="s">
        <v>620</v>
      </c>
      <c r="AC197" t="s">
        <v>742</v>
      </c>
      <c r="AD197" t="s">
        <v>742</v>
      </c>
    </row>
    <row r="198" spans="1:30" x14ac:dyDescent="0.25">
      <c r="A198" t="s">
        <v>723</v>
      </c>
      <c r="C198" t="s">
        <v>743</v>
      </c>
      <c r="D198" t="s">
        <v>723</v>
      </c>
      <c r="I198" s="34"/>
      <c r="J198" s="34"/>
      <c r="Z198" t="s">
        <v>689</v>
      </c>
      <c r="AA198" s="34" t="s">
        <v>621</v>
      </c>
      <c r="AC198" t="s">
        <v>743</v>
      </c>
      <c r="AD198" t="s">
        <v>743</v>
      </c>
    </row>
    <row r="199" spans="1:30" x14ac:dyDescent="0.25">
      <c r="A199" s="34" t="s">
        <v>466</v>
      </c>
      <c r="B199" s="44"/>
      <c r="C199" s="34" t="s">
        <v>328</v>
      </c>
      <c r="D199" s="34" t="s">
        <v>466</v>
      </c>
      <c r="I199" s="34"/>
      <c r="J199" s="34"/>
      <c r="Z199" t="s">
        <v>689</v>
      </c>
      <c r="AA199" s="34" t="s">
        <v>622</v>
      </c>
      <c r="AC199" s="34" t="s">
        <v>328</v>
      </c>
      <c r="AD199" s="34" t="s">
        <v>328</v>
      </c>
    </row>
    <row r="200" spans="1:30" x14ac:dyDescent="0.25">
      <c r="A200" s="34" t="s">
        <v>467</v>
      </c>
      <c r="B200" s="34"/>
      <c r="C200" s="34" t="s">
        <v>329</v>
      </c>
      <c r="D200" s="34" t="s">
        <v>467</v>
      </c>
      <c r="I200" s="34"/>
      <c r="J200" s="34"/>
      <c r="Z200" t="s">
        <v>689</v>
      </c>
      <c r="AA200" s="34" t="s">
        <v>623</v>
      </c>
      <c r="AC200" s="34" t="s">
        <v>329</v>
      </c>
      <c r="AD200" s="34" t="s">
        <v>329</v>
      </c>
    </row>
    <row r="201" spans="1:30" x14ac:dyDescent="0.25">
      <c r="A201" s="34" t="s">
        <v>468</v>
      </c>
      <c r="B201" s="42"/>
      <c r="C201" s="34" t="s">
        <v>330</v>
      </c>
      <c r="D201" s="34" t="s">
        <v>468</v>
      </c>
      <c r="I201" s="34"/>
      <c r="J201" s="34"/>
      <c r="Z201" t="s">
        <v>689</v>
      </c>
      <c r="AA201" s="34" t="s">
        <v>624</v>
      </c>
      <c r="AC201" s="34" t="s">
        <v>330</v>
      </c>
      <c r="AD201" s="34" t="s">
        <v>330</v>
      </c>
    </row>
    <row r="202" spans="1:30" x14ac:dyDescent="0.25">
      <c r="A202" s="34" t="s">
        <v>469</v>
      </c>
      <c r="B202" s="34"/>
      <c r="C202" s="34" t="s">
        <v>331</v>
      </c>
      <c r="D202" s="34" t="s">
        <v>469</v>
      </c>
      <c r="I202" s="34"/>
      <c r="J202" s="34"/>
      <c r="Z202" t="s">
        <v>689</v>
      </c>
      <c r="AA202" s="34" t="s">
        <v>625</v>
      </c>
      <c r="AC202" s="34" t="s">
        <v>331</v>
      </c>
      <c r="AD202" s="34" t="s">
        <v>331</v>
      </c>
    </row>
    <row r="203" spans="1:30" x14ac:dyDescent="0.25">
      <c r="A203" s="34" t="s">
        <v>465</v>
      </c>
      <c r="B203" s="34"/>
      <c r="C203" s="34" t="s">
        <v>323</v>
      </c>
      <c r="D203" s="34" t="s">
        <v>465</v>
      </c>
      <c r="I203" s="34"/>
      <c r="J203" s="34"/>
      <c r="Z203" t="s">
        <v>689</v>
      </c>
      <c r="AA203" s="34" t="s">
        <v>626</v>
      </c>
      <c r="AC203" s="34" t="s">
        <v>323</v>
      </c>
      <c r="AD203" s="34" t="s">
        <v>323</v>
      </c>
    </row>
    <row r="204" spans="1:30" x14ac:dyDescent="0.25">
      <c r="A204" s="34" t="s">
        <v>177</v>
      </c>
      <c r="B204" s="44"/>
      <c r="C204" s="34" t="s">
        <v>324</v>
      </c>
      <c r="D204" s="34" t="s">
        <v>177</v>
      </c>
      <c r="I204" s="34"/>
      <c r="J204" s="34"/>
      <c r="Z204" t="s">
        <v>689</v>
      </c>
      <c r="AA204" s="34" t="s">
        <v>627</v>
      </c>
      <c r="AC204" s="34" t="s">
        <v>324</v>
      </c>
      <c r="AD204" s="34" t="s">
        <v>324</v>
      </c>
    </row>
    <row r="205" spans="1:30" x14ac:dyDescent="0.25">
      <c r="A205" s="34" t="s">
        <v>470</v>
      </c>
      <c r="B205" s="34"/>
      <c r="C205" s="34" t="s">
        <v>325</v>
      </c>
      <c r="D205" s="34" t="s">
        <v>470</v>
      </c>
      <c r="I205" s="34"/>
      <c r="J205" s="34"/>
      <c r="Z205" t="s">
        <v>689</v>
      </c>
      <c r="AA205" s="34" t="s">
        <v>628</v>
      </c>
      <c r="AC205" s="34" t="s">
        <v>325</v>
      </c>
      <c r="AD205" s="34" t="s">
        <v>325</v>
      </c>
    </row>
    <row r="206" spans="1:30" x14ac:dyDescent="0.25">
      <c r="A206" s="34" t="s">
        <v>471</v>
      </c>
      <c r="B206" s="34"/>
      <c r="C206" s="34" t="s">
        <v>326</v>
      </c>
      <c r="D206" s="34" t="s">
        <v>471</v>
      </c>
      <c r="I206" s="34"/>
      <c r="J206" s="34"/>
      <c r="Z206" t="s">
        <v>689</v>
      </c>
      <c r="AA206" s="34" t="s">
        <v>629</v>
      </c>
      <c r="AC206" s="34" t="s">
        <v>326</v>
      </c>
      <c r="AD206" s="34" t="s">
        <v>326</v>
      </c>
    </row>
    <row r="207" spans="1:30" x14ac:dyDescent="0.25">
      <c r="A207" s="34" t="s">
        <v>477</v>
      </c>
      <c r="B207" s="34"/>
      <c r="C207" s="34" t="s">
        <v>478</v>
      </c>
      <c r="D207" s="34" t="s">
        <v>477</v>
      </c>
      <c r="I207" s="34"/>
      <c r="J207" s="34"/>
      <c r="Z207" t="s">
        <v>689</v>
      </c>
      <c r="AA207" s="34" t="s">
        <v>630</v>
      </c>
      <c r="AC207" s="34" t="s">
        <v>478</v>
      </c>
      <c r="AD207" s="34" t="s">
        <v>478</v>
      </c>
    </row>
    <row r="208" spans="1:30" x14ac:dyDescent="0.25">
      <c r="A208" s="34" t="s">
        <v>178</v>
      </c>
      <c r="B208" s="34"/>
      <c r="C208" s="34" t="s">
        <v>479</v>
      </c>
      <c r="D208" s="34" t="s">
        <v>178</v>
      </c>
      <c r="I208" s="34"/>
      <c r="J208" s="34"/>
      <c r="Z208" t="s">
        <v>689</v>
      </c>
      <c r="AA208" s="34" t="s">
        <v>631</v>
      </c>
      <c r="AC208" s="34" t="s">
        <v>479</v>
      </c>
      <c r="AD208" s="34" t="s">
        <v>479</v>
      </c>
    </row>
    <row r="209" spans="1:30" x14ac:dyDescent="0.25">
      <c r="A209" s="34" t="s">
        <v>476</v>
      </c>
      <c r="B209" s="34"/>
      <c r="C209" s="34" t="s">
        <v>480</v>
      </c>
      <c r="D209" s="34" t="s">
        <v>476</v>
      </c>
      <c r="I209" s="34"/>
      <c r="J209" s="34"/>
      <c r="Z209" t="s">
        <v>689</v>
      </c>
      <c r="AA209" s="34" t="s">
        <v>632</v>
      </c>
      <c r="AC209" s="34" t="s">
        <v>480</v>
      </c>
      <c r="AD209" s="34" t="s">
        <v>480</v>
      </c>
    </row>
    <row r="210" spans="1:30" x14ac:dyDescent="0.25">
      <c r="A210" s="34" t="s">
        <v>559</v>
      </c>
      <c r="B210" s="34"/>
      <c r="C210" s="34" t="s">
        <v>551</v>
      </c>
      <c r="D210" s="34" t="s">
        <v>559</v>
      </c>
      <c r="I210" s="34"/>
      <c r="J210" s="34"/>
      <c r="Z210" t="s">
        <v>689</v>
      </c>
      <c r="AA210" s="34" t="s">
        <v>633</v>
      </c>
      <c r="AC210" s="34" t="s">
        <v>551</v>
      </c>
      <c r="AD210" s="34" t="s">
        <v>551</v>
      </c>
    </row>
    <row r="211" spans="1:30" x14ac:dyDescent="0.25">
      <c r="A211" s="34" t="s">
        <v>560</v>
      </c>
      <c r="B211" s="34"/>
      <c r="C211" s="34" t="s">
        <v>552</v>
      </c>
      <c r="D211" s="34" t="s">
        <v>560</v>
      </c>
      <c r="I211" s="34"/>
      <c r="J211" s="34"/>
      <c r="Z211" t="s">
        <v>689</v>
      </c>
      <c r="AA211" s="34" t="s">
        <v>709</v>
      </c>
      <c r="AC211" s="34" t="s">
        <v>552</v>
      </c>
      <c r="AD211" s="34" t="s">
        <v>552</v>
      </c>
    </row>
    <row r="212" spans="1:30" x14ac:dyDescent="0.25">
      <c r="A212" s="34" t="s">
        <v>561</v>
      </c>
      <c r="B212" s="34"/>
      <c r="C212" s="34" t="s">
        <v>553</v>
      </c>
      <c r="D212" s="34" t="s">
        <v>561</v>
      </c>
      <c r="I212" s="34"/>
      <c r="J212" s="34"/>
      <c r="Z212" t="s">
        <v>669</v>
      </c>
      <c r="AA212" s="42" t="s">
        <v>472</v>
      </c>
      <c r="AC212" s="34" t="s">
        <v>553</v>
      </c>
      <c r="AD212" s="34" t="s">
        <v>553</v>
      </c>
    </row>
    <row r="213" spans="1:30" x14ac:dyDescent="0.25">
      <c r="A213" s="34" t="s">
        <v>562</v>
      </c>
      <c r="B213" s="34"/>
      <c r="C213" s="34" t="s">
        <v>554</v>
      </c>
      <c r="D213" s="34" t="s">
        <v>562</v>
      </c>
      <c r="I213" s="34"/>
      <c r="J213" s="34"/>
      <c r="Z213" t="s">
        <v>668</v>
      </c>
      <c r="AA213" s="42" t="s">
        <v>473</v>
      </c>
      <c r="AC213" s="34" t="s">
        <v>554</v>
      </c>
      <c r="AD213" s="34" t="s">
        <v>554</v>
      </c>
    </row>
    <row r="214" spans="1:30" x14ac:dyDescent="0.25">
      <c r="A214" s="34" t="s">
        <v>563</v>
      </c>
      <c r="B214" s="46"/>
      <c r="C214" s="34" t="s">
        <v>555</v>
      </c>
      <c r="D214" s="34" t="s">
        <v>563</v>
      </c>
      <c r="I214" s="34"/>
      <c r="J214" s="34"/>
      <c r="Z214" t="s">
        <v>667</v>
      </c>
      <c r="AA214" s="42" t="s">
        <v>568</v>
      </c>
      <c r="AC214" s="34" t="s">
        <v>555</v>
      </c>
      <c r="AD214" s="34" t="s">
        <v>555</v>
      </c>
    </row>
    <row r="215" spans="1:30" x14ac:dyDescent="0.25">
      <c r="A215" t="s">
        <v>724</v>
      </c>
      <c r="C215" t="s">
        <v>744</v>
      </c>
      <c r="D215" t="s">
        <v>724</v>
      </c>
      <c r="I215" s="34"/>
      <c r="J215" s="34"/>
      <c r="Z215" t="s">
        <v>688</v>
      </c>
      <c r="AA215" s="51" t="s">
        <v>571</v>
      </c>
      <c r="AC215" s="34" t="s">
        <v>551</v>
      </c>
      <c r="AD215" s="34" t="s">
        <v>551</v>
      </c>
    </row>
    <row r="216" spans="1:30" x14ac:dyDescent="0.25">
      <c r="A216" t="s">
        <v>725</v>
      </c>
      <c r="C216" t="s">
        <v>745</v>
      </c>
      <c r="D216" t="s">
        <v>725</v>
      </c>
      <c r="I216" s="34"/>
      <c r="J216" s="34"/>
      <c r="Z216" t="s">
        <v>666</v>
      </c>
      <c r="AA216" s="42" t="s">
        <v>569</v>
      </c>
      <c r="AC216" s="34" t="s">
        <v>552</v>
      </c>
      <c r="AD216" s="34" t="s">
        <v>552</v>
      </c>
    </row>
    <row r="217" spans="1:30" x14ac:dyDescent="0.25">
      <c r="A217" t="s">
        <v>726</v>
      </c>
      <c r="C217" t="s">
        <v>746</v>
      </c>
      <c r="D217" t="s">
        <v>726</v>
      </c>
      <c r="I217" s="34"/>
      <c r="J217" s="34"/>
      <c r="Z217" t="s">
        <v>665</v>
      </c>
      <c r="AA217" s="34" t="s">
        <v>559</v>
      </c>
      <c r="AC217" s="34" t="s">
        <v>553</v>
      </c>
      <c r="AD217" s="34" t="s">
        <v>553</v>
      </c>
    </row>
    <row r="218" spans="1:30" x14ac:dyDescent="0.25">
      <c r="A218" t="s">
        <v>727</v>
      </c>
      <c r="C218" t="s">
        <v>747</v>
      </c>
      <c r="D218" t="s">
        <v>727</v>
      </c>
      <c r="I218" s="34"/>
      <c r="J218" s="34"/>
      <c r="Z218" t="s">
        <v>665</v>
      </c>
      <c r="AA218" s="34" t="s">
        <v>560</v>
      </c>
      <c r="AC218" s="34" t="s">
        <v>554</v>
      </c>
      <c r="AD218" s="34" t="s">
        <v>554</v>
      </c>
    </row>
    <row r="219" spans="1:30" x14ac:dyDescent="0.25">
      <c r="A219" t="s">
        <v>728</v>
      </c>
      <c r="C219" t="s">
        <v>748</v>
      </c>
      <c r="D219" t="s">
        <v>728</v>
      </c>
      <c r="I219" s="34"/>
      <c r="J219" s="34"/>
      <c r="Z219" t="s">
        <v>665</v>
      </c>
      <c r="AA219" s="34" t="s">
        <v>561</v>
      </c>
      <c r="AC219" s="34" t="s">
        <v>555</v>
      </c>
      <c r="AD219" s="34" t="s">
        <v>555</v>
      </c>
    </row>
    <row r="220" spans="1:30" x14ac:dyDescent="0.25">
      <c r="A220" t="s">
        <v>729</v>
      </c>
      <c r="C220" t="s">
        <v>749</v>
      </c>
      <c r="D220" t="s">
        <v>729</v>
      </c>
      <c r="I220" s="34"/>
      <c r="J220" s="34"/>
      <c r="Z220" t="s">
        <v>665</v>
      </c>
      <c r="AA220" s="34" t="s">
        <v>562</v>
      </c>
      <c r="AC220" t="s">
        <v>744</v>
      </c>
      <c r="AD220" t="s">
        <v>744</v>
      </c>
    </row>
    <row r="221" spans="1:30" x14ac:dyDescent="0.25">
      <c r="A221" t="s">
        <v>730</v>
      </c>
      <c r="C221" t="s">
        <v>750</v>
      </c>
      <c r="D221" t="s">
        <v>730</v>
      </c>
      <c r="I221" s="34"/>
      <c r="J221" s="34"/>
      <c r="Z221" t="s">
        <v>665</v>
      </c>
      <c r="AA221" s="34" t="s">
        <v>563</v>
      </c>
      <c r="AC221" t="s">
        <v>745</v>
      </c>
      <c r="AD221" t="s">
        <v>745</v>
      </c>
    </row>
    <row r="222" spans="1:30" x14ac:dyDescent="0.25">
      <c r="A222" t="s">
        <v>731</v>
      </c>
      <c r="C222" t="s">
        <v>751</v>
      </c>
      <c r="D222" t="s">
        <v>731</v>
      </c>
      <c r="I222" s="34"/>
      <c r="J222" s="34"/>
      <c r="Z222" t="s">
        <v>665</v>
      </c>
      <c r="AA222" s="34" t="s">
        <v>564</v>
      </c>
      <c r="AC222" t="s">
        <v>746</v>
      </c>
      <c r="AD222" t="s">
        <v>746</v>
      </c>
    </row>
    <row r="223" spans="1:30" x14ac:dyDescent="0.25">
      <c r="A223" t="s">
        <v>732</v>
      </c>
      <c r="C223" t="s">
        <v>752</v>
      </c>
      <c r="D223" t="s">
        <v>732</v>
      </c>
      <c r="I223" s="34"/>
      <c r="J223" s="34"/>
      <c r="Z223" t="s">
        <v>665</v>
      </c>
      <c r="AA223" s="34" t="s">
        <v>565</v>
      </c>
      <c r="AC223" t="s">
        <v>747</v>
      </c>
      <c r="AD223" t="s">
        <v>747</v>
      </c>
    </row>
    <row r="224" spans="1:30" x14ac:dyDescent="0.25">
      <c r="A224" t="s">
        <v>733</v>
      </c>
      <c r="C224" t="s">
        <v>753</v>
      </c>
      <c r="D224" t="s">
        <v>733</v>
      </c>
      <c r="I224" s="34"/>
      <c r="J224" s="34"/>
      <c r="Z224" t="s">
        <v>665</v>
      </c>
      <c r="AA224" s="34" t="s">
        <v>634</v>
      </c>
      <c r="AC224" t="s">
        <v>748</v>
      </c>
      <c r="AD224" t="s">
        <v>748</v>
      </c>
    </row>
    <row r="225" spans="1:30" x14ac:dyDescent="0.25">
      <c r="A225" s="34" t="s">
        <v>693</v>
      </c>
      <c r="B225" s="33"/>
      <c r="C225" s="34" t="s">
        <v>697</v>
      </c>
      <c r="D225" s="34" t="s">
        <v>693</v>
      </c>
      <c r="I225" s="34"/>
      <c r="J225" s="34"/>
      <c r="Z225" t="s">
        <v>665</v>
      </c>
      <c r="AA225" s="34" t="s">
        <v>635</v>
      </c>
      <c r="AC225" t="s">
        <v>749</v>
      </c>
      <c r="AD225" t="s">
        <v>749</v>
      </c>
    </row>
    <row r="226" spans="1:30" x14ac:dyDescent="0.25">
      <c r="A226" s="34" t="s">
        <v>694</v>
      </c>
      <c r="C226" s="34" t="s">
        <v>698</v>
      </c>
      <c r="D226" s="34" t="s">
        <v>694</v>
      </c>
      <c r="I226" s="34"/>
      <c r="J226" s="34"/>
      <c r="Z226" t="s">
        <v>665</v>
      </c>
      <c r="AA226" s="34" t="s">
        <v>636</v>
      </c>
      <c r="AC226" t="s">
        <v>750</v>
      </c>
      <c r="AD226" t="s">
        <v>750</v>
      </c>
    </row>
    <row r="227" spans="1:30" x14ac:dyDescent="0.25">
      <c r="A227" s="34" t="s">
        <v>695</v>
      </c>
      <c r="C227" s="34" t="s">
        <v>699</v>
      </c>
      <c r="D227" s="34" t="s">
        <v>695</v>
      </c>
      <c r="I227" s="34"/>
      <c r="J227" s="34"/>
      <c r="Z227" t="s">
        <v>665</v>
      </c>
      <c r="AA227" s="34" t="s">
        <v>637</v>
      </c>
      <c r="AC227" t="s">
        <v>751</v>
      </c>
      <c r="AD227" t="s">
        <v>751</v>
      </c>
    </row>
    <row r="228" spans="1:30" x14ac:dyDescent="0.25">
      <c r="A228" s="34" t="s">
        <v>696</v>
      </c>
      <c r="C228" s="34" t="s">
        <v>700</v>
      </c>
      <c r="D228" s="34" t="s">
        <v>696</v>
      </c>
      <c r="I228" s="34"/>
      <c r="J228" s="34"/>
      <c r="Z228" t="s">
        <v>665</v>
      </c>
      <c r="AA228" s="34" t="s">
        <v>638</v>
      </c>
      <c r="AC228" t="s">
        <v>752</v>
      </c>
      <c r="AD228" t="s">
        <v>752</v>
      </c>
    </row>
    <row r="229" spans="1:30" x14ac:dyDescent="0.25">
      <c r="A229" s="34" t="s">
        <v>564</v>
      </c>
      <c r="B229" s="46"/>
      <c r="C229" s="34" t="s">
        <v>556</v>
      </c>
      <c r="D229" s="34" t="s">
        <v>564</v>
      </c>
      <c r="I229" s="34"/>
      <c r="J229" s="34"/>
      <c r="Z229" t="s">
        <v>665</v>
      </c>
      <c r="AA229" s="34" t="s">
        <v>639</v>
      </c>
      <c r="AC229" t="s">
        <v>753</v>
      </c>
      <c r="AD229" t="s">
        <v>753</v>
      </c>
    </row>
    <row r="230" spans="1:30" x14ac:dyDescent="0.25">
      <c r="A230" s="34" t="s">
        <v>565</v>
      </c>
      <c r="B230" s="46"/>
      <c r="C230" s="34" t="s">
        <v>557</v>
      </c>
      <c r="D230" s="34" t="s">
        <v>565</v>
      </c>
      <c r="I230" s="34"/>
      <c r="J230" s="34"/>
      <c r="Z230" t="s">
        <v>665</v>
      </c>
      <c r="AA230" s="34" t="s">
        <v>640</v>
      </c>
      <c r="AC230" s="34" t="s">
        <v>697</v>
      </c>
      <c r="AD230" s="34" t="s">
        <v>697</v>
      </c>
    </row>
    <row r="231" spans="1:30" x14ac:dyDescent="0.25">
      <c r="A231" s="34" t="s">
        <v>634</v>
      </c>
      <c r="C231" s="34" t="s">
        <v>598</v>
      </c>
      <c r="D231" s="34" t="s">
        <v>634</v>
      </c>
      <c r="I231" s="34"/>
      <c r="J231" s="34"/>
      <c r="Z231" t="s">
        <v>665</v>
      </c>
      <c r="AA231" s="34" t="s">
        <v>641</v>
      </c>
      <c r="AC231" s="34" t="s">
        <v>698</v>
      </c>
      <c r="AD231" s="34" t="s">
        <v>698</v>
      </c>
    </row>
    <row r="232" spans="1:30" x14ac:dyDescent="0.25">
      <c r="A232" s="34" t="s">
        <v>635</v>
      </c>
      <c r="C232" s="34" t="s">
        <v>599</v>
      </c>
      <c r="D232" s="34" t="s">
        <v>635</v>
      </c>
      <c r="I232" s="34"/>
      <c r="J232" s="34"/>
      <c r="Z232" t="s">
        <v>665</v>
      </c>
      <c r="AA232" s="34" t="s">
        <v>642</v>
      </c>
      <c r="AC232" s="34" t="s">
        <v>699</v>
      </c>
      <c r="AD232" s="34" t="s">
        <v>699</v>
      </c>
    </row>
    <row r="233" spans="1:30" x14ac:dyDescent="0.25">
      <c r="A233" s="34" t="s">
        <v>636</v>
      </c>
      <c r="C233" s="34" t="s">
        <v>600</v>
      </c>
      <c r="D233" s="34" t="s">
        <v>636</v>
      </c>
      <c r="I233" s="34"/>
      <c r="J233" s="34"/>
      <c r="Z233" t="s">
        <v>665</v>
      </c>
      <c r="AA233" s="34" t="s">
        <v>643</v>
      </c>
      <c r="AC233" s="34" t="s">
        <v>700</v>
      </c>
      <c r="AD233" s="34" t="s">
        <v>700</v>
      </c>
    </row>
    <row r="234" spans="1:30" x14ac:dyDescent="0.25">
      <c r="A234" s="34" t="s">
        <v>637</v>
      </c>
      <c r="C234" s="34" t="s">
        <v>601</v>
      </c>
      <c r="D234" s="34" t="s">
        <v>637</v>
      </c>
      <c r="I234" s="34"/>
      <c r="J234" s="34"/>
      <c r="Z234" t="s">
        <v>665</v>
      </c>
      <c r="AA234" s="34" t="s">
        <v>644</v>
      </c>
      <c r="AC234" s="34" t="s">
        <v>556</v>
      </c>
      <c r="AD234" s="34" t="s">
        <v>556</v>
      </c>
    </row>
    <row r="235" spans="1:30" x14ac:dyDescent="0.25">
      <c r="A235" s="34" t="s">
        <v>638</v>
      </c>
      <c r="C235" s="34" t="s">
        <v>602</v>
      </c>
      <c r="D235" s="34" t="s">
        <v>638</v>
      </c>
      <c r="I235" s="34"/>
      <c r="J235" s="34"/>
      <c r="Z235" t="s">
        <v>665</v>
      </c>
      <c r="AA235" s="34" t="s">
        <v>645</v>
      </c>
      <c r="AC235" s="34" t="s">
        <v>557</v>
      </c>
      <c r="AD235" s="34" t="s">
        <v>557</v>
      </c>
    </row>
    <row r="236" spans="1:30" x14ac:dyDescent="0.25">
      <c r="A236" s="34" t="s">
        <v>639</v>
      </c>
      <c r="C236" s="34" t="s">
        <v>603</v>
      </c>
      <c r="D236" s="34" t="s">
        <v>639</v>
      </c>
      <c r="I236" s="34"/>
      <c r="J236" s="34"/>
      <c r="Z236" t="s">
        <v>665</v>
      </c>
      <c r="AA236" s="34" t="s">
        <v>646</v>
      </c>
      <c r="AC236" s="34" t="s">
        <v>598</v>
      </c>
      <c r="AD236" s="34" t="s">
        <v>598</v>
      </c>
    </row>
    <row r="237" spans="1:30" x14ac:dyDescent="0.25">
      <c r="A237" s="34" t="s">
        <v>640</v>
      </c>
      <c r="C237" s="34" t="s">
        <v>604</v>
      </c>
      <c r="D237" s="34" t="s">
        <v>640</v>
      </c>
      <c r="I237" s="34"/>
      <c r="J237" s="34"/>
      <c r="Z237" t="s">
        <v>665</v>
      </c>
      <c r="AA237" s="34" t="s">
        <v>647</v>
      </c>
      <c r="AC237" s="34" t="s">
        <v>599</v>
      </c>
      <c r="AD237" s="34" t="s">
        <v>599</v>
      </c>
    </row>
    <row r="238" spans="1:30" x14ac:dyDescent="0.25">
      <c r="A238" s="34" t="s">
        <v>641</v>
      </c>
      <c r="C238" s="34" t="s">
        <v>605</v>
      </c>
      <c r="D238" s="34" t="s">
        <v>641</v>
      </c>
      <c r="Z238" t="s">
        <v>665</v>
      </c>
      <c r="AA238" s="34" t="s">
        <v>648</v>
      </c>
      <c r="AC238" s="34" t="s">
        <v>600</v>
      </c>
      <c r="AD238" s="34" t="s">
        <v>600</v>
      </c>
    </row>
    <row r="239" spans="1:30" x14ac:dyDescent="0.25">
      <c r="A239" s="34" t="s">
        <v>642</v>
      </c>
      <c r="C239" s="34" t="s">
        <v>606</v>
      </c>
      <c r="D239" s="34" t="s">
        <v>642</v>
      </c>
      <c r="Z239" t="s">
        <v>665</v>
      </c>
      <c r="AA239" s="34" t="s">
        <v>649</v>
      </c>
      <c r="AC239" s="34" t="s">
        <v>601</v>
      </c>
      <c r="AD239" s="34" t="s">
        <v>601</v>
      </c>
    </row>
    <row r="240" spans="1:30" x14ac:dyDescent="0.25">
      <c r="A240" s="34" t="s">
        <v>643</v>
      </c>
      <c r="C240" s="34" t="s">
        <v>607</v>
      </c>
      <c r="D240" s="34" t="s">
        <v>643</v>
      </c>
      <c r="Z240" t="s">
        <v>665</v>
      </c>
      <c r="AA240" s="34" t="s">
        <v>650</v>
      </c>
      <c r="AC240" s="34" t="s">
        <v>602</v>
      </c>
      <c r="AD240" s="34" t="s">
        <v>602</v>
      </c>
    </row>
    <row r="241" spans="1:30" x14ac:dyDescent="0.25">
      <c r="A241" s="34" t="s">
        <v>644</v>
      </c>
      <c r="C241" s="34" t="s">
        <v>608</v>
      </c>
      <c r="D241" s="34" t="s">
        <v>644</v>
      </c>
      <c r="Z241" t="s">
        <v>665</v>
      </c>
      <c r="AA241" s="34" t="s">
        <v>651</v>
      </c>
      <c r="AC241" s="34" t="s">
        <v>603</v>
      </c>
      <c r="AD241" s="34" t="s">
        <v>603</v>
      </c>
    </row>
    <row r="242" spans="1:30" x14ac:dyDescent="0.25">
      <c r="A242" s="34" t="s">
        <v>645</v>
      </c>
      <c r="C242" s="34" t="s">
        <v>609</v>
      </c>
      <c r="D242" s="34" t="s">
        <v>645</v>
      </c>
      <c r="Z242" t="s">
        <v>665</v>
      </c>
      <c r="AA242" s="34" t="s">
        <v>692</v>
      </c>
      <c r="AC242" s="34" t="s">
        <v>604</v>
      </c>
      <c r="AD242" s="34" t="s">
        <v>604</v>
      </c>
    </row>
    <row r="243" spans="1:30" x14ac:dyDescent="0.25">
      <c r="A243" s="34" t="s">
        <v>646</v>
      </c>
      <c r="C243" s="34" t="s">
        <v>610</v>
      </c>
      <c r="D243" s="34" t="s">
        <v>646</v>
      </c>
      <c r="Z243" t="s">
        <v>665</v>
      </c>
      <c r="AA243" s="34" t="s">
        <v>693</v>
      </c>
      <c r="AC243" s="34" t="s">
        <v>605</v>
      </c>
      <c r="AD243" s="34" t="s">
        <v>605</v>
      </c>
    </row>
    <row r="244" spans="1:30" x14ac:dyDescent="0.25">
      <c r="A244" s="34" t="s">
        <v>647</v>
      </c>
      <c r="C244" s="34" t="s">
        <v>611</v>
      </c>
      <c r="D244" s="34" t="s">
        <v>647</v>
      </c>
      <c r="Z244" t="s">
        <v>665</v>
      </c>
      <c r="AA244" s="34" t="s">
        <v>694</v>
      </c>
      <c r="AC244" s="34" t="s">
        <v>606</v>
      </c>
      <c r="AD244" s="34" t="s">
        <v>606</v>
      </c>
    </row>
    <row r="245" spans="1:30" x14ac:dyDescent="0.25">
      <c r="A245" s="34" t="s">
        <v>648</v>
      </c>
      <c r="C245" s="34" t="s">
        <v>612</v>
      </c>
      <c r="D245" s="34" t="s">
        <v>648</v>
      </c>
      <c r="Z245" t="s">
        <v>665</v>
      </c>
      <c r="AA245" s="34" t="s">
        <v>695</v>
      </c>
      <c r="AC245" s="34" t="s">
        <v>607</v>
      </c>
      <c r="AD245" s="34" t="s">
        <v>607</v>
      </c>
    </row>
    <row r="246" spans="1:30" x14ac:dyDescent="0.25">
      <c r="A246" s="34" t="s">
        <v>649</v>
      </c>
      <c r="C246" s="34" t="s">
        <v>613</v>
      </c>
      <c r="D246" s="34" t="s">
        <v>649</v>
      </c>
      <c r="Z246" t="s">
        <v>665</v>
      </c>
      <c r="AA246" s="34" t="s">
        <v>696</v>
      </c>
      <c r="AC246" s="34" t="s">
        <v>608</v>
      </c>
      <c r="AD246" s="34" t="s">
        <v>608</v>
      </c>
    </row>
    <row r="247" spans="1:30" x14ac:dyDescent="0.25">
      <c r="A247" s="34" t="s">
        <v>650</v>
      </c>
      <c r="C247" s="34" t="s">
        <v>614</v>
      </c>
      <c r="D247" s="34" t="s">
        <v>650</v>
      </c>
      <c r="Z247" t="s">
        <v>665</v>
      </c>
      <c r="AA247" s="34" t="s">
        <v>711</v>
      </c>
      <c r="AC247" s="34" t="s">
        <v>609</v>
      </c>
      <c r="AD247" s="34" t="s">
        <v>609</v>
      </c>
    </row>
    <row r="248" spans="1:30" x14ac:dyDescent="0.25">
      <c r="A248" s="34" t="s">
        <v>651</v>
      </c>
      <c r="C248" s="34" t="s">
        <v>615</v>
      </c>
      <c r="D248" s="34" t="s">
        <v>651</v>
      </c>
      <c r="Z248" t="s">
        <v>665</v>
      </c>
      <c r="AA248" t="s">
        <v>724</v>
      </c>
      <c r="AC248" s="34" t="s">
        <v>610</v>
      </c>
      <c r="AD248" s="34" t="s">
        <v>610</v>
      </c>
    </row>
    <row r="249" spans="1:30" x14ac:dyDescent="0.25">
      <c r="A249" t="s">
        <v>711</v>
      </c>
      <c r="C249" t="s">
        <v>710</v>
      </c>
      <c r="D249" t="s">
        <v>711</v>
      </c>
      <c r="Z249" t="s">
        <v>665</v>
      </c>
      <c r="AA249" t="s">
        <v>725</v>
      </c>
      <c r="AC249" s="34" t="s">
        <v>611</v>
      </c>
      <c r="AD249" s="34" t="s">
        <v>611</v>
      </c>
    </row>
    <row r="250" spans="1:30" x14ac:dyDescent="0.25">
      <c r="A250" s="34" t="s">
        <v>566</v>
      </c>
      <c r="B250" s="34"/>
      <c r="C250" s="34" t="s">
        <v>558</v>
      </c>
      <c r="D250" s="34" t="s">
        <v>566</v>
      </c>
      <c r="Z250" t="s">
        <v>665</v>
      </c>
      <c r="AA250" t="s">
        <v>726</v>
      </c>
      <c r="AC250" s="34" t="s">
        <v>612</v>
      </c>
      <c r="AD250" s="34" t="s">
        <v>612</v>
      </c>
    </row>
    <row r="251" spans="1:30" x14ac:dyDescent="0.25">
      <c r="A251" s="34" t="s">
        <v>569</v>
      </c>
      <c r="C251" s="34" t="s">
        <v>570</v>
      </c>
      <c r="D251" s="34" t="s">
        <v>569</v>
      </c>
      <c r="Z251" t="s">
        <v>665</v>
      </c>
      <c r="AA251" t="s">
        <v>727</v>
      </c>
      <c r="AC251" s="34" t="s">
        <v>613</v>
      </c>
      <c r="AD251" s="34" t="s">
        <v>613</v>
      </c>
    </row>
    <row r="252" spans="1:30" x14ac:dyDescent="0.25">
      <c r="A252" s="34" t="s">
        <v>571</v>
      </c>
      <c r="C252" s="34" t="s">
        <v>572</v>
      </c>
      <c r="D252" s="34" t="s">
        <v>571</v>
      </c>
      <c r="Z252" t="s">
        <v>665</v>
      </c>
      <c r="AA252" t="s">
        <v>728</v>
      </c>
      <c r="AC252" s="34" t="s">
        <v>614</v>
      </c>
      <c r="AD252" s="34" t="s">
        <v>614</v>
      </c>
    </row>
    <row r="253" spans="1:30" x14ac:dyDescent="0.25">
      <c r="A253" s="34" t="s">
        <v>573</v>
      </c>
      <c r="C253" s="34" t="s">
        <v>574</v>
      </c>
      <c r="D253" s="34" t="s">
        <v>573</v>
      </c>
      <c r="Z253" t="s">
        <v>665</v>
      </c>
      <c r="AA253" t="s">
        <v>729</v>
      </c>
      <c r="AC253" s="34" t="s">
        <v>615</v>
      </c>
      <c r="AD253" s="34" t="s">
        <v>615</v>
      </c>
    </row>
    <row r="254" spans="1:30" x14ac:dyDescent="0.25">
      <c r="A254" s="34" t="s">
        <v>575</v>
      </c>
      <c r="C254" s="34" t="s">
        <v>576</v>
      </c>
      <c r="D254" s="34" t="s">
        <v>575</v>
      </c>
      <c r="Z254" t="s">
        <v>665</v>
      </c>
      <c r="AA254" t="s">
        <v>730</v>
      </c>
      <c r="AC254" s="34" t="s">
        <v>710</v>
      </c>
      <c r="AD254" s="34" t="s">
        <v>710</v>
      </c>
    </row>
    <row r="255" spans="1:30" x14ac:dyDescent="0.25">
      <c r="A255" s="34" t="s">
        <v>568</v>
      </c>
      <c r="C255" s="34" t="s">
        <v>567</v>
      </c>
      <c r="D255" s="34" t="s">
        <v>568</v>
      </c>
      <c r="Z255" t="s">
        <v>665</v>
      </c>
      <c r="AA255" t="s">
        <v>731</v>
      </c>
      <c r="AC255" s="34" t="s">
        <v>558</v>
      </c>
      <c r="AD255" s="34" t="s">
        <v>558</v>
      </c>
    </row>
    <row r="256" spans="1:30" x14ac:dyDescent="0.25">
      <c r="A256" s="34" t="s">
        <v>577</v>
      </c>
      <c r="C256" s="34" t="s">
        <v>578</v>
      </c>
      <c r="D256" s="34" t="s">
        <v>577</v>
      </c>
      <c r="Z256" t="s">
        <v>665</v>
      </c>
      <c r="AA256" t="s">
        <v>732</v>
      </c>
      <c r="AC256" s="34" t="s">
        <v>570</v>
      </c>
      <c r="AD256" s="34" t="s">
        <v>570</v>
      </c>
    </row>
    <row r="257" spans="1:30" x14ac:dyDescent="0.25">
      <c r="A257" s="34" t="s">
        <v>475</v>
      </c>
      <c r="C257" s="34" t="s">
        <v>327</v>
      </c>
      <c r="D257" s="34" t="s">
        <v>475</v>
      </c>
      <c r="Z257" t="s">
        <v>665</v>
      </c>
      <c r="AA257" t="s">
        <v>733</v>
      </c>
      <c r="AC257" s="34" t="s">
        <v>572</v>
      </c>
      <c r="AD257" s="34" t="s">
        <v>572</v>
      </c>
    </row>
    <row r="258" spans="1:30" x14ac:dyDescent="0.25">
      <c r="A258" s="34" t="s">
        <v>175</v>
      </c>
      <c r="C258" s="34" t="s">
        <v>174</v>
      </c>
      <c r="D258" s="34" t="s">
        <v>175</v>
      </c>
      <c r="AC258" s="34" t="s">
        <v>574</v>
      </c>
      <c r="AD258" s="34" t="s">
        <v>574</v>
      </c>
    </row>
    <row r="259" spans="1:30" x14ac:dyDescent="0.25">
      <c r="AC259" s="34" t="s">
        <v>576</v>
      </c>
      <c r="AD259" s="34" t="s">
        <v>576</v>
      </c>
    </row>
    <row r="260" spans="1:30" x14ac:dyDescent="0.25">
      <c r="AC260" s="34" t="s">
        <v>567</v>
      </c>
      <c r="AD260" s="34" t="s">
        <v>567</v>
      </c>
    </row>
    <row r="261" spans="1:30" x14ac:dyDescent="0.25">
      <c r="AC261" s="34" t="s">
        <v>578</v>
      </c>
      <c r="AD261" s="34" t="s">
        <v>578</v>
      </c>
    </row>
    <row r="262" spans="1:30" x14ac:dyDescent="0.25">
      <c r="AC262" s="34" t="s">
        <v>327</v>
      </c>
      <c r="AD262" s="34" t="s">
        <v>327</v>
      </c>
    </row>
  </sheetData>
  <phoneticPr fontId="15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workbookViewId="0">
      <selection activeCell="B6" sqref="B6"/>
    </sheetView>
  </sheetViews>
  <sheetFormatPr baseColWidth="10" defaultColWidth="8.88671875" defaultRowHeight="13.2" x14ac:dyDescent="0.25"/>
  <cols>
    <col min="1" max="1" width="14.33203125" customWidth="1"/>
    <col min="2" max="2" width="12.6640625" customWidth="1"/>
    <col min="3" max="3" width="36.6640625" customWidth="1"/>
    <col min="4" max="4" width="11.44140625" customWidth="1"/>
  </cols>
  <sheetData>
    <row r="1" spans="1:4" x14ac:dyDescent="0.25">
      <c r="A1" s="1" t="s">
        <v>83</v>
      </c>
      <c r="B1" s="18"/>
      <c r="C1" s="2"/>
      <c r="D1" s="2"/>
    </row>
    <row r="2" spans="1:4" x14ac:dyDescent="0.25">
      <c r="A2" s="2"/>
      <c r="B2" s="14"/>
      <c r="C2" s="4"/>
      <c r="D2" s="2"/>
    </row>
    <row r="3" spans="1:4" x14ac:dyDescent="0.25">
      <c r="A3" s="9" t="s">
        <v>89</v>
      </c>
      <c r="B3" s="14"/>
      <c r="C3" s="1"/>
      <c r="D3" s="15"/>
    </row>
    <row r="4" spans="1:4" x14ac:dyDescent="0.25">
      <c r="A4" s="10" t="s">
        <v>17</v>
      </c>
      <c r="B4" s="16"/>
      <c r="C4" s="3" t="s">
        <v>18</v>
      </c>
      <c r="D4" s="3"/>
    </row>
    <row r="5" spans="1:4" x14ac:dyDescent="0.25">
      <c r="A5" s="11" t="s">
        <v>37</v>
      </c>
      <c r="B5" s="19" t="s">
        <v>179</v>
      </c>
      <c r="C5" s="12"/>
      <c r="D5" s="20"/>
    </row>
    <row r="6" spans="1:4" x14ac:dyDescent="0.25">
      <c r="A6" s="17" t="s">
        <v>79</v>
      </c>
      <c r="B6" s="52">
        <v>1E-10</v>
      </c>
      <c r="C6" s="2" t="s">
        <v>172</v>
      </c>
      <c r="D6" s="13"/>
    </row>
    <row r="7" spans="1:4" x14ac:dyDescent="0.25">
      <c r="A7" s="17" t="s">
        <v>84</v>
      </c>
      <c r="B7" s="52">
        <v>1E-10</v>
      </c>
      <c r="C7" s="2" t="s">
        <v>85</v>
      </c>
      <c r="D7" s="13"/>
    </row>
    <row r="8" spans="1:4" x14ac:dyDescent="0.25">
      <c r="A8" s="17" t="s">
        <v>86</v>
      </c>
      <c r="B8" s="52">
        <v>1E-10</v>
      </c>
      <c r="C8" s="2" t="s">
        <v>87</v>
      </c>
      <c r="D8" s="13"/>
    </row>
    <row r="9" spans="1:4" x14ac:dyDescent="0.25">
      <c r="A9" s="17" t="s">
        <v>50</v>
      </c>
      <c r="B9" s="52">
        <v>1E-10</v>
      </c>
      <c r="C9" s="2" t="s">
        <v>38</v>
      </c>
      <c r="D9" s="13"/>
    </row>
    <row r="10" spans="1:4" x14ac:dyDescent="0.25">
      <c r="A10" s="17" t="s">
        <v>51</v>
      </c>
      <c r="B10" s="52">
        <v>1E-10</v>
      </c>
      <c r="C10" s="2" t="s">
        <v>39</v>
      </c>
      <c r="D10" s="13"/>
    </row>
    <row r="11" spans="1:4" x14ac:dyDescent="0.25">
      <c r="A11" s="17" t="s">
        <v>52</v>
      </c>
      <c r="B11" s="52">
        <v>1E-10</v>
      </c>
      <c r="C11" s="2" t="s">
        <v>40</v>
      </c>
      <c r="D11" s="13"/>
    </row>
    <row r="12" spans="1:4" x14ac:dyDescent="0.25">
      <c r="A12" s="17" t="s">
        <v>53</v>
      </c>
      <c r="B12" s="52">
        <v>1E-10</v>
      </c>
      <c r="C12" s="2" t="s">
        <v>41</v>
      </c>
      <c r="D12" s="13"/>
    </row>
    <row r="13" spans="1:4" x14ac:dyDescent="0.25">
      <c r="A13" s="17" t="s">
        <v>54</v>
      </c>
      <c r="B13" s="52">
        <v>1E-10</v>
      </c>
      <c r="C13" s="2" t="s">
        <v>42</v>
      </c>
      <c r="D13" s="13"/>
    </row>
    <row r="14" spans="1:4" x14ac:dyDescent="0.25">
      <c r="A14" s="17" t="s">
        <v>55</v>
      </c>
      <c r="B14" s="52">
        <v>1E-10</v>
      </c>
      <c r="C14" s="2" t="s">
        <v>43</v>
      </c>
      <c r="D14" s="13"/>
    </row>
    <row r="15" spans="1:4" x14ac:dyDescent="0.25">
      <c r="A15" s="17" t="s">
        <v>56</v>
      </c>
      <c r="B15" s="52">
        <v>1E-10</v>
      </c>
      <c r="C15" s="2" t="s">
        <v>44</v>
      </c>
      <c r="D15" s="13"/>
    </row>
    <row r="16" spans="1:4" x14ac:dyDescent="0.25">
      <c r="A16" s="17" t="s">
        <v>57</v>
      </c>
      <c r="B16" s="52">
        <v>1E-10</v>
      </c>
      <c r="C16" s="2" t="s">
        <v>45</v>
      </c>
      <c r="D16" s="13"/>
    </row>
    <row r="17" spans="1:4" x14ac:dyDescent="0.25">
      <c r="A17" s="17" t="s">
        <v>58</v>
      </c>
      <c r="B17" s="52">
        <v>1E-10</v>
      </c>
      <c r="C17" s="2" t="s">
        <v>46</v>
      </c>
      <c r="D17" s="13"/>
    </row>
    <row r="18" spans="1:4" x14ac:dyDescent="0.25">
      <c r="A18" s="17" t="s">
        <v>59</v>
      </c>
      <c r="B18" s="52">
        <v>1E-10</v>
      </c>
      <c r="C18" s="2" t="s">
        <v>47</v>
      </c>
      <c r="D18" s="13"/>
    </row>
    <row r="19" spans="1:4" x14ac:dyDescent="0.25">
      <c r="A19" s="17" t="s">
        <v>60</v>
      </c>
      <c r="B19" s="52">
        <v>1E-10</v>
      </c>
      <c r="C19" s="2" t="s">
        <v>48</v>
      </c>
      <c r="D19" s="13"/>
    </row>
    <row r="20" spans="1:4" x14ac:dyDescent="0.25">
      <c r="A20" s="17" t="s">
        <v>61</v>
      </c>
      <c r="B20" s="52">
        <v>1E-10</v>
      </c>
      <c r="C20" s="2" t="s">
        <v>49</v>
      </c>
      <c r="D20" s="13"/>
    </row>
    <row r="21" spans="1:4" x14ac:dyDescent="0.25">
      <c r="A21" s="17" t="s">
        <v>93</v>
      </c>
      <c r="B21" s="52">
        <v>1E-10</v>
      </c>
      <c r="C21" s="2" t="s">
        <v>94</v>
      </c>
      <c r="D21" s="13"/>
    </row>
    <row r="22" spans="1:4" x14ac:dyDescent="0.25">
      <c r="A22" s="17"/>
      <c r="B22" s="6"/>
      <c r="C22" s="2"/>
      <c r="D22" s="13"/>
    </row>
    <row r="23" spans="1:4" x14ac:dyDescent="0.25">
      <c r="A23" s="17"/>
      <c r="B23" s="6"/>
      <c r="C23" s="2"/>
      <c r="D23" s="13"/>
    </row>
    <row r="24" spans="1:4" x14ac:dyDescent="0.25">
      <c r="A24" s="17"/>
      <c r="B24" s="6"/>
      <c r="C24" s="2"/>
      <c r="D24" s="13"/>
    </row>
    <row r="25" spans="1:4" x14ac:dyDescent="0.25">
      <c r="A25" s="17"/>
      <c r="B25" s="6"/>
      <c r="C25" s="2"/>
      <c r="D25" s="13"/>
    </row>
    <row r="26" spans="1:4" x14ac:dyDescent="0.25">
      <c r="A26" s="5"/>
    </row>
    <row r="27" spans="1:4" x14ac:dyDescent="0.25">
      <c r="A27" s="5"/>
    </row>
    <row r="28" spans="1:4" x14ac:dyDescent="0.25">
      <c r="A28" s="5"/>
    </row>
    <row r="29" spans="1:4" x14ac:dyDescent="0.25">
      <c r="A29" s="5"/>
    </row>
    <row r="30" spans="1:4" x14ac:dyDescent="0.25">
      <c r="A30" s="5"/>
    </row>
    <row r="31" spans="1:4" x14ac:dyDescent="0.25">
      <c r="A31" s="5"/>
    </row>
    <row r="32" spans="1:4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</sheetData>
  <phoneticPr fontId="15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I21" sqref="I21"/>
    </sheetView>
  </sheetViews>
  <sheetFormatPr baseColWidth="10" defaultRowHeight="13.2" x14ac:dyDescent="0.25"/>
  <sheetData>
    <row r="1" spans="1:2" x14ac:dyDescent="0.25">
      <c r="A1" t="s">
        <v>92</v>
      </c>
      <c r="B1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C21" sqref="C21"/>
    </sheetView>
  </sheetViews>
  <sheetFormatPr baseColWidth="10" defaultRowHeight="13.2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selection sqref="A1:C1"/>
    </sheetView>
  </sheetViews>
  <sheetFormatPr baseColWidth="10" defaultRowHeight="13.2" x14ac:dyDescent="0.25"/>
  <sheetData>
    <row r="1" spans="1:3" ht="14.4" x14ac:dyDescent="0.25">
      <c r="A1" s="46"/>
      <c r="B1" s="34"/>
      <c r="C1" s="4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Layout</vt:lpstr>
      <vt:lpstr>SplitShr</vt:lpstr>
      <vt:lpstr>Sets</vt:lpstr>
      <vt:lpstr>Macro</vt:lpstr>
      <vt:lpstr>MACRO-Sam</vt:lpstr>
      <vt:lpstr>Proto-SAM</vt:lpstr>
      <vt:lpstr>Fixes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Punt</dc:creator>
  <cp:lastModifiedBy>Britz Wolfgang</cp:lastModifiedBy>
  <cp:lastPrinted>2021-03-10T10:05:34Z</cp:lastPrinted>
  <dcterms:created xsi:type="dcterms:W3CDTF">2004-05-04T07:43:16Z</dcterms:created>
  <dcterms:modified xsi:type="dcterms:W3CDTF">2026-05-16T04:57:51Z</dcterms:modified>
</cp:coreProperties>
</file>