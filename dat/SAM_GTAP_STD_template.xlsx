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backupFile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\mngwb4\dat\"/>
    </mc:Choice>
  </mc:AlternateContent>
  <xr:revisionPtr revIDLastSave="0" documentId="13_ncr:1_{35BD6882-B55F-4DCC-AE4F-CEA617048B84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Layout" sheetId="12" r:id="rId1"/>
    <sheet name="SplitShr" sheetId="79" r:id="rId2"/>
    <sheet name="Sets" sheetId="19" r:id="rId3"/>
    <sheet name="Macro" sheetId="17" r:id="rId4"/>
    <sheet name="MACRO-Sam" sheetId="77" r:id="rId5"/>
    <sheet name="Proto-SAM" sheetId="78" r:id="rId6"/>
    <sheet name="Fixes" sheetId="76" r:id="rId7"/>
  </sheets>
  <definedNames>
    <definedName name="_Fill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anscount" hidden="1">1</definedName>
    <definedName name="_xlnm.Print_Area">#REF!</definedName>
    <definedName name="PRINT_AREA_MI">#REF!</definedName>
  </definedNames>
  <calcPr calcId="191029"/>
</workbook>
</file>

<file path=xl/calcChain.xml><?xml version="1.0" encoding="utf-8"?>
<calcChain xmlns="http://schemas.openxmlformats.org/spreadsheetml/2006/main">
  <c r="AG3" i="19" l="1"/>
  <c r="AG2" i="19"/>
  <c r="AH3" i="19"/>
  <c r="AH2" i="19"/>
  <c r="AI2" i="19"/>
  <c r="AI3" i="19"/>
  <c r="AF3" i="19"/>
  <c r="AV3" i="19" l="1"/>
  <c r="AU3" i="19"/>
  <c r="AT3" i="19"/>
  <c r="AS3" i="19"/>
  <c r="AR3" i="19"/>
  <c r="AQ3" i="19"/>
  <c r="AP3" i="19"/>
  <c r="AO3" i="19"/>
  <c r="AN3" i="19"/>
  <c r="AM3" i="19"/>
  <c r="AL3" i="19"/>
  <c r="AK3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S2" i="19" l="1"/>
  <c r="S3" i="19"/>
  <c r="A2" i="19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T2" i="19"/>
  <c r="U2" i="19"/>
  <c r="V2" i="19"/>
  <c r="W2" i="19"/>
  <c r="X2" i="19"/>
  <c r="Y2" i="19"/>
  <c r="C2" i="19"/>
  <c r="D2" i="19"/>
  <c r="Z2" i="19"/>
  <c r="AA2" i="19"/>
  <c r="AB2" i="19"/>
  <c r="AC2" i="19"/>
  <c r="AD2" i="19"/>
  <c r="AE2" i="19"/>
  <c r="AJ2" i="19"/>
  <c r="A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T3" i="19"/>
  <c r="U3" i="19"/>
  <c r="V3" i="19"/>
  <c r="W3" i="19"/>
  <c r="X3" i="19"/>
  <c r="Y3" i="19"/>
  <c r="C3" i="19"/>
  <c r="D3" i="19"/>
  <c r="Z3" i="19"/>
  <c r="AA3" i="19"/>
  <c r="AB3" i="19"/>
  <c r="AC3" i="19"/>
  <c r="AD3" i="19"/>
  <c r="AE3" i="19"/>
  <c r="AJ3" i="19"/>
  <c r="C37" i="12" l="1"/>
  <c r="C40" i="12"/>
  <c r="C39" i="12"/>
  <c r="C38" i="12"/>
  <c r="C36" i="12"/>
  <c r="C32" i="12"/>
  <c r="C30" i="12"/>
  <c r="C8" i="12"/>
  <c r="C6" i="12"/>
  <c r="C20" i="12"/>
  <c r="C11" i="12"/>
  <c r="C21" i="12"/>
  <c r="C14" i="12"/>
  <c r="C17" i="12"/>
  <c r="C13" i="12"/>
  <c r="C31" i="12"/>
  <c r="C7" i="12"/>
  <c r="C15" i="12"/>
  <c r="C12" i="12"/>
  <c r="C10" i="12"/>
  <c r="C22" i="12"/>
  <c r="C16" i="12"/>
  <c r="C9" i="12"/>
  <c r="C18" i="12"/>
  <c r="C23" i="12"/>
  <c r="C1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scottm</author>
  </authors>
  <commentList>
    <comment ref="A3" authorId="0" shapeId="0" xr:uid="{00000000-0006-0000-0200-000001000000}">
      <text>
        <r>
          <rPr>
            <sz val="8"/>
            <color indexed="81"/>
            <rFont val="Tahoma"/>
            <family val="2"/>
          </rPr>
          <t>Dset  - GAMS set
par - parameter</t>
        </r>
      </text>
    </comment>
    <comment ref="B3" authorId="0" shapeId="0" xr:uid="{00000000-0006-0000-0200-000002000000}">
      <text>
        <r>
          <rPr>
            <sz val="8"/>
            <color indexed="81"/>
            <rFont val="Tahoma"/>
            <family val="2"/>
          </rPr>
          <t>Name of the set or parameter</t>
        </r>
      </text>
    </comment>
    <comment ref="C3" authorId="0" shapeId="0" xr:uid="{00000000-0006-0000-0200-000003000000}">
      <text>
        <r>
          <rPr>
            <sz val="8"/>
            <color indexed="81"/>
            <rFont val="Tahoma"/>
            <family val="2"/>
          </rPr>
          <t>expressed as
worksheet range</t>
        </r>
      </text>
    </comment>
  </commentList>
</comments>
</file>

<file path=xl/sharedStrings.xml><?xml version="1.0" encoding="utf-8"?>
<sst xmlns="http://schemas.openxmlformats.org/spreadsheetml/2006/main" count="2168" uniqueCount="729">
  <si>
    <t>Trade</t>
  </si>
  <si>
    <t>Enterprises</t>
  </si>
  <si>
    <t>Government</t>
  </si>
  <si>
    <t>LAYOUT</t>
  </si>
  <si>
    <t>Data Type</t>
  </si>
  <si>
    <t>dset</t>
  </si>
  <si>
    <t>Name</t>
  </si>
  <si>
    <t>Location</t>
  </si>
  <si>
    <t>c</t>
  </si>
  <si>
    <t>a</t>
  </si>
  <si>
    <t>f</t>
  </si>
  <si>
    <t>l</t>
  </si>
  <si>
    <t>k</t>
  </si>
  <si>
    <t>g</t>
  </si>
  <si>
    <t>e</t>
  </si>
  <si>
    <t>w</t>
  </si>
  <si>
    <t>h</t>
  </si>
  <si>
    <t>Model Specific Sets</t>
  </si>
  <si>
    <t>GAMS Name</t>
  </si>
  <si>
    <t>Description</t>
  </si>
  <si>
    <t>Export taxes</t>
  </si>
  <si>
    <t>rdim</t>
  </si>
  <si>
    <t>cdim</t>
  </si>
  <si>
    <t>dim</t>
  </si>
  <si>
    <t>Row dimension</t>
  </si>
  <si>
    <t>Column dimension</t>
  </si>
  <si>
    <t>Total dimension</t>
  </si>
  <si>
    <t>Commodities</t>
  </si>
  <si>
    <t>Margins</t>
  </si>
  <si>
    <t>Activities</t>
  </si>
  <si>
    <t>Factors</t>
  </si>
  <si>
    <t>Labour Factors</t>
  </si>
  <si>
    <t>Capital Factors</t>
  </si>
  <si>
    <t>Households</t>
  </si>
  <si>
    <t>par</t>
  </si>
  <si>
    <t>i</t>
  </si>
  <si>
    <t>Direct taxes</t>
  </si>
  <si>
    <t>ac</t>
  </si>
  <si>
    <t>AC</t>
  </si>
  <si>
    <t>macro</t>
  </si>
  <si>
    <t>Total GOS income from RoW</t>
  </si>
  <si>
    <t xml:space="preserve">Total labour income from RoW </t>
  </si>
  <si>
    <t xml:space="preserve">Total enterprise income from factors </t>
  </si>
  <si>
    <t>Total enterprise income from government</t>
  </si>
  <si>
    <t xml:space="preserve">Total commmodity taxes </t>
  </si>
  <si>
    <t>Total excise tax revenues</t>
  </si>
  <si>
    <t>Total activity taxes and subsdies</t>
  </si>
  <si>
    <t xml:space="preserve">Total activity taxes </t>
  </si>
  <si>
    <t>Total enterprise income taxes</t>
  </si>
  <si>
    <t xml:space="preserve">Total depreciation </t>
  </si>
  <si>
    <t xml:space="preserve">Total enterprise savings </t>
  </si>
  <si>
    <t>Total RoW income from enterprises</t>
  </si>
  <si>
    <t>tgosyrow2</t>
  </si>
  <si>
    <t>tlabyrow2</t>
  </si>
  <si>
    <t>teyfact2</t>
  </si>
  <si>
    <t>teygov2</t>
  </si>
  <si>
    <t>tcomtax2</t>
  </si>
  <si>
    <t>texctax2</t>
  </si>
  <si>
    <t>tacttax2</t>
  </si>
  <si>
    <t>tindtax2</t>
  </si>
  <si>
    <t>tdetax2</t>
  </si>
  <si>
    <t>tdeprec2</t>
  </si>
  <si>
    <t>tesav2</t>
  </si>
  <si>
    <t>trowyent2</t>
  </si>
  <si>
    <t>Indirect taxes</t>
  </si>
  <si>
    <t>gtdir</t>
  </si>
  <si>
    <t>gtind</t>
  </si>
  <si>
    <t>CMDTY3</t>
  </si>
  <si>
    <t>MRGN3</t>
  </si>
  <si>
    <t>ACTVTY3</t>
  </si>
  <si>
    <t>FCTR3</t>
  </si>
  <si>
    <t>LBR3</t>
  </si>
  <si>
    <t>KPTL3</t>
  </si>
  <si>
    <t>HHLD3</t>
  </si>
  <si>
    <t>GOVT3</t>
  </si>
  <si>
    <t>ITAX3</t>
  </si>
  <si>
    <t>DTAX3</t>
  </si>
  <si>
    <t>WRLD3</t>
  </si>
  <si>
    <t>mrgn</t>
  </si>
  <si>
    <t>TOTAL3</t>
  </si>
  <si>
    <t>ENTRP3</t>
  </si>
  <si>
    <t>macsam2</t>
  </si>
  <si>
    <t>acm</t>
  </si>
  <si>
    <t>tfidemand2</t>
  </si>
  <si>
    <t>macro!A6</t>
  </si>
  <si>
    <t>Macro-sam accounts</t>
  </si>
  <si>
    <t>Export margins</t>
  </si>
  <si>
    <t>emrgn</t>
  </si>
  <si>
    <t>etax</t>
  </si>
  <si>
    <t>Macro control totals</t>
  </si>
  <si>
    <t>tgdpfc2</t>
  </si>
  <si>
    <t>Total GDP at factor cost</t>
  </si>
  <si>
    <t>tgdpmp2</t>
  </si>
  <si>
    <t>Total GDP at market prices</t>
  </si>
  <si>
    <t>se=0</t>
  </si>
  <si>
    <t>Potential macro controls</t>
  </si>
  <si>
    <t>macromat</t>
  </si>
  <si>
    <t>set</t>
  </si>
  <si>
    <t>macscale</t>
  </si>
  <si>
    <t>tnetfacrow2</t>
  </si>
  <si>
    <t>Total net factor income from RoW</t>
  </si>
  <si>
    <t>total3</t>
  </si>
  <si>
    <t>splitShr</t>
  </si>
  <si>
    <t>map_acIni_ac</t>
  </si>
  <si>
    <t>other3</t>
  </si>
  <si>
    <t>gt</t>
  </si>
  <si>
    <t>splitShr!C5</t>
  </si>
  <si>
    <t>macmap3</t>
  </si>
  <si>
    <t>SAMIni</t>
  </si>
  <si>
    <t>map_acIni_acini</t>
  </si>
  <si>
    <t>map_aG_ac</t>
  </si>
  <si>
    <t>map_cG_ac</t>
  </si>
  <si>
    <t>map_fG_ac</t>
  </si>
  <si>
    <t>map_a_c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</si>
  <si>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</si>
  <si>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</si>
  <si>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</si>
  <si>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</si>
  <si>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</si>
  <si>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</si>
  <si>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</si>
  <si>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</si>
  <si>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</si>
  <si>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</si>
  <si>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</si>
  <si>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</si>
  <si>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</si>
  <si>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</si>
  <si>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</si>
  <si>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</si>
  <si>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</si>
  <si>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</si>
  <si>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</si>
  <si>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</si>
  <si>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</si>
  <si>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</si>
  <si>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</si>
  <si>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</si>
  <si>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</si>
  <si>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</si>
  <si>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</si>
  <si>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</si>
  <si>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</si>
  <si>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</si>
  <si>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</si>
  <si>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</si>
  <si>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</si>
  <si>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</si>
  <si>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</si>
  <si>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</si>
  <si>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</si>
  <si>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</si>
  <si>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</si>
  <si>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</si>
  <si>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eeq</t>
  </si>
  <si>
    <t>ome</t>
  </si>
  <si>
    <t>mvh</t>
  </si>
  <si>
    <t>otn</t>
  </si>
  <si>
    <t>omf</t>
  </si>
  <si>
    <t>TnD</t>
  </si>
  <si>
    <t>gdt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</si>
  <si>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</si>
  <si>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</si>
  <si>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</si>
  <si>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</si>
  <si>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</si>
  <si>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</si>
  <si>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</si>
  <si>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</si>
  <si>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</si>
  <si>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</si>
  <si>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</si>
  <si>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rsa</t>
  </si>
  <si>
    <t>obs</t>
  </si>
  <si>
    <t>ros</t>
  </si>
  <si>
    <t>osg</t>
  </si>
  <si>
    <t>edu</t>
  </si>
  <si>
    <t>hht</t>
  </si>
  <si>
    <t>dwe</t>
  </si>
  <si>
    <t>eCB</t>
  </si>
  <si>
    <t>eGB</t>
  </si>
  <si>
    <t>eWB</t>
  </si>
  <si>
    <t>eHB</t>
  </si>
  <si>
    <t>eOB</t>
  </si>
  <si>
    <t>eXB</t>
  </si>
  <si>
    <t>eGP</t>
  </si>
  <si>
    <t>eHP</t>
  </si>
  <si>
    <t>eOP</t>
  </si>
  <si>
    <t>eSo</t>
  </si>
  <si>
    <t>LAN</t>
  </si>
  <si>
    <t>tap</t>
  </si>
  <si>
    <t>clk</t>
  </si>
  <si>
    <t>svc</t>
  </si>
  <si>
    <t>off</t>
  </si>
  <si>
    <t>agr</t>
  </si>
  <si>
    <t>CAP</t>
  </si>
  <si>
    <t>NTR</t>
  </si>
  <si>
    <t>i-INVST3</t>
  </si>
  <si>
    <t>Gi-INVST3</t>
  </si>
  <si>
    <t>Total fixed i-INVestment demand</t>
  </si>
  <si>
    <t>Savings INVestment</t>
  </si>
  <si>
    <t>gINV</t>
  </si>
  <si>
    <t>total-i</t>
  </si>
  <si>
    <t>a-TnD-0</t>
  </si>
  <si>
    <t>a-eGB-0</t>
  </si>
  <si>
    <t>a-eWB-0</t>
  </si>
  <si>
    <t>a-eHB-0</t>
  </si>
  <si>
    <t>a-eOB-0</t>
  </si>
  <si>
    <t>a-eOP-0</t>
  </si>
  <si>
    <t>a-eSo-0</t>
  </si>
  <si>
    <t>c-TnD-0</t>
  </si>
  <si>
    <t>eNB</t>
  </si>
  <si>
    <t>total0</t>
  </si>
  <si>
    <t>f-Land_0</t>
  </si>
  <si>
    <t>f-NatlRes_0</t>
  </si>
  <si>
    <t>debt_0</t>
  </si>
  <si>
    <t>a-cbcc-0</t>
  </si>
  <si>
    <t>c-cbcc-0</t>
  </si>
  <si>
    <t>marg-0</t>
  </si>
  <si>
    <t>f-labunf-0</t>
  </si>
  <si>
    <t>f-cap-0</t>
  </si>
  <si>
    <t>a-cere-0</t>
  </si>
  <si>
    <t>c-cere-0</t>
  </si>
  <si>
    <t>f-labskf-0</t>
  </si>
  <si>
    <t>f-labuni-0</t>
  </si>
  <si>
    <t>f-labski-0</t>
  </si>
  <si>
    <t>a-flow-0</t>
  </si>
  <si>
    <t>c-flow-0</t>
  </si>
  <si>
    <t>f-labsef-0</t>
  </si>
  <si>
    <t>a-tube-0</t>
  </si>
  <si>
    <t>c-tube-0</t>
  </si>
  <si>
    <t>f-labsei-0</t>
  </si>
  <si>
    <t>a-olea-0</t>
  </si>
  <si>
    <t>c-olea-0</t>
  </si>
  <si>
    <t>a-auxc-0</t>
  </si>
  <si>
    <t>c-auxc-0</t>
  </si>
  <si>
    <t>a-livs-0</t>
  </si>
  <si>
    <t>c-livs-0</t>
  </si>
  <si>
    <t>a-fore-0</t>
  </si>
  <si>
    <t>c-fore-0</t>
  </si>
  <si>
    <t>a-cama-0</t>
  </si>
  <si>
    <t>c-cama-0</t>
  </si>
  <si>
    <t>a-fish-0</t>
  </si>
  <si>
    <t>c-fish-0</t>
  </si>
  <si>
    <t>a-acui-0</t>
  </si>
  <si>
    <t>c-acui-0</t>
  </si>
  <si>
    <t>a-petr-0</t>
  </si>
  <si>
    <t>c-petr-0</t>
  </si>
  <si>
    <t>a-auxp-0</t>
  </si>
  <si>
    <t>c-auxp-0</t>
  </si>
  <si>
    <t>a-mmet-0</t>
  </si>
  <si>
    <t>c-mmet-0</t>
  </si>
  <si>
    <t>a-nmet-0</t>
  </si>
  <si>
    <t>c-nmet-0</t>
  </si>
  <si>
    <t>a-pmea-0</t>
  </si>
  <si>
    <t>c-pmea-0</t>
  </si>
  <si>
    <t>a-pcam-0</t>
  </si>
  <si>
    <t>c-pcam-0</t>
  </si>
  <si>
    <t>a-pfis-0</t>
  </si>
  <si>
    <t>c-pfis-0</t>
  </si>
  <si>
    <t>a-cacu-0</t>
  </si>
  <si>
    <t>c-cacu-0</t>
  </si>
  <si>
    <t>a-eoil-0</t>
  </si>
  <si>
    <t>c-eoil-0</t>
  </si>
  <si>
    <t>a-edai-0</t>
  </si>
  <si>
    <t>c-edai-0</t>
  </si>
  <si>
    <t>a-emil-0</t>
  </si>
  <si>
    <t>c-emil-0</t>
  </si>
  <si>
    <t>a-ebre-0</t>
  </si>
  <si>
    <t>c-ebre-0</t>
  </si>
  <si>
    <t>a-efid-0</t>
  </si>
  <si>
    <t>c-efid-0</t>
  </si>
  <si>
    <t>a-esug-0</t>
  </si>
  <si>
    <t>c-esug-0</t>
  </si>
  <si>
    <t>a-caca-0</t>
  </si>
  <si>
    <t>c-caca-0</t>
  </si>
  <si>
    <t>a-feed-0</t>
  </si>
  <si>
    <t>c-feed-0</t>
  </si>
  <si>
    <t>a-coff-0</t>
  </si>
  <si>
    <t>c-coff-0</t>
  </si>
  <si>
    <t>a-othf-0</t>
  </si>
  <si>
    <t>c-othf-0</t>
  </si>
  <si>
    <t>a-balc-0</t>
  </si>
  <si>
    <t>c-balc-0</t>
  </si>
  <si>
    <t>a-nalb-0</t>
  </si>
  <si>
    <t>c-nalb-0</t>
  </si>
  <si>
    <t>a-taba-0</t>
  </si>
  <si>
    <t>c-taba-0</t>
  </si>
  <si>
    <t>a-text-0</t>
  </si>
  <si>
    <t>c-text-0</t>
  </si>
  <si>
    <t>a-clot-0</t>
  </si>
  <si>
    <t>c-clot-0</t>
  </si>
  <si>
    <t>a-leth-0</t>
  </si>
  <si>
    <t>c-leth-0</t>
  </si>
  <si>
    <t>a-wood-0</t>
  </si>
  <si>
    <t>c-wood-0</t>
  </si>
  <si>
    <t>a-pape-0</t>
  </si>
  <si>
    <t>c-pape-0</t>
  </si>
  <si>
    <t>a-pref-0</t>
  </si>
  <si>
    <t>c-pref-0</t>
  </si>
  <si>
    <t>a-chem-0</t>
  </si>
  <si>
    <t>c-chem-0</t>
  </si>
  <si>
    <t>a-otch-0</t>
  </si>
  <si>
    <t>c-otch-0</t>
  </si>
  <si>
    <t>a-rubb-0</t>
  </si>
  <si>
    <t>c-rubb-0</t>
  </si>
  <si>
    <t>a-plas-0</t>
  </si>
  <si>
    <t>c-plas-0</t>
  </si>
  <si>
    <t>a-glas-0</t>
  </si>
  <si>
    <t>c-glas-0</t>
  </si>
  <si>
    <t>a-ceme-0</t>
  </si>
  <si>
    <t>c-ceme-0</t>
  </si>
  <si>
    <t>a-cmet-0</t>
  </si>
  <si>
    <t>c-cmet-0</t>
  </si>
  <si>
    <t>a-metp-0</t>
  </si>
  <si>
    <t>c-metp-0</t>
  </si>
  <si>
    <t>a-maqe-0</t>
  </si>
  <si>
    <t>c-maqe-0</t>
  </si>
  <si>
    <t>a-etra-0</t>
  </si>
  <si>
    <t>c-etra-0</t>
  </si>
  <si>
    <t>a-forn-0</t>
  </si>
  <si>
    <t>c-forn-0</t>
  </si>
  <si>
    <t>a-otmf-0</t>
  </si>
  <si>
    <t>c-otmf-0</t>
  </si>
  <si>
    <t>c-elec-0</t>
  </si>
  <si>
    <t>c-wate-0</t>
  </si>
  <si>
    <t>c-cons-0</t>
  </si>
  <si>
    <t>c-repm-0</t>
  </si>
  <si>
    <t>c-acom-0</t>
  </si>
  <si>
    <t>a-wate-0</t>
  </si>
  <si>
    <t>c-rest-0</t>
  </si>
  <si>
    <t>a-cons-0</t>
  </si>
  <si>
    <t>c-tran-0</t>
  </si>
  <si>
    <t>a-wtra-0</t>
  </si>
  <si>
    <t>c-post-0</t>
  </si>
  <si>
    <t>a-repm-0</t>
  </si>
  <si>
    <t>c-comu-0</t>
  </si>
  <si>
    <t>a-acom-0</t>
  </si>
  <si>
    <t>c-sfin-0</t>
  </si>
  <si>
    <t>a-rest-0</t>
  </si>
  <si>
    <t>c-sins-0</t>
  </si>
  <si>
    <t>a-tran-0</t>
  </si>
  <si>
    <t>c-real-0</t>
  </si>
  <si>
    <t>a-post-0</t>
  </si>
  <si>
    <t>c-prof-0</t>
  </si>
  <si>
    <t>a-comu-0</t>
  </si>
  <si>
    <t>c-publ-0</t>
  </si>
  <si>
    <t>a-sfin-0</t>
  </si>
  <si>
    <t>c-educ-0</t>
  </si>
  <si>
    <t>a-sins-0</t>
  </si>
  <si>
    <t>c-heal-0</t>
  </si>
  <si>
    <t>a-real-0</t>
  </si>
  <si>
    <t>c-recr-0</t>
  </si>
  <si>
    <t>a-prof-0</t>
  </si>
  <si>
    <t>c-hdom-0</t>
  </si>
  <si>
    <t>a-publ-0</t>
  </si>
  <si>
    <t>a-educ-0</t>
  </si>
  <si>
    <t>a-heal-0</t>
  </si>
  <si>
    <t>a-recr-0</t>
  </si>
  <si>
    <t>a-hdom-0</t>
  </si>
  <si>
    <t>macroMat</t>
  </si>
  <si>
    <t>asplit_gtap</t>
  </si>
  <si>
    <t>csplit_gtap</t>
  </si>
  <si>
    <t>Acts split with GTAP</t>
  </si>
  <si>
    <t>Comm. Split  with GTGAP</t>
  </si>
  <si>
    <t>sets!AG6</t>
  </si>
  <si>
    <t>sets!AH6</t>
  </si>
  <si>
    <t>sets!AF6</t>
  </si>
  <si>
    <t>aciniMac</t>
  </si>
  <si>
    <t>acIniMac</t>
  </si>
  <si>
    <t>fixes</t>
  </si>
  <si>
    <t>Fixes!A1</t>
  </si>
  <si>
    <t xml:space="preserve"> </t>
  </si>
  <si>
    <t>a-pdr_i</t>
  </si>
  <si>
    <t>a-wht_i</t>
  </si>
  <si>
    <t>a-gro_i</t>
  </si>
  <si>
    <t>a-v_f_i</t>
  </si>
  <si>
    <t>a-osd_i</t>
  </si>
  <si>
    <t>a-c_b_i</t>
  </si>
  <si>
    <t>a-pfb_i</t>
  </si>
  <si>
    <t>a-ocr_i</t>
  </si>
  <si>
    <t>a-ctl_i</t>
  </si>
  <si>
    <t>a-oap_i</t>
  </si>
  <si>
    <t>a-rmk_i</t>
  </si>
  <si>
    <t>a-wol_i</t>
  </si>
  <si>
    <t>a-frs_i</t>
  </si>
  <si>
    <t>a-fsh_i</t>
  </si>
  <si>
    <t>a-coa_i</t>
  </si>
  <si>
    <t>a-oil_i</t>
  </si>
  <si>
    <t>a-gas_i</t>
  </si>
  <si>
    <t>a-oxt_i</t>
  </si>
  <si>
    <t>a-cmt_i</t>
  </si>
  <si>
    <t>a-omt_i</t>
  </si>
  <si>
    <t>a-vol_i</t>
  </si>
  <si>
    <t>a-mil_i</t>
  </si>
  <si>
    <t>a-pcr_i</t>
  </si>
  <si>
    <t>a-sgr_i</t>
  </si>
  <si>
    <t>a-ofd_i</t>
  </si>
  <si>
    <t>a-b_t_i</t>
  </si>
  <si>
    <t>a-tex_i</t>
  </si>
  <si>
    <t>a-wap_i</t>
  </si>
  <si>
    <t>a-lea_i</t>
  </si>
  <si>
    <t>a-lum_i</t>
  </si>
  <si>
    <t>a-ppp_i</t>
  </si>
  <si>
    <t>a-p_c_i</t>
  </si>
  <si>
    <t>a-chm_i</t>
  </si>
  <si>
    <t>a-bph_i</t>
  </si>
  <si>
    <t>a-rpp_i</t>
  </si>
  <si>
    <t>a-nmm_i</t>
  </si>
  <si>
    <t>a-i_s_i</t>
  </si>
  <si>
    <t>a-nfm_i</t>
  </si>
  <si>
    <t>a-fmp_i</t>
  </si>
  <si>
    <t>a-ele_i</t>
  </si>
  <si>
    <t>a-eeq_i</t>
  </si>
  <si>
    <t>a-ome_i</t>
  </si>
  <si>
    <t>a-mvh_i</t>
  </si>
  <si>
    <t>a-otn_i</t>
  </si>
  <si>
    <t>a-omf_i</t>
  </si>
  <si>
    <t>a-ely_i</t>
  </si>
  <si>
    <t>a-gdt_i</t>
  </si>
  <si>
    <t>a-wtr_i</t>
  </si>
  <si>
    <t>a-cns_i</t>
  </si>
  <si>
    <t>a-trd_i</t>
  </si>
  <si>
    <t>a-afs_i</t>
  </si>
  <si>
    <t>a-otp_i</t>
  </si>
  <si>
    <t>a-wtp_i</t>
  </si>
  <si>
    <t>a-atp_i</t>
  </si>
  <si>
    <t>a-whs_i</t>
  </si>
  <si>
    <t>a-cmn_i</t>
  </si>
  <si>
    <t>a-ofi_i</t>
  </si>
  <si>
    <t>a-ins_i</t>
  </si>
  <si>
    <t>a-rsa_i</t>
  </si>
  <si>
    <t>a-obs_i</t>
  </si>
  <si>
    <t>a-ros_i</t>
  </si>
  <si>
    <t>a-osg_i</t>
  </si>
  <si>
    <t>a-edu_i</t>
  </si>
  <si>
    <t>a-hht_i</t>
  </si>
  <si>
    <t>a-dwe_i</t>
  </si>
  <si>
    <t>c-pdr_i</t>
  </si>
  <si>
    <t>c-wht_i</t>
  </si>
  <si>
    <t>c-gro_i</t>
  </si>
  <si>
    <t>c-v_f_i</t>
  </si>
  <si>
    <t>c-osd_i</t>
  </si>
  <si>
    <t>c-c_b_i</t>
  </si>
  <si>
    <t>c-pfb_i</t>
  </si>
  <si>
    <t>c-ocr_i</t>
  </si>
  <si>
    <t>c-ctl_i</t>
  </si>
  <si>
    <t>c-oap_i</t>
  </si>
  <si>
    <t>c-rmk_i</t>
  </si>
  <si>
    <t>c-wol_i</t>
  </si>
  <si>
    <t>c-frs_i</t>
  </si>
  <si>
    <t>c-fsh_i</t>
  </si>
  <si>
    <t>c-coa_i</t>
  </si>
  <si>
    <t>c-oil_i</t>
  </si>
  <si>
    <t>c-gas_i</t>
  </si>
  <si>
    <t>c-oxt_i</t>
  </si>
  <si>
    <t>c-cmt_i</t>
  </si>
  <si>
    <t>c-omt_i</t>
  </si>
  <si>
    <t>c-vol_i</t>
  </si>
  <si>
    <t>c-mil_i</t>
  </si>
  <si>
    <t>c-pcr_i</t>
  </si>
  <si>
    <t>c-sgr_i</t>
  </si>
  <si>
    <t>c-ofd_i</t>
  </si>
  <si>
    <t>c-b_t_i</t>
  </si>
  <si>
    <t>c-tex_i</t>
  </si>
  <si>
    <t>c-wap_i</t>
  </si>
  <si>
    <t>c-lea_i</t>
  </si>
  <si>
    <t>c-lum_i</t>
  </si>
  <si>
    <t>c-ppp_i</t>
  </si>
  <si>
    <t>c-p_c_i</t>
  </si>
  <si>
    <t>c-chm_i</t>
  </si>
  <si>
    <t>c-bph_i</t>
  </si>
  <si>
    <t>c-rpp_i</t>
  </si>
  <si>
    <t>c-nmm_i</t>
  </si>
  <si>
    <t>c-i_s_i</t>
  </si>
  <si>
    <t>c-nfm_i</t>
  </si>
  <si>
    <t>c-fmp_i</t>
  </si>
  <si>
    <t>c-ele_i</t>
  </si>
  <si>
    <t>c-eeq_i</t>
  </si>
  <si>
    <t>c-ome_i</t>
  </si>
  <si>
    <t>c-mvh_i</t>
  </si>
  <si>
    <t>c-otn_i</t>
  </si>
  <si>
    <t>c-omf_i</t>
  </si>
  <si>
    <t>c-ely_i</t>
  </si>
  <si>
    <t>c-gdt_i</t>
  </si>
  <si>
    <t>c-wtr_i</t>
  </si>
  <si>
    <t>c-cns_i</t>
  </si>
  <si>
    <t>c-trd_i</t>
  </si>
  <si>
    <t>c-afs_i</t>
  </si>
  <si>
    <t>c-otp_i</t>
  </si>
  <si>
    <t>c-wtp_i</t>
  </si>
  <si>
    <t>c-atp_i</t>
  </si>
  <si>
    <t>c-whs_i</t>
  </si>
  <si>
    <t>c-cmn_i</t>
  </si>
  <si>
    <t>c-ofi_i</t>
  </si>
  <si>
    <t>c-ins_i</t>
  </si>
  <si>
    <t>c-rsa_i</t>
  </si>
  <si>
    <t>c-obs_i</t>
  </si>
  <si>
    <t>c-ros_i</t>
  </si>
  <si>
    <t>c-osg_i</t>
  </si>
  <si>
    <t>c-edu_i</t>
  </si>
  <si>
    <t>c-hht_i</t>
  </si>
  <si>
    <t>c-dwe_i</t>
  </si>
  <si>
    <t>f-Land_i</t>
  </si>
  <si>
    <t>f-tech_aspros_i</t>
  </si>
  <si>
    <t>f-clerks_i</t>
  </si>
  <si>
    <t>f-service_shop_i</t>
  </si>
  <si>
    <t>f-off_mgr_pros_i</t>
  </si>
  <si>
    <t>f-ag_othlowsk_i</t>
  </si>
  <si>
    <t>f-Capital_i</t>
  </si>
  <si>
    <t>f-NatlRes_i</t>
  </si>
  <si>
    <t>h-hhold_i</t>
  </si>
  <si>
    <t>g-govt_i</t>
  </si>
  <si>
    <t>t-tf_E1Land_i</t>
  </si>
  <si>
    <t>t-tf_E2tech_as_i</t>
  </si>
  <si>
    <t>t-tf_E3clerks_i</t>
  </si>
  <si>
    <t>t-tf_E4service_i</t>
  </si>
  <si>
    <t>t-tf_E5off_mgr_i</t>
  </si>
  <si>
    <t>t-tf_E6ag_othl_i</t>
  </si>
  <si>
    <t>t-tf_E7Capital_i</t>
  </si>
  <si>
    <t>t-tf_E8NatlRes_i</t>
  </si>
  <si>
    <t>t-tee_world_i</t>
  </si>
  <si>
    <t>t-tmm_world_i</t>
  </si>
  <si>
    <t>t-PRODTAX_i</t>
  </si>
  <si>
    <t>t-DIRTAX_i</t>
  </si>
  <si>
    <t>t-tssd_i</t>
  </si>
  <si>
    <t>i-CGDS_i</t>
  </si>
  <si>
    <t>w-ww_world_i</t>
  </si>
  <si>
    <t>m-otp_i</t>
  </si>
  <si>
    <t>m-wtp_i</t>
  </si>
  <si>
    <t>m-atp_i</t>
  </si>
  <si>
    <t>f-F_skl_i</t>
  </si>
  <si>
    <t>f-M_skl_i</t>
  </si>
  <si>
    <t>f-F_nsk_i</t>
  </si>
  <si>
    <t>f-M_nsk_i</t>
  </si>
  <si>
    <t>t-tf_F_skl_i</t>
  </si>
  <si>
    <t>t-tf_M_skl_i</t>
  </si>
  <si>
    <t>t-tf_F_nsk_i</t>
  </si>
  <si>
    <t>t-tf_M_nsk_i</t>
  </si>
  <si>
    <t>t-tssm_i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</si>
  <si>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</si>
  <si>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</si>
  <si>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</si>
  <si>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</si>
  <si>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</si>
  <si>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</si>
  <si>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</si>
  <si>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</si>
  <si>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</si>
  <si>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</si>
  <si>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</si>
  <si>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</si>
  <si>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</si>
  <si>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</si>
  <si>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</si>
  <si>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</si>
  <si>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</si>
  <si>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a-oxt_0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</si>
  <si>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</si>
  <si>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</si>
  <si>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</si>
  <si>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</si>
  <si>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</si>
  <si>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</si>
  <si>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</si>
  <si>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</si>
  <si>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</si>
  <si>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</si>
  <si>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</si>
  <si>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</si>
  <si>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</si>
  <si>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</si>
  <si>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a-chm_0</t>
  </si>
  <si>
    <t>a-bph_0</t>
  </si>
  <si>
    <t>a-rpp_0</t>
  </si>
  <si>
    <t>a-nmm_0</t>
  </si>
  <si>
    <t>a-i_s_0</t>
  </si>
  <si>
    <t>a-nfm_0</t>
  </si>
  <si>
    <t>a-fmp_0</t>
  </si>
  <si>
    <t>a-ele_0</t>
  </si>
  <si>
    <t>a-eeq_0</t>
  </si>
  <si>
    <t>a-ome_0</t>
  </si>
  <si>
    <t>a-mvh_0</t>
  </si>
  <si>
    <t>a-otn_0</t>
  </si>
  <si>
    <t>a-omf_0</t>
  </si>
  <si>
    <t>a-ely_0</t>
  </si>
  <si>
    <t>a-gdt_0</t>
  </si>
  <si>
    <t>a-wtr_0</t>
  </si>
  <si>
    <t>a-cns_0</t>
  </si>
  <si>
    <t>a-trd_0</t>
  </si>
  <si>
    <t>a-afs_0</t>
  </si>
  <si>
    <t>a-otp_0</t>
  </si>
  <si>
    <t>a-wtp_0</t>
  </si>
  <si>
    <t>a-atp_0</t>
  </si>
  <si>
    <t>a-whs_0</t>
  </si>
  <si>
    <t>a-cmn_0</t>
  </si>
  <si>
    <t>a-ofi_0</t>
  </si>
  <si>
    <t>a-ins_0</t>
  </si>
  <si>
    <t>a-rsa_0</t>
  </si>
  <si>
    <t>a-obs_0</t>
  </si>
  <si>
    <t>a-ros_0</t>
  </si>
  <si>
    <t>a-osg_0</t>
  </si>
  <si>
    <t>a-edu_0</t>
  </si>
  <si>
    <t>a-hht_0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</si>
  <si>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</si>
  <si>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</si>
  <si>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</si>
  <si>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</si>
  <si>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</si>
  <si>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</si>
  <si>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</si>
  <si>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</si>
  <si>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</si>
  <si>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</si>
  <si>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</si>
  <si>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</si>
  <si>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</si>
  <si>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</si>
  <si>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</si>
  <si>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</si>
  <si>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</si>
  <si>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</si>
  <si>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c-oxt_0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</si>
  <si>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</si>
  <si>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</si>
  <si>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</si>
  <si>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</si>
  <si>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</si>
  <si>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</si>
  <si>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</si>
  <si>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</si>
  <si>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</si>
  <si>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</si>
  <si>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</si>
  <si>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</si>
  <si>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</si>
  <si>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</si>
  <si>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c-chm_0</t>
  </si>
  <si>
    <t>c-bph_0</t>
  </si>
  <si>
    <t>c-rpp_0</t>
  </si>
  <si>
    <t>c-nmm_0</t>
  </si>
  <si>
    <t>c-i_s_0</t>
  </si>
  <si>
    <t>c-nfm_0</t>
  </si>
  <si>
    <t>c-fmp_0</t>
  </si>
  <si>
    <t>c-ele_0</t>
  </si>
  <si>
    <t>c-eeq_0</t>
  </si>
  <si>
    <t>c-ome_0</t>
  </si>
  <si>
    <t>c-mvh_0</t>
  </si>
  <si>
    <t>c-otn_0</t>
  </si>
  <si>
    <t>c-omf_0</t>
  </si>
  <si>
    <t>c-ely_0</t>
  </si>
  <si>
    <t>c-gdt_0</t>
  </si>
  <si>
    <t>c-wtr_0</t>
  </si>
  <si>
    <t>c-cns_0</t>
  </si>
  <si>
    <t>c-trd_0</t>
  </si>
  <si>
    <t>c-afs_0</t>
  </si>
  <si>
    <t>c-otp_0</t>
  </si>
  <si>
    <t>c-wtp_0</t>
  </si>
  <si>
    <t>c-atp_0</t>
  </si>
  <si>
    <t>c-whs_0</t>
  </si>
  <si>
    <t>c-cmn_0</t>
  </si>
  <si>
    <t>c-ofi_0</t>
  </si>
  <si>
    <t>c-ins_0</t>
  </si>
  <si>
    <t>c-rsa_0</t>
  </si>
  <si>
    <t>c-obs_0</t>
  </si>
  <si>
    <t>c-ros_0</t>
  </si>
  <si>
    <t>c-osg_0</t>
  </si>
  <si>
    <t>c-edu_0</t>
  </si>
  <si>
    <t>c-hht_0</t>
  </si>
  <si>
    <t>c-dwe_0</t>
  </si>
  <si>
    <t>m-otp_0</t>
  </si>
  <si>
    <t>m-wtp_0</t>
  </si>
  <si>
    <t>m-atp_0</t>
  </si>
  <si>
    <t>f-tech_aspros_0</t>
  </si>
  <si>
    <t>f-clerks_0</t>
  </si>
  <si>
    <t>f-service_shop_0</t>
  </si>
  <si>
    <t>f-off_mgr_pros_0</t>
  </si>
  <si>
    <t>f-ag_othlowsk_0</t>
  </si>
  <si>
    <t>f-Capital_0</t>
  </si>
  <si>
    <t>f-F_skl_0</t>
  </si>
  <si>
    <t>f-M_skl_0</t>
  </si>
  <si>
    <t>f-F_nsk_0</t>
  </si>
  <si>
    <t>f-M_nsk_0</t>
  </si>
  <si>
    <t>h-hhold_0</t>
  </si>
  <si>
    <t>g-govt_0</t>
  </si>
  <si>
    <t>t-tf_E1Land_0</t>
  </si>
  <si>
    <t>t-tf_E2tech_as_0</t>
  </si>
  <si>
    <t>t-tf_E3clerks_0</t>
  </si>
  <si>
    <t>t-tf_E4service_0</t>
  </si>
  <si>
    <t>t-tf_E5off_mgr_0</t>
  </si>
  <si>
    <t>t-tf_E6ag_othl_0</t>
  </si>
  <si>
    <t>t-tf_E7Capital_0</t>
  </si>
  <si>
    <t>t-tf_E8NatlRes_0</t>
  </si>
  <si>
    <t>t-tf_F_skl_0</t>
  </si>
  <si>
    <t>t-tf_M_skl_0</t>
  </si>
  <si>
    <t>t-tf_F_nsk_0</t>
  </si>
  <si>
    <t>t-tf_M_nsk_0</t>
  </si>
  <si>
    <t>t-tee_world_0</t>
  </si>
  <si>
    <t>t-tmm_world_0</t>
  </si>
  <si>
    <t>t-PRODTAX_0</t>
  </si>
  <si>
    <t>t-DIRTAX_0</t>
  </si>
  <si>
    <t>t-tssm_0</t>
  </si>
  <si>
    <t>t-tssd_0</t>
  </si>
  <si>
    <t>i-CGDS_0</t>
  </si>
  <si>
    <t>w-ww_world_0</t>
  </si>
  <si>
    <t>MAACT3</t>
  </si>
  <si>
    <t>MCCOM3</t>
  </si>
  <si>
    <t>LAND3</t>
  </si>
  <si>
    <t>TAXPROD</t>
  </si>
  <si>
    <t>TAXSUBS</t>
  </si>
  <si>
    <t>TAXDIRECT</t>
  </si>
  <si>
    <t>TAXSALES</t>
  </si>
  <si>
    <t>TAXVAT</t>
  </si>
  <si>
    <t>TAXIMPO</t>
  </si>
  <si>
    <t>TAXEXPO</t>
  </si>
  <si>
    <t>COMMSUBS</t>
  </si>
  <si>
    <t>TAXFACT</t>
  </si>
  <si>
    <t>INVST3</t>
  </si>
  <si>
    <t>GINVT3</t>
  </si>
  <si>
    <t>DELST3</t>
  </si>
  <si>
    <t>DEBT3</t>
  </si>
  <si>
    <t>i-ginv_0</t>
  </si>
  <si>
    <t>e-ent_0</t>
  </si>
  <si>
    <t>e-ent_i</t>
  </si>
  <si>
    <t>debt_i</t>
  </si>
  <si>
    <t>i-ginv_i</t>
  </si>
  <si>
    <t>Proto-SAM!A1</t>
  </si>
  <si>
    <t>macro-sam!B1</t>
  </si>
  <si>
    <t>macro-sam!a3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</si>
</sst>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#"/>
    <numFmt numFmtId="166" formatCode="_ * #,##0.00_ ;_ * \-#,##0.00_ ;_ * &quot;-&quot;??_ ;_ @_ 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Helv"/>
    </font>
    <font>
      <sz val="10"/>
      <name val="Tms Rmn"/>
    </font>
    <font>
      <sz val="8"/>
      <name val="Tms Rmn"/>
    </font>
    <font>
      <sz val="10"/>
      <name val="Times New Roman"/>
      <family val="1"/>
    </font>
    <font>
      <b/>
      <sz val="10"/>
      <name val="Times New Roman"/>
      <family val="1"/>
    </font>
    <font>
      <sz val="8"/>
      <color indexed="81"/>
      <name val="Tahoma"/>
      <family val="2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sz val="10"/>
      <color theme="7" tint="0.39997558519241921"/>
      <name val="Arial"/>
      <family val="2"/>
    </font>
    <font>
      <sz val="10"/>
      <color theme="3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4" fontId="6" fillId="0" borderId="0" applyFont="0" applyBorder="0"/>
    <xf numFmtId="164" fontId="6" fillId="0" borderId="0" applyFont="0" applyBorder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6" applyNumberFormat="0" applyFill="0" applyAlignment="0" applyProtection="0"/>
    <xf numFmtId="0" fontId="28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6" fillId="23" borderId="7" applyNumberFormat="0" applyFont="0" applyAlignment="0" applyProtection="0"/>
    <xf numFmtId="0" fontId="29" fillId="20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43" fontId="6" fillId="0" borderId="0" applyFont="0" applyBorder="0"/>
    <xf numFmtId="43" fontId="6" fillId="0" borderId="0" applyFont="0" applyBorder="0"/>
    <xf numFmtId="0" fontId="1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9" fillId="0" borderId="12" xfId="0" applyFont="1" applyBorder="1"/>
    <xf numFmtId="0" fontId="10" fillId="0" borderId="10" xfId="0" applyFont="1" applyBorder="1"/>
    <xf numFmtId="0" fontId="4" fillId="0" borderId="0" xfId="0" applyFont="1"/>
    <xf numFmtId="0" fontId="12" fillId="0" borderId="12" xfId="0" applyFont="1" applyBorder="1"/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14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9" fillId="0" borderId="0" xfId="0" applyFont="1" applyAlignment="1">
      <alignment horizontal="left"/>
    </xf>
    <xf numFmtId="0" fontId="14" fillId="0" borderId="12" xfId="0" applyFont="1" applyBorder="1"/>
    <xf numFmtId="0" fontId="10" fillId="0" borderId="0" xfId="0" applyFont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1" fontId="0" fillId="0" borderId="0" xfId="0" applyNumberFormat="1"/>
    <xf numFmtId="0" fontId="14" fillId="0" borderId="11" xfId="0" applyFont="1" applyBorder="1"/>
    <xf numFmtId="0" fontId="0" fillId="24" borderId="0" xfId="0" applyFill="1"/>
    <xf numFmtId="0" fontId="0" fillId="0" borderId="12" xfId="0" applyBorder="1"/>
    <xf numFmtId="0" fontId="0" fillId="0" borderId="13" xfId="0" applyBorder="1"/>
    <xf numFmtId="0" fontId="5" fillId="0" borderId="0" xfId="0" applyFont="1"/>
    <xf numFmtId="0" fontId="33" fillId="0" borderId="0" xfId="0" applyFont="1"/>
    <xf numFmtId="0" fontId="34" fillId="0" borderId="0" xfId="0" applyFont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6" fillId="0" borderId="0" xfId="0" applyFont="1"/>
    <xf numFmtId="165" fontId="36" fillId="0" borderId="0" xfId="55" applyNumberFormat="1" applyFont="1"/>
    <xf numFmtId="0" fontId="4" fillId="0" borderId="0" xfId="55" applyAlignment="1">
      <alignment horizontal="left" vertical="center"/>
    </xf>
    <xf numFmtId="0" fontId="4" fillId="0" borderId="0" xfId="58" applyAlignment="1">
      <alignment horizontal="left" vertical="center"/>
    </xf>
    <xf numFmtId="0" fontId="4" fillId="0" borderId="0" xfId="60" applyAlignment="1">
      <alignment horizontal="left" vertical="center"/>
    </xf>
    <xf numFmtId="0" fontId="37" fillId="0" borderId="0" xfId="0" applyFont="1"/>
    <xf numFmtId="0" fontId="0" fillId="0" borderId="0" xfId="0" quotePrefix="1"/>
    <xf numFmtId="0" fontId="38" fillId="0" borderId="0" xfId="0" quotePrefix="1" applyFont="1"/>
    <xf numFmtId="0" fontId="35" fillId="0" borderId="0" xfId="0" quotePrefix="1" applyFont="1"/>
    <xf numFmtId="0" fontId="39" fillId="0" borderId="0" xfId="0" quotePrefix="1" applyFont="1"/>
    <xf numFmtId="0" fontId="40" fillId="0" borderId="0" xfId="0" quotePrefix="1" applyFont="1"/>
    <xf numFmtId="0" fontId="36" fillId="0" borderId="0" xfId="0" quotePrefix="1" applyFont="1"/>
    <xf numFmtId="0" fontId="35" fillId="0" borderId="0" xfId="0" applyFont="1"/>
    <xf numFmtId="0" fontId="4" fillId="0" borderId="0" xfId="62"/>
    <xf numFmtId="0" fontId="4" fillId="0" borderId="0" xfId="0" quotePrefix="1" applyFont="1"/>
    <xf numFmtId="0" fontId="0" fillId="25" borderId="0" xfId="0" quotePrefix="1" applyFill="1"/>
    <xf numFmtId="0" fontId="0" fillId="28" borderId="0" xfId="0" quotePrefix="1" applyFill="1"/>
    <xf numFmtId="0" fontId="0" fillId="26" borderId="0" xfId="0" quotePrefix="1" applyFill="1"/>
    <xf numFmtId="3" fontId="41" fillId="27" borderId="0" xfId="0" applyNumberFormat="1" applyFont="1" applyFill="1" applyAlignment="1">
      <alignment horizontal="center" vertical="center"/>
    </xf>
    <xf numFmtId="0" fontId="4" fillId="27" borderId="0" xfId="0" quotePrefix="1" applyFont="1" applyFill="1"/>
    <xf numFmtId="0" fontId="0" fillId="27" borderId="11" xfId="0" applyFill="1" applyBorder="1"/>
    <xf numFmtId="11" fontId="9" fillId="0" borderId="12" xfId="0" applyNumberFormat="1" applyFont="1" applyBorder="1"/>
    <xf numFmtId="0" fontId="42" fillId="0" borderId="0" xfId="0" applyFont="1"/>
    <xf numFmtId="165" fontId="4" fillId="0" borderId="0" xfId="55" applyNumberFormat="1"/>
    <xf numFmtId="0" fontId="4" fillId="25" borderId="0" xfId="0" quotePrefix="1" applyFont="1" applyFill="1"/>
    <xf numFmtId="0" fontId="4" fillId="28" borderId="0" xfId="0" quotePrefix="1" applyFont="1" applyFill="1"/>
    <xf numFmtId="0" fontId="4" fillId="26" borderId="0" xfId="0" quotePrefix="1" applyFont="1" applyFill="1"/>
  </cellXfs>
  <cellStyles count="7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49" builtinId="21" customBuiltin="1"/>
    <cellStyle name="Berechnung" xfId="26" builtinId="22" customBuiltin="1"/>
    <cellStyle name="Comma [1]" xfId="28" xr:uid="{00000000-0005-0000-0000-00001B000000}"/>
    <cellStyle name="Comma [1] 2" xfId="67" xr:uid="{16D58AFF-AEF3-44F7-903F-B0B68B7DA026}"/>
    <cellStyle name="Comma [2]" xfId="29" xr:uid="{00000000-0005-0000-0000-00001C000000}"/>
    <cellStyle name="Comma [2] 2" xfId="68" xr:uid="{C1A959FB-4D43-4429-A4EA-15E6E75B8325}"/>
    <cellStyle name="Eingabe" xfId="36" builtinId="20" customBuiltin="1"/>
    <cellStyle name="Ergebnis" xfId="51" builtinId="25" customBuiltin="1"/>
    <cellStyle name="Erklärender Text" xfId="30" builtinId="53" customBuiltin="1"/>
    <cellStyle name="Gut" xfId="31" builtinId="26" customBuiltin="1"/>
    <cellStyle name="Komma 2" xfId="66" xr:uid="{07C73F64-57D6-49DE-8CCA-2E0CC64215A9}"/>
    <cellStyle name="Millares 2 2" xfId="64" xr:uid="{232C3562-7B67-46F2-B19B-AB764F0162F1}"/>
    <cellStyle name="Millares 2 2 2" xfId="72" xr:uid="{FCD44119-EE39-4013-ADFB-A5F4B11EE069}"/>
    <cellStyle name="Neutral" xfId="38" builtinId="28" customBuiltin="1"/>
    <cellStyle name="Normal - Style1" xfId="39" xr:uid="{00000000-0005-0000-0000-000020000000}"/>
    <cellStyle name="Normal - Style2" xfId="40" xr:uid="{00000000-0005-0000-0000-000021000000}"/>
    <cellStyle name="Normal - Style3" xfId="41" xr:uid="{00000000-0005-0000-0000-000022000000}"/>
    <cellStyle name="Normal - Style4" xfId="42" xr:uid="{00000000-0005-0000-0000-000023000000}"/>
    <cellStyle name="Normal - Style5" xfId="43" xr:uid="{00000000-0005-0000-0000-000024000000}"/>
    <cellStyle name="Normal - Style6" xfId="44" xr:uid="{00000000-0005-0000-0000-000025000000}"/>
    <cellStyle name="Normal - Style7" xfId="45" xr:uid="{00000000-0005-0000-0000-000026000000}"/>
    <cellStyle name="Normal - Style8" xfId="46" xr:uid="{00000000-0005-0000-0000-000027000000}"/>
    <cellStyle name="Normal 10" xfId="61" xr:uid="{5CDE8E3C-1F84-4E2A-9460-77EBD25A08E3}"/>
    <cellStyle name="Normal 10 2" xfId="63" xr:uid="{9F9A283C-0A84-4EDA-A3BC-2EFDB6CE9D4A}"/>
    <cellStyle name="Normal 10 2 2" xfId="71" xr:uid="{8B592599-B9BA-4A89-BBC0-95CE33ADECD3}"/>
    <cellStyle name="Normal 11 2" xfId="65" xr:uid="{88EC6B2B-845B-439F-A4C2-14AA63747B6A}"/>
    <cellStyle name="Normal 2" xfId="54" xr:uid="{E8096C31-0E24-4496-9A35-D7D57479183D}"/>
    <cellStyle name="Normal 2 2" xfId="57" xr:uid="{1DF1A81E-314B-4CDE-9691-88FF5BF9145D}"/>
    <cellStyle name="Normal 2 2 2" xfId="70" xr:uid="{7B8D6F85-8D9C-4287-8904-DF83DB9D090D}"/>
    <cellStyle name="Normal 3" xfId="62" xr:uid="{6D1F1CE7-00F1-4F4F-974C-B69A1009D003}"/>
    <cellStyle name="Normal 3 2" xfId="55" xr:uid="{C4A9B3A0-3757-4DF2-8826-C574BD2BED18}"/>
    <cellStyle name="Normal 5" xfId="58" xr:uid="{D127A8B2-BECA-46A0-AD42-CC40F22C141F}"/>
    <cellStyle name="Normal 6" xfId="56" xr:uid="{53D75F2B-6F83-444A-8DAE-2F8FCB5F33AF}"/>
    <cellStyle name="Normal 6 2" xfId="69" xr:uid="{0A47F8EB-0FDD-4C49-8618-F51C2D53B705}"/>
    <cellStyle name="Normal 8" xfId="59" xr:uid="{2586D637-C281-48C8-9DC4-9322DD2EF3A6}"/>
    <cellStyle name="Normal 9" xfId="60" xr:uid="{C315BBE2-50B0-44B3-A896-D947D0A9A2E9}"/>
    <cellStyle name="Normal_sam" xfId="47" xr:uid="{00000000-0005-0000-0000-000028000000}"/>
    <cellStyle name="Normale 2" xfId="53" xr:uid="{00000000-0005-0000-0000-00002B000000}"/>
    <cellStyle name="Notiz" xfId="48" builtinId="10" customBuiltin="1"/>
    <cellStyle name="Schlecht" xfId="25" builtinId="27" customBuiltin="1"/>
    <cellStyle name="Standard" xfId="0" builtinId="0"/>
    <cellStyle name="Überschrift" xfId="50" builtinId="15" customBuiltin="1"/>
    <cellStyle name="Überschrift 1" xfId="32" builtinId="16" customBuiltin="1"/>
    <cellStyle name="Überschrift 2" xfId="33" builtinId="17" customBuiltin="1"/>
    <cellStyle name="Überschrift 3" xfId="34" builtinId="18" customBuiltin="1"/>
    <cellStyle name="Überschrift 4" xfId="35" builtinId="19" customBuiltin="1"/>
    <cellStyle name="Verknüpfte Zelle" xfId="37" builtinId="24" customBuiltin="1"/>
    <cellStyle name="Warnender Text" xfId="52" builtinId="11" customBuiltin="1"/>
    <cellStyle name="Zelle überprüfen" xfId="27" builtinId="23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41"/>
  <sheetViews>
    <sheetView tabSelected="1" topLeftCell="A16" workbookViewId="0">
      <selection activeCell="C24" sqref="C24"/>
    </sheetView>
  </sheetViews>
  <sheetFormatPr baseColWidth="10" defaultColWidth="8.88671875" defaultRowHeight="13.2" x14ac:dyDescent="0.25"/>
  <cols>
    <col min="2" max="2" width="14.33203125" customWidth="1"/>
    <col min="3" max="3" width="18.33203125" customWidth="1"/>
    <col min="4" max="4" width="16.5546875" customWidth="1"/>
    <col min="5" max="5" width="17.44140625" customWidth="1"/>
    <col min="6" max="6" width="16.6640625" customWidth="1"/>
  </cols>
  <sheetData>
    <row r="1" spans="1:7" x14ac:dyDescent="0.25">
      <c r="A1" s="1" t="s">
        <v>3</v>
      </c>
      <c r="B1" s="2"/>
      <c r="C1" s="2"/>
      <c r="D1" s="2"/>
      <c r="E1" s="2"/>
      <c r="F1" s="2"/>
    </row>
    <row r="2" spans="1:7" x14ac:dyDescent="0.25">
      <c r="A2" s="2"/>
      <c r="B2" s="2"/>
      <c r="C2" s="2"/>
      <c r="D2" s="2"/>
      <c r="E2" s="2"/>
      <c r="F2" s="2"/>
    </row>
    <row r="3" spans="1:7" x14ac:dyDescent="0.25">
      <c r="A3" s="3" t="s">
        <v>4</v>
      </c>
      <c r="B3" s="3" t="s">
        <v>6</v>
      </c>
      <c r="C3" s="3" t="s">
        <v>7</v>
      </c>
      <c r="D3" s="3" t="s">
        <v>24</v>
      </c>
      <c r="E3" s="3" t="s">
        <v>25</v>
      </c>
      <c r="F3" s="3" t="s">
        <v>26</v>
      </c>
    </row>
    <row r="4" spans="1:7" x14ac:dyDescent="0.25">
      <c r="A4" s="4"/>
      <c r="B4" s="4"/>
      <c r="C4" s="4"/>
      <c r="D4" s="3" t="s">
        <v>21</v>
      </c>
      <c r="E4" s="3" t="s">
        <v>22</v>
      </c>
      <c r="F4" s="3" t="s">
        <v>23</v>
      </c>
    </row>
    <row r="5" spans="1:7" x14ac:dyDescent="0.25">
      <c r="A5" s="2"/>
      <c r="B5" s="2"/>
      <c r="C5" s="2"/>
      <c r="D5" s="2"/>
      <c r="E5" s="2"/>
      <c r="F5" s="2"/>
      <c r="G5" t="s">
        <v>94</v>
      </c>
    </row>
    <row r="6" spans="1:7" x14ac:dyDescent="0.25">
      <c r="A6" t="s">
        <v>5</v>
      </c>
      <c r="B6" t="s">
        <v>37</v>
      </c>
      <c r="C6" t="str">
        <f>IF(A6="dset","Sets!"&amp;HLOOKUP(B6,Sets!$A$2:$AZ$3,2,)&amp;6,IF(A6="set","Maps!"&amp;HLOOKUP(B6,Sets!$A$2:$AZ$3,2,)&amp;6))</f>
        <v>Sets!A6</v>
      </c>
      <c r="D6">
        <v>1</v>
      </c>
    </row>
    <row r="7" spans="1:7" x14ac:dyDescent="0.25">
      <c r="A7" t="s">
        <v>5</v>
      </c>
      <c r="B7" t="s">
        <v>8</v>
      </c>
      <c r="C7" t="str">
        <f>IF(A7="dset","Sets!"&amp;HLOOKUP(B7,Sets!$A$2:$AZ$3,2,)&amp;6,IF(A7="set","Maps!"&amp;HLOOKUP(B7,Sets!$A$2:$AZ$3,2,)&amp;6))</f>
        <v>Sets!F6</v>
      </c>
      <c r="D7">
        <v>1</v>
      </c>
    </row>
    <row r="8" spans="1:7" x14ac:dyDescent="0.25">
      <c r="A8" t="s">
        <v>5</v>
      </c>
      <c r="B8" t="s">
        <v>78</v>
      </c>
      <c r="C8" t="str">
        <f>IF(A8="dset","Sets!"&amp;HLOOKUP(B8,Sets!$A$2:$AZ$3,2,)&amp;6,IF(A8="set","Maps!"&amp;HLOOKUP(B8,Sets!$A$2:$AZ$3,2,)&amp;6))</f>
        <v>Sets!G6</v>
      </c>
      <c r="D8">
        <v>1</v>
      </c>
    </row>
    <row r="9" spans="1:7" x14ac:dyDescent="0.25">
      <c r="A9" t="s">
        <v>5</v>
      </c>
      <c r="B9" t="s">
        <v>9</v>
      </c>
      <c r="C9" t="str">
        <f>IF(A9="dset","Sets!"&amp;HLOOKUP(B9,Sets!$A$2:$AZ$3,2,)&amp;6,IF(A9="set","Maps!"&amp;HLOOKUP(B9,Sets!$A$2:$AZ$3,2,)&amp;6))</f>
        <v>Sets!H6</v>
      </c>
      <c r="D9">
        <v>1</v>
      </c>
    </row>
    <row r="10" spans="1:7" x14ac:dyDescent="0.25">
      <c r="A10" t="s">
        <v>5</v>
      </c>
      <c r="B10" t="s">
        <v>10</v>
      </c>
      <c r="C10" t="str">
        <f>IF(A10="dset","Sets!"&amp;HLOOKUP(B10,Sets!$A$2:$AZ$3,2,)&amp;6,IF(A10="set","Maps!"&amp;HLOOKUP(B10,Sets!$A$2:$AZ$3,2,)&amp;6))</f>
        <v>Sets!I6</v>
      </c>
      <c r="D10">
        <v>1</v>
      </c>
    </row>
    <row r="11" spans="1:7" x14ac:dyDescent="0.25">
      <c r="A11" t="s">
        <v>5</v>
      </c>
      <c r="B11" t="s">
        <v>11</v>
      </c>
      <c r="C11" t="str">
        <f>IF(A11="dset","Sets!"&amp;HLOOKUP(B11,Sets!$A$2:$AZ$3,2,)&amp;6,IF(A11="set","Maps!"&amp;HLOOKUP(B11,Sets!$A$2:$AZ$3,2,)&amp;6))</f>
        <v>Sets!J6</v>
      </c>
      <c r="D11">
        <v>1</v>
      </c>
    </row>
    <row r="12" spans="1:7" x14ac:dyDescent="0.25">
      <c r="A12" t="s">
        <v>5</v>
      </c>
      <c r="B12" t="s">
        <v>12</v>
      </c>
      <c r="C12" t="str">
        <f>IF(A12="dset","Sets!"&amp;HLOOKUP(B12,Sets!$A$2:$AZ$3,2,)&amp;6,IF(A12="set","Maps!"&amp;HLOOKUP(B12,Sets!$A$2:$AZ$3,2,)&amp;6))</f>
        <v>Sets!K6</v>
      </c>
      <c r="D12">
        <v>1</v>
      </c>
    </row>
    <row r="13" spans="1:7" x14ac:dyDescent="0.25">
      <c r="A13" t="s">
        <v>5</v>
      </c>
      <c r="B13" t="s">
        <v>16</v>
      </c>
      <c r="C13" t="str">
        <f>IF(A13="dset","Sets!"&amp;HLOOKUP(B13,Sets!$A$2:$AZ$3,2,)&amp;6,IF(A13="set","Maps!"&amp;HLOOKUP(B13,Sets!$A$2:$AZ$3,2,)&amp;6))</f>
        <v>Sets!L6</v>
      </c>
      <c r="D13">
        <v>1</v>
      </c>
    </row>
    <row r="14" spans="1:7" x14ac:dyDescent="0.25">
      <c r="A14" t="s">
        <v>5</v>
      </c>
      <c r="B14" t="s">
        <v>13</v>
      </c>
      <c r="C14" t="str">
        <f>IF(A14="dset","Sets!"&amp;HLOOKUP(B14,Sets!$A$2:$AZ$3,2,)&amp;6,IF(A14="set","Maps!"&amp;HLOOKUP(B14,Sets!$A$2:$AZ$3,2,)&amp;6))</f>
        <v>Sets!M6</v>
      </c>
      <c r="D14">
        <v>1</v>
      </c>
    </row>
    <row r="15" spans="1:7" x14ac:dyDescent="0.25">
      <c r="A15" t="s">
        <v>5</v>
      </c>
      <c r="B15" t="s">
        <v>66</v>
      </c>
      <c r="C15" t="str">
        <f>IF(A15="dset","Sets!"&amp;HLOOKUP(B15,Sets!$A$2:$AZ$3,2,)&amp;6,IF(A15="set","Maps!"&amp;HLOOKUP(B15,Sets!$A$2:$AZ$3,2,)&amp;6))</f>
        <v>Sets!O6</v>
      </c>
      <c r="D15">
        <v>1</v>
      </c>
    </row>
    <row r="16" spans="1:7" x14ac:dyDescent="0.25">
      <c r="A16" t="s">
        <v>5</v>
      </c>
      <c r="B16" t="s">
        <v>65</v>
      </c>
      <c r="C16" t="str">
        <f>IF(A16="dset","Sets!"&amp;HLOOKUP(B16,Sets!$A$2:$AZ$3,2,)&amp;6,IF(A16="set","Maps!"&amp;HLOOKUP(B16,Sets!$A$2:$AZ$3,2,)&amp;6))</f>
        <v>Sets!P6</v>
      </c>
      <c r="D16">
        <v>1</v>
      </c>
    </row>
    <row r="17" spans="1:6" ht="12" customHeight="1" x14ac:dyDescent="0.25">
      <c r="A17" t="s">
        <v>5</v>
      </c>
      <c r="B17" t="s">
        <v>14</v>
      </c>
      <c r="C17" t="str">
        <f>IF(A17="dset","Sets!"&amp;HLOOKUP(B17,Sets!$A$2:$AZ$3,2,)&amp;6,IF(A17="set","Maps!"&amp;HLOOKUP(B17,Sets!$A$2:$AZ$3,2,)&amp;6))</f>
        <v>Sets!Q6</v>
      </c>
      <c r="D17">
        <v>1</v>
      </c>
    </row>
    <row r="18" spans="1:6" x14ac:dyDescent="0.25">
      <c r="A18" t="s">
        <v>5</v>
      </c>
      <c r="B18" t="s">
        <v>35</v>
      </c>
      <c r="C18" t="str">
        <f>IF(A18="dset","Sets!"&amp;HLOOKUP(B18,Sets!$A$2:$AZ$3,2,)&amp;6,IF(A18="set","Maps!"&amp;HLOOKUP(B18,Sets!$A$2:$AZ$3,2,)&amp;6))</f>
        <v>Sets!R6</v>
      </c>
      <c r="D18">
        <v>1</v>
      </c>
    </row>
    <row r="19" spans="1:6" x14ac:dyDescent="0.25">
      <c r="A19" s="9" t="s">
        <v>5</v>
      </c>
      <c r="B19" s="9" t="s">
        <v>201</v>
      </c>
      <c r="C19" t="str">
        <f>"Sets!"&amp;HLOOKUP(B19,Sets!$A$2:$AZ$3,2,)&amp;6</f>
        <v>Sets!S6</v>
      </c>
      <c r="D19">
        <v>1</v>
      </c>
    </row>
    <row r="20" spans="1:6" x14ac:dyDescent="0.25">
      <c r="A20" t="s">
        <v>5</v>
      </c>
      <c r="B20" t="s">
        <v>15</v>
      </c>
      <c r="C20" t="str">
        <f>IF(A20="dset","Sets!"&amp;HLOOKUP(B20,Sets!$A$2:$AZ$3,2,)&amp;6,IF(A20="set","Maps!"&amp;HLOOKUP(B20,Sets!$A$2:$AZ$3,2,)&amp;6))</f>
        <v>Sets!T6</v>
      </c>
      <c r="D20">
        <v>1</v>
      </c>
    </row>
    <row r="21" spans="1:6" x14ac:dyDescent="0.25">
      <c r="A21" t="s">
        <v>5</v>
      </c>
      <c r="B21" t="s">
        <v>82</v>
      </c>
      <c r="C21" t="str">
        <f>IF(A21="dset","Sets!"&amp;HLOOKUP(B21,Sets!$A$2:$AZ$3,2,)&amp;6,IF(A21="set","Maps!"&amp;HLOOKUP(B21,Sets!$A$2:$AZ$3,2,)&amp;6))</f>
        <v>Sets!V6</v>
      </c>
      <c r="D21">
        <v>1</v>
      </c>
    </row>
    <row r="22" spans="1:6" x14ac:dyDescent="0.25">
      <c r="A22" t="s">
        <v>5</v>
      </c>
      <c r="B22" t="s">
        <v>87</v>
      </c>
      <c r="C22" t="str">
        <f>IF(A22="dset","Sets!"&amp;HLOOKUP(B22,Sets!$A$2:$AZ$3,2,)&amp;6,IF(A22="set","Maps!"&amp;HLOOKUP(B22,Sets!$A$2:$AZ$3,2,)&amp;6))</f>
        <v>Sets!W6</v>
      </c>
      <c r="D22">
        <v>1</v>
      </c>
    </row>
    <row r="23" spans="1:6" x14ac:dyDescent="0.25">
      <c r="A23" t="s">
        <v>5</v>
      </c>
      <c r="B23" t="s">
        <v>88</v>
      </c>
      <c r="C23" t="str">
        <f>IF(A23="dset","Sets!"&amp;HLOOKUP(B23,Sets!$A$2:$AZ$3,2,)&amp;6,IF(A23="set","Maps!"&amp;HLOOKUP(B23,Sets!$A$2:$AZ$3,2,)&amp;6))</f>
        <v>Sets!X6</v>
      </c>
      <c r="D23">
        <v>1</v>
      </c>
    </row>
    <row r="24" spans="1:6" x14ac:dyDescent="0.25">
      <c r="A24" t="s">
        <v>34</v>
      </c>
      <c r="B24" t="s">
        <v>81</v>
      </c>
      <c r="C24" s="9" t="s">
        <v>728</v>
      </c>
      <c r="D24">
        <v>1</v>
      </c>
      <c r="E24">
        <v>1</v>
      </c>
    </row>
    <row r="25" spans="1:6" x14ac:dyDescent="0.25">
      <c r="A25" t="s">
        <v>5</v>
      </c>
      <c r="B25" t="s">
        <v>39</v>
      </c>
      <c r="C25" t="s">
        <v>84</v>
      </c>
      <c r="D25">
        <v>1</v>
      </c>
    </row>
    <row r="26" spans="1:6" x14ac:dyDescent="0.25">
      <c r="A26" t="s">
        <v>34</v>
      </c>
      <c r="B26" t="s">
        <v>96</v>
      </c>
      <c r="C26" t="s">
        <v>84</v>
      </c>
      <c r="D26">
        <v>1</v>
      </c>
    </row>
    <row r="27" spans="1:6" x14ac:dyDescent="0.25">
      <c r="A27" t="s">
        <v>34</v>
      </c>
      <c r="B27" t="s">
        <v>108</v>
      </c>
      <c r="C27" s="9" t="s">
        <v>726</v>
      </c>
      <c r="D27">
        <v>1</v>
      </c>
      <c r="E27">
        <v>1</v>
      </c>
    </row>
    <row r="28" spans="1:6" x14ac:dyDescent="0.25">
      <c r="A28" t="s">
        <v>34</v>
      </c>
      <c r="B28" t="s">
        <v>98</v>
      </c>
      <c r="C28" t="s">
        <v>727</v>
      </c>
      <c r="F28">
        <v>0</v>
      </c>
    </row>
    <row r="29" spans="1:6" x14ac:dyDescent="0.25">
      <c r="A29" t="s">
        <v>34</v>
      </c>
      <c r="B29" t="s">
        <v>102</v>
      </c>
      <c r="C29" s="9" t="s">
        <v>106</v>
      </c>
      <c r="D29">
        <v>2</v>
      </c>
      <c r="E29">
        <v>2</v>
      </c>
    </row>
    <row r="30" spans="1:6" x14ac:dyDescent="0.25">
      <c r="A30" t="s">
        <v>97</v>
      </c>
      <c r="B30" t="s">
        <v>103</v>
      </c>
      <c r="C30" t="str">
        <f>"Sets!"&amp;HLOOKUP(B30,Sets!$A$2:$AZ$3,2,)&amp;6</f>
        <v>Sets!C6</v>
      </c>
      <c r="D30">
        <v>2</v>
      </c>
    </row>
    <row r="31" spans="1:6" x14ac:dyDescent="0.25">
      <c r="A31" s="6" t="s">
        <v>5</v>
      </c>
      <c r="B31" t="s">
        <v>105</v>
      </c>
      <c r="C31" t="str">
        <f>"Sets!"&amp;HLOOKUP(B31,Sets!$A$2:$AZ$3,2,)&amp;6</f>
        <v>Sets!N6</v>
      </c>
      <c r="D31">
        <v>1</v>
      </c>
    </row>
    <row r="32" spans="1:6" x14ac:dyDescent="0.25">
      <c r="A32" s="9" t="s">
        <v>97</v>
      </c>
      <c r="B32" t="s">
        <v>107</v>
      </c>
      <c r="C32" t="str">
        <f>"Sets!"&amp;HLOOKUP(B32,Sets!$A$2:$AZ$3,2,)&amp;6</f>
        <v>Sets!AA6</v>
      </c>
      <c r="D32">
        <v>2</v>
      </c>
    </row>
    <row r="33" spans="1:5" x14ac:dyDescent="0.25">
      <c r="A33" s="9" t="s">
        <v>97</v>
      </c>
      <c r="B33" t="s">
        <v>361</v>
      </c>
      <c r="C33" t="s">
        <v>365</v>
      </c>
      <c r="D33">
        <v>1</v>
      </c>
    </row>
    <row r="34" spans="1:5" x14ac:dyDescent="0.25">
      <c r="A34" s="9" t="s">
        <v>97</v>
      </c>
      <c r="B34" t="s">
        <v>362</v>
      </c>
      <c r="C34" t="s">
        <v>366</v>
      </c>
      <c r="D34">
        <v>1</v>
      </c>
    </row>
    <row r="35" spans="1:5" x14ac:dyDescent="0.25">
      <c r="A35" s="9" t="s">
        <v>97</v>
      </c>
      <c r="B35" t="s">
        <v>368</v>
      </c>
      <c r="C35" t="s">
        <v>367</v>
      </c>
      <c r="D35">
        <v>1</v>
      </c>
    </row>
    <row r="36" spans="1:5" x14ac:dyDescent="0.25">
      <c r="A36" s="9" t="s">
        <v>97</v>
      </c>
      <c r="B36" t="s">
        <v>109</v>
      </c>
      <c r="C36" t="str">
        <f>"Sets!"&amp;HLOOKUP(B36,Sets!$A$2:$AZ$3,2,)&amp;6</f>
        <v>Sets!AD6</v>
      </c>
      <c r="D36">
        <v>2</v>
      </c>
    </row>
    <row r="37" spans="1:5" x14ac:dyDescent="0.25">
      <c r="A37" s="9" t="s">
        <v>97</v>
      </c>
      <c r="B37" t="s">
        <v>110</v>
      </c>
      <c r="C37" t="str">
        <f>"Sets!"&amp;HLOOKUP(B37,Sets!$A$2:$BJ$3,2,)&amp;6</f>
        <v>Sets!AJ6</v>
      </c>
      <c r="D37">
        <v>2</v>
      </c>
    </row>
    <row r="38" spans="1:5" x14ac:dyDescent="0.25">
      <c r="A38" s="9" t="s">
        <v>97</v>
      </c>
      <c r="B38" t="s">
        <v>111</v>
      </c>
      <c r="C38" t="str">
        <f>"Sets!"&amp;HLOOKUP(B38,Sets!$A$2:$BG$3,2,)&amp;6</f>
        <v>Sets!AM6</v>
      </c>
      <c r="D38">
        <v>2</v>
      </c>
    </row>
    <row r="39" spans="1:5" x14ac:dyDescent="0.25">
      <c r="A39" s="9" t="s">
        <v>97</v>
      </c>
      <c r="B39" t="s">
        <v>112</v>
      </c>
      <c r="C39" t="str">
        <f>"Sets!"&amp;HLOOKUP(B39,Sets!$A$2:$BG$3,2,)&amp;6</f>
        <v>Sets!AP6</v>
      </c>
      <c r="D39">
        <v>2</v>
      </c>
    </row>
    <row r="40" spans="1:5" x14ac:dyDescent="0.25">
      <c r="A40" s="9" t="s">
        <v>97</v>
      </c>
      <c r="B40" t="s">
        <v>113</v>
      </c>
      <c r="C40" t="str">
        <f>"Sets!"&amp;HLOOKUP(B40,Sets!$A$2:$BG$3,2,)&amp;6</f>
        <v>Sets!AS6</v>
      </c>
      <c r="D40">
        <v>2</v>
      </c>
    </row>
    <row r="41" spans="1:5" x14ac:dyDescent="0.25">
      <c r="A41" s="9" t="s">
        <v>34</v>
      </c>
      <c r="B41" t="s">
        <v>370</v>
      </c>
      <c r="C41" t="s">
        <v>371</v>
      </c>
      <c r="D41">
        <v>2</v>
      </c>
      <c r="E41" t="s">
        <v>372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1F16-BE58-4EA0-A3CD-3D63977020B0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11"/>
  <sheetViews>
    <sheetView zoomScale="90" zoomScaleNormal="90" workbookViewId="0">
      <pane ySplit="5" topLeftCell="A161" activePane="bottomLeft" state="frozen"/>
      <selection pane="bottomLeft" activeCell="C176" sqref="C176"/>
    </sheetView>
  </sheetViews>
  <sheetFormatPr baseColWidth="10" defaultColWidth="9.109375" defaultRowHeight="13.2" x14ac:dyDescent="0.25"/>
  <cols>
    <col min="1" max="1" width="16.44140625" bestFit="1" customWidth="1"/>
    <col min="2" max="2" width="16.44140625" customWidth="1"/>
    <col min="3" max="3" width="14.44140625" bestFit="1" customWidth="1"/>
    <col min="4" max="4" width="13.44140625" bestFit="1" customWidth="1"/>
    <col min="5" max="5" width="18.44140625" customWidth="1"/>
    <col min="6" max="6" width="10.88671875" bestFit="1" customWidth="1"/>
    <col min="7" max="7" width="7.44140625" bestFit="1" customWidth="1"/>
    <col min="8" max="8" width="10.33203125" bestFit="1" customWidth="1"/>
    <col min="9" max="9" width="14.33203125" bestFit="1" customWidth="1"/>
    <col min="10" max="10" width="13.88671875" bestFit="1" customWidth="1"/>
    <col min="11" max="11" width="14.33203125" bestFit="1" customWidth="1"/>
    <col min="12" max="12" width="10.88671875" bestFit="1" customWidth="1"/>
    <col min="13" max="13" width="10.33203125" bestFit="1" customWidth="1"/>
    <col min="14" max="15" width="13.44140625" bestFit="1" customWidth="1"/>
    <col min="16" max="16" width="9.88671875" bestFit="1" customWidth="1"/>
    <col min="17" max="17" width="10" customWidth="1"/>
    <col min="18" max="18" width="20.33203125" bestFit="1" customWidth="1"/>
    <col min="19" max="19" width="19.88671875" bestFit="1" customWidth="1"/>
    <col min="20" max="20" width="12.109375" bestFit="1" customWidth="1"/>
    <col min="22" max="22" width="12.44140625" bestFit="1" customWidth="1"/>
    <col min="23" max="23" width="12.109375" customWidth="1"/>
    <col min="24" max="24" width="10" bestFit="1" customWidth="1"/>
    <col min="27" max="27" width="12.109375" bestFit="1" customWidth="1"/>
    <col min="28" max="28" width="12.88671875" style="9" bestFit="1" customWidth="1"/>
    <col min="29" max="29" width="12" bestFit="1" customWidth="1"/>
    <col min="30" max="30" width="16.6640625" bestFit="1" customWidth="1"/>
    <col min="31" max="31" width="10.5546875" bestFit="1" customWidth="1"/>
    <col min="36" max="36" width="11.6640625" bestFit="1" customWidth="1"/>
    <col min="37" max="37" width="10.5546875" bestFit="1" customWidth="1"/>
    <col min="38" max="38" width="3.44140625" bestFit="1" customWidth="1"/>
    <col min="39" max="39" width="11.5546875" bestFit="1" customWidth="1"/>
    <col min="40" max="40" width="11.6640625" bestFit="1" customWidth="1"/>
    <col min="41" max="41" width="3.6640625" bestFit="1" customWidth="1"/>
    <col min="42" max="42" width="8.6640625" customWidth="1"/>
    <col min="43" max="43" width="10.33203125" bestFit="1" customWidth="1"/>
    <col min="44" max="44" width="3.5546875" bestFit="1" customWidth="1"/>
    <col min="45" max="45" width="10.5546875" bestFit="1" customWidth="1"/>
    <col min="46" max="46" width="10.44140625" bestFit="1" customWidth="1"/>
    <col min="47" max="47" width="3.6640625" bestFit="1" customWidth="1"/>
    <col min="49" max="49" width="13" bestFit="1" customWidth="1"/>
    <col min="50" max="50" width="10" bestFit="1" customWidth="1"/>
    <col min="52" max="52" width="34.109375" customWidth="1"/>
  </cols>
  <sheetData>
    <row r="1" spans="1:52" x14ac:dyDescent="0.25">
      <c r="A1" s="1" t="s">
        <v>17</v>
      </c>
      <c r="B1" s="1"/>
      <c r="C1" s="1" t="s">
        <v>17</v>
      </c>
      <c r="E1" s="2"/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/>
      <c r="O1" s="2" t="s">
        <v>75</v>
      </c>
      <c r="P1" s="2" t="s">
        <v>76</v>
      </c>
      <c r="Q1" s="2" t="s">
        <v>80</v>
      </c>
      <c r="R1" s="2" t="s">
        <v>197</v>
      </c>
      <c r="S1" s="27" t="s">
        <v>198</v>
      </c>
      <c r="T1" s="2" t="s">
        <v>77</v>
      </c>
      <c r="U1" s="2" t="s">
        <v>79</v>
      </c>
      <c r="V1" s="2"/>
      <c r="W1" s="2"/>
      <c r="X1" s="2"/>
    </row>
    <row r="2" spans="1:52" x14ac:dyDescent="0.25">
      <c r="A2" s="28" t="str">
        <f t="shared" ref="A2:M2" si="0">+A5</f>
        <v>AC</v>
      </c>
      <c r="B2" s="28"/>
      <c r="C2" s="28" t="str">
        <f>+C5</f>
        <v>map_acIni_ac</v>
      </c>
      <c r="D2" s="28">
        <f>+D5</f>
        <v>0</v>
      </c>
      <c r="E2" s="28">
        <f t="shared" si="0"/>
        <v>0</v>
      </c>
      <c r="F2" s="28" t="str">
        <f t="shared" si="0"/>
        <v>c</v>
      </c>
      <c r="G2" s="28" t="str">
        <f t="shared" si="0"/>
        <v>mrgn</v>
      </c>
      <c r="H2" s="28" t="str">
        <f t="shared" si="0"/>
        <v>a</v>
      </c>
      <c r="I2" s="28" t="str">
        <f t="shared" si="0"/>
        <v>f</v>
      </c>
      <c r="J2" s="28" t="str">
        <f t="shared" si="0"/>
        <v>l</v>
      </c>
      <c r="K2" s="28" t="str">
        <f t="shared" si="0"/>
        <v>k</v>
      </c>
      <c r="L2" s="28" t="str">
        <f t="shared" si="0"/>
        <v>h</v>
      </c>
      <c r="M2" s="28" t="str">
        <f t="shared" si="0"/>
        <v>g</v>
      </c>
      <c r="N2" s="28" t="str">
        <f t="shared" ref="N2:S2" si="1">+N5</f>
        <v>gt</v>
      </c>
      <c r="O2" s="28" t="str">
        <f t="shared" si="1"/>
        <v>gtind</v>
      </c>
      <c r="P2" s="28" t="str">
        <f t="shared" si="1"/>
        <v>gtdir</v>
      </c>
      <c r="Q2" s="28" t="str">
        <f t="shared" si="1"/>
        <v>e</v>
      </c>
      <c r="R2" s="28" t="str">
        <f t="shared" si="1"/>
        <v>i</v>
      </c>
      <c r="S2" s="28" t="str">
        <f t="shared" si="1"/>
        <v>gINV</v>
      </c>
      <c r="T2" s="28" t="str">
        <f t="shared" ref="T2:X2" si="2">+T5</f>
        <v>w</v>
      </c>
      <c r="U2" s="28">
        <f t="shared" si="2"/>
        <v>0</v>
      </c>
      <c r="V2" s="28" t="str">
        <f t="shared" si="2"/>
        <v>acm</v>
      </c>
      <c r="W2" s="28" t="str">
        <f t="shared" si="2"/>
        <v>emrgn</v>
      </c>
      <c r="X2" s="28" t="str">
        <f t="shared" si="2"/>
        <v>etax</v>
      </c>
      <c r="Y2" s="28">
        <f t="shared" ref="Y2" si="3">+Y5</f>
        <v>0</v>
      </c>
      <c r="Z2" s="28">
        <f t="shared" ref="Z2:AJ2" si="4">+Z5</f>
        <v>0</v>
      </c>
      <c r="AA2" s="28" t="str">
        <f t="shared" si="4"/>
        <v>macmap3</v>
      </c>
      <c r="AB2" s="54">
        <f t="shared" si="4"/>
        <v>0</v>
      </c>
      <c r="AC2" s="28">
        <f t="shared" si="4"/>
        <v>0</v>
      </c>
      <c r="AD2" s="28" t="str">
        <f t="shared" si="4"/>
        <v>map_acIni_acini</v>
      </c>
      <c r="AE2" s="28">
        <f t="shared" si="4"/>
        <v>0</v>
      </c>
      <c r="AF2" s="28" t="s">
        <v>369</v>
      </c>
      <c r="AG2" s="28" t="str">
        <f t="shared" ref="AG2" si="5">+AG5</f>
        <v>asplit_gtap</v>
      </c>
      <c r="AH2" s="28" t="str">
        <f t="shared" ref="AH2" si="6">+AH5</f>
        <v>csplit_gtap</v>
      </c>
      <c r="AI2" s="28">
        <f t="shared" ref="AI2" si="7">+AI5</f>
        <v>0</v>
      </c>
      <c r="AJ2" s="28" t="str">
        <f t="shared" si="4"/>
        <v>map_aG_ac</v>
      </c>
      <c r="AK2" s="28">
        <f t="shared" ref="AK2:AV2" si="8">+AK5</f>
        <v>0</v>
      </c>
      <c r="AL2" s="28">
        <f t="shared" si="8"/>
        <v>0</v>
      </c>
      <c r="AM2" s="28" t="str">
        <f t="shared" si="8"/>
        <v>map_cG_ac</v>
      </c>
      <c r="AN2" s="28">
        <f t="shared" si="8"/>
        <v>0</v>
      </c>
      <c r="AO2" s="28">
        <f t="shared" si="8"/>
        <v>0</v>
      </c>
      <c r="AP2" s="28" t="str">
        <f t="shared" si="8"/>
        <v>map_fG_ac</v>
      </c>
      <c r="AQ2" s="28">
        <f t="shared" si="8"/>
        <v>0</v>
      </c>
      <c r="AR2" s="28">
        <f t="shared" si="8"/>
        <v>0</v>
      </c>
      <c r="AS2" s="28" t="str">
        <f t="shared" si="8"/>
        <v>map_a_c</v>
      </c>
      <c r="AT2" s="28">
        <f t="shared" si="8"/>
        <v>0</v>
      </c>
      <c r="AU2" s="28">
        <f t="shared" si="8"/>
        <v>0</v>
      </c>
      <c r="AV2" s="28">
        <f t="shared" si="8"/>
        <v>0</v>
      </c>
      <c r="AW2" s="28"/>
      <c r="AX2" s="28"/>
      <c r="AY2" s="28"/>
      <c r="AZ2" s="28"/>
    </row>
    <row r="3" spans="1:52" x14ac:dyDescent="0.25">
      <c r="A3" s="29" t="str">
        <f t="shared" ref="A3:Y3" si="9">SUBSTITUTE(ADDRESS(1,COLUMN(),4),"1","")</f>
        <v>A</v>
      </c>
      <c r="B3" s="29"/>
      <c r="C3" s="29" t="str">
        <f t="shared" ref="C3:AV3" si="10">SUBSTITUTE(ADDRESS(1,COLUMN(),4),"1","")</f>
        <v>C</v>
      </c>
      <c r="D3" s="29" t="str">
        <f t="shared" si="10"/>
        <v>D</v>
      </c>
      <c r="E3" s="29" t="str">
        <f t="shared" si="9"/>
        <v>E</v>
      </c>
      <c r="F3" s="29" t="str">
        <f t="shared" si="9"/>
        <v>F</v>
      </c>
      <c r="G3" s="29" t="str">
        <f t="shared" si="9"/>
        <v>G</v>
      </c>
      <c r="H3" s="29" t="str">
        <f t="shared" si="9"/>
        <v>H</v>
      </c>
      <c r="I3" s="29" t="str">
        <f t="shared" si="9"/>
        <v>I</v>
      </c>
      <c r="J3" s="29" t="str">
        <f t="shared" si="9"/>
        <v>J</v>
      </c>
      <c r="K3" s="29" t="str">
        <f t="shared" si="9"/>
        <v>K</v>
      </c>
      <c r="L3" s="29" t="str">
        <f t="shared" si="9"/>
        <v>L</v>
      </c>
      <c r="M3" s="29" t="str">
        <f t="shared" si="9"/>
        <v>M</v>
      </c>
      <c r="N3" s="29" t="str">
        <f t="shared" si="9"/>
        <v>N</v>
      </c>
      <c r="O3" s="29" t="str">
        <f t="shared" si="9"/>
        <v>O</v>
      </c>
      <c r="P3" s="29" t="str">
        <f t="shared" si="9"/>
        <v>P</v>
      </c>
      <c r="Q3" s="29" t="str">
        <f t="shared" si="9"/>
        <v>Q</v>
      </c>
      <c r="R3" s="29" t="str">
        <f t="shared" si="9"/>
        <v>R</v>
      </c>
      <c r="S3" s="29" t="str">
        <f t="shared" si="9"/>
        <v>S</v>
      </c>
      <c r="T3" s="29" t="str">
        <f t="shared" si="9"/>
        <v>T</v>
      </c>
      <c r="U3" s="29" t="str">
        <f t="shared" si="9"/>
        <v>U</v>
      </c>
      <c r="V3" s="29" t="str">
        <f t="shared" si="9"/>
        <v>V</v>
      </c>
      <c r="W3" s="29" t="str">
        <f t="shared" si="9"/>
        <v>W</v>
      </c>
      <c r="X3" s="29" t="str">
        <f t="shared" si="9"/>
        <v>X</v>
      </c>
      <c r="Y3" s="29" t="str">
        <f t="shared" si="9"/>
        <v>Y</v>
      </c>
      <c r="Z3" s="29" t="str">
        <f t="shared" si="10"/>
        <v>Z</v>
      </c>
      <c r="AA3" s="29" t="str">
        <f t="shared" si="10"/>
        <v>AA</v>
      </c>
      <c r="AB3" s="54" t="str">
        <f t="shared" si="10"/>
        <v>AB</v>
      </c>
      <c r="AC3" s="29" t="str">
        <f t="shared" si="10"/>
        <v>AC</v>
      </c>
      <c r="AD3" s="29" t="str">
        <f t="shared" si="10"/>
        <v>AD</v>
      </c>
      <c r="AE3" s="29" t="str">
        <f t="shared" si="10"/>
        <v>AE</v>
      </c>
      <c r="AF3" s="29" t="str">
        <f t="shared" si="10"/>
        <v>AF</v>
      </c>
      <c r="AG3" s="29" t="str">
        <f t="shared" si="10"/>
        <v>AG</v>
      </c>
      <c r="AH3" s="29" t="str">
        <f t="shared" si="10"/>
        <v>AH</v>
      </c>
      <c r="AI3" s="29" t="str">
        <f t="shared" si="10"/>
        <v>AI</v>
      </c>
      <c r="AJ3" s="29" t="str">
        <f t="shared" si="10"/>
        <v>AJ</v>
      </c>
      <c r="AK3" s="29" t="str">
        <f t="shared" si="10"/>
        <v>AK</v>
      </c>
      <c r="AL3" s="29" t="str">
        <f t="shared" si="10"/>
        <v>AL</v>
      </c>
      <c r="AM3" s="29" t="str">
        <f t="shared" si="10"/>
        <v>AM</v>
      </c>
      <c r="AN3" s="29" t="str">
        <f t="shared" si="10"/>
        <v>AN</v>
      </c>
      <c r="AO3" s="29" t="str">
        <f t="shared" si="10"/>
        <v>AO</v>
      </c>
      <c r="AP3" s="29" t="str">
        <f t="shared" si="10"/>
        <v>AP</v>
      </c>
      <c r="AQ3" s="29" t="str">
        <f t="shared" si="10"/>
        <v>AQ</v>
      </c>
      <c r="AR3" s="29" t="str">
        <f t="shared" si="10"/>
        <v>AR</v>
      </c>
      <c r="AS3" s="29" t="str">
        <f t="shared" si="10"/>
        <v>AS</v>
      </c>
      <c r="AT3" s="29" t="str">
        <f t="shared" si="10"/>
        <v>AT</v>
      </c>
      <c r="AU3" s="29" t="str">
        <f t="shared" si="10"/>
        <v>AU</v>
      </c>
      <c r="AV3" s="29" t="str">
        <f t="shared" si="10"/>
        <v>AV</v>
      </c>
      <c r="AW3" s="29"/>
      <c r="AX3" s="29"/>
      <c r="AY3" s="29"/>
      <c r="AZ3" s="29"/>
    </row>
    <row r="4" spans="1:52" ht="39.6" x14ac:dyDescent="0.25">
      <c r="A4" s="3" t="s">
        <v>18</v>
      </c>
      <c r="B4" s="3"/>
      <c r="E4" s="2"/>
      <c r="F4" s="30" t="s">
        <v>27</v>
      </c>
      <c r="G4" s="30" t="s">
        <v>28</v>
      </c>
      <c r="H4" s="30" t="s">
        <v>29</v>
      </c>
      <c r="I4" s="30" t="s">
        <v>30</v>
      </c>
      <c r="J4" s="30" t="s">
        <v>31</v>
      </c>
      <c r="K4" s="30" t="s">
        <v>32</v>
      </c>
      <c r="L4" s="30" t="s">
        <v>33</v>
      </c>
      <c r="M4" s="30" t="s">
        <v>2</v>
      </c>
      <c r="N4" s="30"/>
      <c r="O4" s="30" t="s">
        <v>64</v>
      </c>
      <c r="P4" s="30" t="s">
        <v>36</v>
      </c>
      <c r="Q4" s="30" t="s">
        <v>1</v>
      </c>
      <c r="R4" s="31" t="s">
        <v>200</v>
      </c>
      <c r="S4" s="30"/>
      <c r="T4" s="30" t="s">
        <v>0</v>
      </c>
      <c r="U4" s="1"/>
      <c r="V4" s="30" t="s">
        <v>85</v>
      </c>
      <c r="W4" s="30" t="s">
        <v>86</v>
      </c>
      <c r="X4" s="30" t="s">
        <v>20</v>
      </c>
      <c r="AG4" s="31" t="s">
        <v>363</v>
      </c>
      <c r="AH4" s="31" t="s">
        <v>364</v>
      </c>
    </row>
    <row r="5" spans="1:52" x14ac:dyDescent="0.25">
      <c r="A5" s="13" t="s">
        <v>38</v>
      </c>
      <c r="B5" s="3"/>
      <c r="C5" s="3" t="s">
        <v>103</v>
      </c>
      <c r="E5" s="8"/>
      <c r="F5" s="13" t="s">
        <v>8</v>
      </c>
      <c r="G5" s="13" t="s">
        <v>78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16</v>
      </c>
      <c r="M5" s="13" t="s">
        <v>13</v>
      </c>
      <c r="N5" s="13" t="s">
        <v>105</v>
      </c>
      <c r="O5" s="13" t="s">
        <v>66</v>
      </c>
      <c r="P5" s="13" t="s">
        <v>65</v>
      </c>
      <c r="Q5" s="13" t="s">
        <v>14</v>
      </c>
      <c r="R5" s="13" t="s">
        <v>35</v>
      </c>
      <c r="S5" s="13" t="s">
        <v>201</v>
      </c>
      <c r="T5" s="13" t="s">
        <v>15</v>
      </c>
      <c r="U5" s="13"/>
      <c r="V5" s="13" t="s">
        <v>82</v>
      </c>
      <c r="W5" s="13" t="s">
        <v>87</v>
      </c>
      <c r="X5" s="13" t="s">
        <v>88</v>
      </c>
      <c r="AA5" t="s">
        <v>107</v>
      </c>
      <c r="AD5" s="3" t="s">
        <v>109</v>
      </c>
      <c r="AF5" t="s">
        <v>369</v>
      </c>
      <c r="AG5" t="s">
        <v>361</v>
      </c>
      <c r="AH5" t="s">
        <v>362</v>
      </c>
      <c r="AJ5" s="24" t="s">
        <v>110</v>
      </c>
      <c r="AM5" s="24" t="s">
        <v>111</v>
      </c>
      <c r="AP5" t="s">
        <v>112</v>
      </c>
      <c r="AS5" s="24" t="s">
        <v>113</v>
      </c>
    </row>
    <row r="6" spans="1:52" x14ac:dyDescent="0.25">
      <c r="A6" s="46" t="s">
        <v>540</v>
      </c>
      <c r="B6" s="39"/>
      <c r="C6" s="46" t="s">
        <v>373</v>
      </c>
      <c r="D6" s="46" t="s">
        <v>540</v>
      </c>
      <c r="F6" s="46" t="s">
        <v>605</v>
      </c>
      <c r="G6" s="40" t="s">
        <v>670</v>
      </c>
      <c r="H6" s="46" t="s">
        <v>540</v>
      </c>
      <c r="I6" s="46" t="s">
        <v>213</v>
      </c>
      <c r="J6" s="46" t="s">
        <v>673</v>
      </c>
      <c r="K6" s="46" t="s">
        <v>678</v>
      </c>
      <c r="L6" s="38" t="s">
        <v>683</v>
      </c>
      <c r="M6" s="38" t="s">
        <v>684</v>
      </c>
      <c r="N6" s="38" t="s">
        <v>685</v>
      </c>
      <c r="O6" s="38" t="s">
        <v>685</v>
      </c>
      <c r="P6" s="38" t="s">
        <v>700</v>
      </c>
      <c r="Q6" s="46" t="s">
        <v>722</v>
      </c>
      <c r="R6" s="46" t="s">
        <v>703</v>
      </c>
      <c r="S6" s="46" t="s">
        <v>721</v>
      </c>
      <c r="T6" s="46" t="s">
        <v>704</v>
      </c>
      <c r="V6" t="s">
        <v>705</v>
      </c>
      <c r="AA6" t="s">
        <v>705</v>
      </c>
      <c r="AB6" s="46" t="s">
        <v>540</v>
      </c>
      <c r="AD6" s="46" t="s">
        <v>373</v>
      </c>
      <c r="AE6" s="46" t="s">
        <v>373</v>
      </c>
      <c r="AG6" t="s">
        <v>203</v>
      </c>
      <c r="AH6" t="s">
        <v>210</v>
      </c>
      <c r="AJ6" t="s">
        <v>114</v>
      </c>
      <c r="AK6" t="s">
        <v>221</v>
      </c>
      <c r="AM6" s="45" t="s">
        <v>114</v>
      </c>
      <c r="AN6" s="45" t="s">
        <v>222</v>
      </c>
      <c r="AP6" s="32" t="s">
        <v>190</v>
      </c>
      <c r="AQ6" s="42" t="s">
        <v>223</v>
      </c>
      <c r="AS6" s="46" t="s">
        <v>540</v>
      </c>
      <c r="AT6" s="46" t="s">
        <v>605</v>
      </c>
    </row>
    <row r="7" spans="1:52" x14ac:dyDescent="0.25">
      <c r="A7" s="46" t="s">
        <v>541</v>
      </c>
      <c r="B7" s="39"/>
      <c r="C7" s="46" t="s">
        <v>374</v>
      </c>
      <c r="D7" s="46" t="s">
        <v>541</v>
      </c>
      <c r="F7" s="46" t="s">
        <v>606</v>
      </c>
      <c r="G7" t="s">
        <v>671</v>
      </c>
      <c r="H7" s="46" t="s">
        <v>541</v>
      </c>
      <c r="I7" s="46" t="s">
        <v>673</v>
      </c>
      <c r="J7" s="46" t="s">
        <v>674</v>
      </c>
      <c r="L7" s="38"/>
      <c r="N7" s="48" t="s">
        <v>686</v>
      </c>
      <c r="O7" s="48" t="s">
        <v>686</v>
      </c>
      <c r="R7" s="46"/>
      <c r="V7" t="s">
        <v>706</v>
      </c>
      <c r="AA7" t="s">
        <v>705</v>
      </c>
      <c r="AB7" s="46" t="s">
        <v>541</v>
      </c>
      <c r="AD7" s="46" t="s">
        <v>374</v>
      </c>
      <c r="AE7" s="46" t="s">
        <v>374</v>
      </c>
      <c r="AG7" t="s">
        <v>204</v>
      </c>
      <c r="AH7" t="s">
        <v>324</v>
      </c>
      <c r="AJ7" t="s">
        <v>115</v>
      </c>
      <c r="AK7" t="s">
        <v>221</v>
      </c>
      <c r="AM7" s="45" t="s">
        <v>115</v>
      </c>
      <c r="AN7" s="45" t="s">
        <v>222</v>
      </c>
      <c r="AP7" s="32" t="s">
        <v>190</v>
      </c>
      <c r="AQ7" s="42" t="s">
        <v>225</v>
      </c>
      <c r="AS7" s="46" t="s">
        <v>541</v>
      </c>
      <c r="AT7" s="46" t="s">
        <v>606</v>
      </c>
    </row>
    <row r="8" spans="1:52" x14ac:dyDescent="0.25">
      <c r="A8" s="46" t="s">
        <v>542</v>
      </c>
      <c r="B8" s="39"/>
      <c r="C8" s="46" t="s">
        <v>375</v>
      </c>
      <c r="D8" s="46" t="s">
        <v>542</v>
      </c>
      <c r="F8" s="46" t="s">
        <v>607</v>
      </c>
      <c r="G8" t="s">
        <v>672</v>
      </c>
      <c r="H8" s="46" t="s">
        <v>542</v>
      </c>
      <c r="I8" s="46" t="s">
        <v>674</v>
      </c>
      <c r="J8" s="46" t="s">
        <v>675</v>
      </c>
      <c r="L8" s="38"/>
      <c r="N8" s="48" t="s">
        <v>687</v>
      </c>
      <c r="O8" s="48" t="s">
        <v>687</v>
      </c>
      <c r="R8" s="36"/>
      <c r="T8" s="9"/>
      <c r="V8" s="44" t="s">
        <v>68</v>
      </c>
      <c r="AA8" t="s">
        <v>705</v>
      </c>
      <c r="AB8" s="46" t="s">
        <v>542</v>
      </c>
      <c r="AD8" s="46" t="s">
        <v>375</v>
      </c>
      <c r="AE8" s="46" t="s">
        <v>375</v>
      </c>
      <c r="AG8" t="s">
        <v>205</v>
      </c>
      <c r="AJ8" t="s">
        <v>116</v>
      </c>
      <c r="AK8" t="s">
        <v>221</v>
      </c>
      <c r="AM8" s="45" t="s">
        <v>116</v>
      </c>
      <c r="AN8" s="45" t="s">
        <v>222</v>
      </c>
      <c r="AP8" s="32" t="s">
        <v>191</v>
      </c>
      <c r="AQ8" s="42" t="s">
        <v>228</v>
      </c>
      <c r="AR8" s="25"/>
      <c r="AS8" s="46" t="s">
        <v>542</v>
      </c>
      <c r="AT8" s="46" t="s">
        <v>607</v>
      </c>
    </row>
    <row r="9" spans="1:52" x14ac:dyDescent="0.25">
      <c r="A9" s="46" t="s">
        <v>543</v>
      </c>
      <c r="B9" s="39"/>
      <c r="C9" s="46" t="s">
        <v>376</v>
      </c>
      <c r="D9" s="46" t="s">
        <v>543</v>
      </c>
      <c r="F9" s="46" t="s">
        <v>608</v>
      </c>
      <c r="H9" s="46" t="s">
        <v>543</v>
      </c>
      <c r="I9" s="46" t="s">
        <v>675</v>
      </c>
      <c r="J9" s="46" t="s">
        <v>676</v>
      </c>
      <c r="L9" s="38"/>
      <c r="N9" s="48" t="s">
        <v>688</v>
      </c>
      <c r="O9" s="48" t="s">
        <v>688</v>
      </c>
      <c r="V9" t="s">
        <v>71</v>
      </c>
      <c r="AA9" t="s">
        <v>705</v>
      </c>
      <c r="AB9" s="46" t="s">
        <v>543</v>
      </c>
      <c r="AD9" s="46" t="s">
        <v>376</v>
      </c>
      <c r="AE9" s="46" t="s">
        <v>376</v>
      </c>
      <c r="AG9" t="s">
        <v>206</v>
      </c>
      <c r="AJ9" t="s">
        <v>117</v>
      </c>
      <c r="AK9" t="s">
        <v>229</v>
      </c>
      <c r="AM9" s="45" t="s">
        <v>117</v>
      </c>
      <c r="AN9" s="45" t="s">
        <v>230</v>
      </c>
      <c r="AP9" s="32" t="s">
        <v>191</v>
      </c>
      <c r="AQ9" s="42" t="s">
        <v>231</v>
      </c>
      <c r="AR9" s="25"/>
      <c r="AS9" s="46" t="s">
        <v>543</v>
      </c>
      <c r="AT9" s="46" t="s">
        <v>608</v>
      </c>
    </row>
    <row r="10" spans="1:52" x14ac:dyDescent="0.25">
      <c r="A10" s="46" t="s">
        <v>544</v>
      </c>
      <c r="B10" s="39"/>
      <c r="C10" s="46" t="s">
        <v>377</v>
      </c>
      <c r="D10" s="46" t="s">
        <v>544</v>
      </c>
      <c r="F10" s="46" t="s">
        <v>609</v>
      </c>
      <c r="H10" s="46" t="s">
        <v>544</v>
      </c>
      <c r="I10" s="46" t="s">
        <v>676</v>
      </c>
      <c r="J10" s="46" t="s">
        <v>677</v>
      </c>
      <c r="L10" s="38"/>
      <c r="N10" s="48" t="s">
        <v>689</v>
      </c>
      <c r="O10" s="48" t="s">
        <v>689</v>
      </c>
      <c r="V10" t="s">
        <v>72</v>
      </c>
      <c r="AA10" t="s">
        <v>705</v>
      </c>
      <c r="AB10" s="46" t="s">
        <v>544</v>
      </c>
      <c r="AD10" s="46" t="s">
        <v>377</v>
      </c>
      <c r="AE10" s="46" t="s">
        <v>377</v>
      </c>
      <c r="AG10" t="s">
        <v>207</v>
      </c>
      <c r="AJ10" t="s">
        <v>118</v>
      </c>
      <c r="AK10" t="s">
        <v>232</v>
      </c>
      <c r="AM10" s="45" t="s">
        <v>118</v>
      </c>
      <c r="AN10" s="45" t="s">
        <v>233</v>
      </c>
      <c r="AP10" s="32" t="s">
        <v>192</v>
      </c>
      <c r="AQ10" s="42" t="s">
        <v>228</v>
      </c>
      <c r="AR10" s="25"/>
      <c r="AS10" s="46" t="s">
        <v>544</v>
      </c>
      <c r="AT10" s="46" t="s">
        <v>609</v>
      </c>
    </row>
    <row r="11" spans="1:52" x14ac:dyDescent="0.25">
      <c r="A11" s="46" t="s">
        <v>545</v>
      </c>
      <c r="B11" s="39"/>
      <c r="C11" s="46" t="s">
        <v>378</v>
      </c>
      <c r="D11" s="46" t="s">
        <v>545</v>
      </c>
      <c r="F11" s="46" t="s">
        <v>610</v>
      </c>
      <c r="H11" s="46" t="s">
        <v>545</v>
      </c>
      <c r="I11" s="46" t="s">
        <v>677</v>
      </c>
      <c r="J11" s="42"/>
      <c r="L11" s="38"/>
      <c r="N11" s="48" t="s">
        <v>690</v>
      </c>
      <c r="O11" s="48" t="s">
        <v>690</v>
      </c>
      <c r="V11" t="s">
        <v>707</v>
      </c>
      <c r="AA11" t="s">
        <v>705</v>
      </c>
      <c r="AB11" s="46" t="s">
        <v>545</v>
      </c>
      <c r="AD11" s="46" t="s">
        <v>378</v>
      </c>
      <c r="AE11" s="46" t="s">
        <v>378</v>
      </c>
      <c r="AG11" t="s">
        <v>208</v>
      </c>
      <c r="AJ11" t="s">
        <v>119</v>
      </c>
      <c r="AK11" t="s">
        <v>232</v>
      </c>
      <c r="AM11" s="45" t="s">
        <v>119</v>
      </c>
      <c r="AN11" s="45" t="s">
        <v>233</v>
      </c>
      <c r="AP11" s="32" t="s">
        <v>192</v>
      </c>
      <c r="AQ11" s="42" t="s">
        <v>231</v>
      </c>
      <c r="AR11" s="25"/>
      <c r="AS11" s="46" t="s">
        <v>545</v>
      </c>
      <c r="AT11" s="46" t="s">
        <v>610</v>
      </c>
    </row>
    <row r="12" spans="1:52" x14ac:dyDescent="0.25">
      <c r="A12" s="46" t="s">
        <v>546</v>
      </c>
      <c r="B12" s="39"/>
      <c r="C12" s="46" t="s">
        <v>379</v>
      </c>
      <c r="D12" s="46" t="s">
        <v>546</v>
      </c>
      <c r="F12" s="46" t="s">
        <v>611</v>
      </c>
      <c r="H12" s="46" t="s">
        <v>546</v>
      </c>
      <c r="I12" s="46" t="s">
        <v>678</v>
      </c>
      <c r="L12" s="38"/>
      <c r="N12" s="48" t="s">
        <v>691</v>
      </c>
      <c r="O12" s="48" t="s">
        <v>691</v>
      </c>
      <c r="V12" t="s">
        <v>73</v>
      </c>
      <c r="AA12" t="s">
        <v>705</v>
      </c>
      <c r="AB12" s="46" t="s">
        <v>546</v>
      </c>
      <c r="AD12" s="46" t="s">
        <v>379</v>
      </c>
      <c r="AE12" s="46" t="s">
        <v>379</v>
      </c>
      <c r="AG12" t="s">
        <v>209</v>
      </c>
      <c r="AJ12" t="s">
        <v>120</v>
      </c>
      <c r="AK12" t="s">
        <v>232</v>
      </c>
      <c r="AM12" s="45" t="s">
        <v>120</v>
      </c>
      <c r="AN12" s="45" t="s">
        <v>233</v>
      </c>
      <c r="AP12" s="32" t="s">
        <v>193</v>
      </c>
      <c r="AQ12" s="42" t="s">
        <v>223</v>
      </c>
      <c r="AR12" s="25"/>
      <c r="AS12" s="46" t="s">
        <v>546</v>
      </c>
      <c r="AT12" s="46" t="s">
        <v>611</v>
      </c>
    </row>
    <row r="13" spans="1:52" x14ac:dyDescent="0.25">
      <c r="A13" s="46" t="s">
        <v>547</v>
      </c>
      <c r="B13" s="39"/>
      <c r="C13" s="46" t="s">
        <v>380</v>
      </c>
      <c r="D13" s="46" t="s">
        <v>547</v>
      </c>
      <c r="F13" s="46" t="s">
        <v>612</v>
      </c>
      <c r="H13" s="46" t="s">
        <v>547</v>
      </c>
      <c r="I13" s="46" t="s">
        <v>214</v>
      </c>
      <c r="L13" s="38"/>
      <c r="N13" s="38" t="s">
        <v>692</v>
      </c>
      <c r="O13" s="38" t="s">
        <v>692</v>
      </c>
      <c r="V13" t="s">
        <v>80</v>
      </c>
      <c r="AA13" t="s">
        <v>705</v>
      </c>
      <c r="AB13" s="46" t="s">
        <v>547</v>
      </c>
      <c r="AD13" s="46" t="s">
        <v>380</v>
      </c>
      <c r="AE13" s="46" t="s">
        <v>380</v>
      </c>
      <c r="AJ13" t="s">
        <v>121</v>
      </c>
      <c r="AK13" t="s">
        <v>226</v>
      </c>
      <c r="AM13" s="45" t="s">
        <v>121</v>
      </c>
      <c r="AN13" s="45" t="s">
        <v>227</v>
      </c>
      <c r="AP13" s="32" t="s">
        <v>193</v>
      </c>
      <c r="AQ13" s="42" t="s">
        <v>225</v>
      </c>
      <c r="AR13" s="26"/>
      <c r="AS13" s="46" t="s">
        <v>547</v>
      </c>
      <c r="AT13" s="46" t="s">
        <v>612</v>
      </c>
    </row>
    <row r="14" spans="1:52" x14ac:dyDescent="0.25">
      <c r="A14" s="46" t="s">
        <v>548</v>
      </c>
      <c r="B14" s="39"/>
      <c r="C14" s="46" t="s">
        <v>381</v>
      </c>
      <c r="D14" s="46" t="s">
        <v>548</v>
      </c>
      <c r="F14" s="46" t="s">
        <v>613</v>
      </c>
      <c r="H14" s="46" t="s">
        <v>548</v>
      </c>
      <c r="I14" s="47"/>
      <c r="L14" s="38"/>
      <c r="N14" s="49" t="s">
        <v>693</v>
      </c>
      <c r="O14" s="49" t="s">
        <v>693</v>
      </c>
      <c r="V14" t="s">
        <v>74</v>
      </c>
      <c r="AA14" t="s">
        <v>705</v>
      </c>
      <c r="AB14" s="46" t="s">
        <v>548</v>
      </c>
      <c r="AD14" s="46" t="s">
        <v>381</v>
      </c>
      <c r="AE14" s="46" t="s">
        <v>381</v>
      </c>
      <c r="AJ14" t="s">
        <v>121</v>
      </c>
      <c r="AK14" t="s">
        <v>216</v>
      </c>
      <c r="AM14" s="45" t="s">
        <v>121</v>
      </c>
      <c r="AN14" s="45" t="s">
        <v>217</v>
      </c>
      <c r="AP14" s="32" t="s">
        <v>194</v>
      </c>
      <c r="AQ14" s="42" t="s">
        <v>219</v>
      </c>
      <c r="AR14" s="25"/>
      <c r="AS14" s="46" t="s">
        <v>548</v>
      </c>
      <c r="AT14" s="46" t="s">
        <v>613</v>
      </c>
    </row>
    <row r="15" spans="1:52" x14ac:dyDescent="0.25">
      <c r="A15" s="46" t="s">
        <v>549</v>
      </c>
      <c r="B15" s="39"/>
      <c r="C15" s="46" t="s">
        <v>382</v>
      </c>
      <c r="D15" s="46" t="s">
        <v>549</v>
      </c>
      <c r="F15" s="46" t="s">
        <v>614</v>
      </c>
      <c r="H15" s="46" t="s">
        <v>549</v>
      </c>
      <c r="L15" s="38"/>
      <c r="N15" s="49" t="s">
        <v>694</v>
      </c>
      <c r="O15" s="49" t="s">
        <v>694</v>
      </c>
      <c r="V15" t="s">
        <v>708</v>
      </c>
      <c r="AA15" t="s">
        <v>705</v>
      </c>
      <c r="AB15" s="46" t="s">
        <v>549</v>
      </c>
      <c r="AD15" s="46" t="s">
        <v>382</v>
      </c>
      <c r="AE15" s="46" t="s">
        <v>382</v>
      </c>
      <c r="AJ15" t="s">
        <v>114</v>
      </c>
      <c r="AK15" t="s">
        <v>234</v>
      </c>
      <c r="AM15" s="45" t="s">
        <v>114</v>
      </c>
      <c r="AN15" s="45" t="s">
        <v>235</v>
      </c>
      <c r="AP15" s="32" t="s">
        <v>194</v>
      </c>
      <c r="AQ15" s="42" t="s">
        <v>224</v>
      </c>
      <c r="AS15" s="46" t="s">
        <v>549</v>
      </c>
      <c r="AT15" s="46" t="s">
        <v>614</v>
      </c>
    </row>
    <row r="16" spans="1:52" x14ac:dyDescent="0.25">
      <c r="A16" s="46" t="s">
        <v>550</v>
      </c>
      <c r="B16" s="39"/>
      <c r="C16" s="46" t="s">
        <v>383</v>
      </c>
      <c r="D16" s="46" t="s">
        <v>550</v>
      </c>
      <c r="F16" s="46" t="s">
        <v>615</v>
      </c>
      <c r="H16" s="46" t="s">
        <v>550</v>
      </c>
      <c r="N16" s="38" t="s">
        <v>695</v>
      </c>
      <c r="O16" s="38" t="s">
        <v>695</v>
      </c>
      <c r="V16" t="s">
        <v>709</v>
      </c>
      <c r="AA16" t="s">
        <v>705</v>
      </c>
      <c r="AB16" s="46" t="s">
        <v>550</v>
      </c>
      <c r="AD16" s="46" t="s">
        <v>383</v>
      </c>
      <c r="AE16" s="46" t="s">
        <v>383</v>
      </c>
      <c r="AJ16" t="s">
        <v>115</v>
      </c>
      <c r="AK16" t="s">
        <v>234</v>
      </c>
      <c r="AM16" s="45" t="s">
        <v>115</v>
      </c>
      <c r="AN16" s="45" t="s">
        <v>235</v>
      </c>
      <c r="AP16" s="32" t="s">
        <v>195</v>
      </c>
      <c r="AQ16" s="42" t="s">
        <v>220</v>
      </c>
      <c r="AS16" s="46" t="s">
        <v>550</v>
      </c>
      <c r="AT16" s="46" t="s">
        <v>615</v>
      </c>
    </row>
    <row r="17" spans="1:46" x14ac:dyDescent="0.25">
      <c r="A17" s="46" t="s">
        <v>551</v>
      </c>
      <c r="B17" s="39"/>
      <c r="C17" s="46" t="s">
        <v>384</v>
      </c>
      <c r="D17" s="46" t="s">
        <v>551</v>
      </c>
      <c r="F17" s="46" t="s">
        <v>616</v>
      </c>
      <c r="H17" s="46" t="s">
        <v>551</v>
      </c>
      <c r="N17" s="46" t="s">
        <v>696</v>
      </c>
      <c r="O17" s="46" t="s">
        <v>696</v>
      </c>
      <c r="V17" t="s">
        <v>710</v>
      </c>
      <c r="AA17" t="s">
        <v>705</v>
      </c>
      <c r="AB17" s="46" t="s">
        <v>551</v>
      </c>
      <c r="AD17" s="46" t="s">
        <v>384</v>
      </c>
      <c r="AE17" s="46" t="s">
        <v>384</v>
      </c>
      <c r="AJ17" t="s">
        <v>116</v>
      </c>
      <c r="AK17" t="s">
        <v>234</v>
      </c>
      <c r="AM17" s="45" t="s">
        <v>116</v>
      </c>
      <c r="AN17" s="45" t="s">
        <v>235</v>
      </c>
      <c r="AP17" s="32" t="s">
        <v>189</v>
      </c>
      <c r="AQ17" s="42" t="s">
        <v>220</v>
      </c>
      <c r="AS17" s="46" t="s">
        <v>551</v>
      </c>
      <c r="AT17" s="46" t="s">
        <v>616</v>
      </c>
    </row>
    <row r="18" spans="1:46" x14ac:dyDescent="0.25">
      <c r="A18" s="46" t="s">
        <v>552</v>
      </c>
      <c r="B18" s="39"/>
      <c r="C18" s="46" t="s">
        <v>385</v>
      </c>
      <c r="D18" s="46" t="s">
        <v>552</v>
      </c>
      <c r="F18" s="46" t="s">
        <v>617</v>
      </c>
      <c r="H18" s="46" t="s">
        <v>552</v>
      </c>
      <c r="N18" t="s">
        <v>697</v>
      </c>
      <c r="O18" t="s">
        <v>697</v>
      </c>
      <c r="V18" t="s">
        <v>711</v>
      </c>
      <c r="AA18" t="s">
        <v>705</v>
      </c>
      <c r="AB18" s="46" t="s">
        <v>552</v>
      </c>
      <c r="AD18" s="46" t="s">
        <v>385</v>
      </c>
      <c r="AE18" s="46" t="s">
        <v>385</v>
      </c>
      <c r="AJ18" t="s">
        <v>117</v>
      </c>
      <c r="AK18" t="s">
        <v>234</v>
      </c>
      <c r="AM18" s="45" t="s">
        <v>117</v>
      </c>
      <c r="AN18" s="45" t="s">
        <v>235</v>
      </c>
      <c r="AP18" s="32" t="s">
        <v>196</v>
      </c>
      <c r="AQ18" s="42" t="s">
        <v>220</v>
      </c>
      <c r="AS18" s="46" t="s">
        <v>552</v>
      </c>
      <c r="AT18" s="46" t="s">
        <v>617</v>
      </c>
    </row>
    <row r="19" spans="1:46" x14ac:dyDescent="0.25">
      <c r="A19" s="46" t="s">
        <v>553</v>
      </c>
      <c r="B19" s="39"/>
      <c r="C19" s="46" t="s">
        <v>386</v>
      </c>
      <c r="D19" s="46" t="s">
        <v>553</v>
      </c>
      <c r="F19" s="46" t="s">
        <v>618</v>
      </c>
      <c r="H19" s="46" t="s">
        <v>553</v>
      </c>
      <c r="N19" t="s">
        <v>698</v>
      </c>
      <c r="O19" t="s">
        <v>698</v>
      </c>
      <c r="V19" t="s">
        <v>712</v>
      </c>
      <c r="AA19" t="s">
        <v>705</v>
      </c>
      <c r="AB19" s="46" t="s">
        <v>553</v>
      </c>
      <c r="AD19" s="46" t="s">
        <v>386</v>
      </c>
      <c r="AE19" s="46" t="s">
        <v>386</v>
      </c>
      <c r="AJ19" t="s">
        <v>118</v>
      </c>
      <c r="AK19" t="s">
        <v>234</v>
      </c>
      <c r="AM19" s="45" t="s">
        <v>118</v>
      </c>
      <c r="AN19" s="45" t="s">
        <v>235</v>
      </c>
      <c r="AS19" s="46" t="s">
        <v>553</v>
      </c>
      <c r="AT19" s="46" t="s">
        <v>618</v>
      </c>
    </row>
    <row r="20" spans="1:46" x14ac:dyDescent="0.25">
      <c r="A20" s="46" t="s">
        <v>554</v>
      </c>
      <c r="B20" s="39"/>
      <c r="C20" s="46" t="s">
        <v>387</v>
      </c>
      <c r="D20" s="46" t="s">
        <v>554</v>
      </c>
      <c r="F20" s="46" t="s">
        <v>619</v>
      </c>
      <c r="H20" s="46" t="s">
        <v>554</v>
      </c>
      <c r="N20" t="s">
        <v>699</v>
      </c>
      <c r="O20" t="s">
        <v>699</v>
      </c>
      <c r="V20" t="s">
        <v>713</v>
      </c>
      <c r="AA20" t="s">
        <v>705</v>
      </c>
      <c r="AB20" s="46" t="s">
        <v>554</v>
      </c>
      <c r="AD20" s="46" t="s">
        <v>387</v>
      </c>
      <c r="AE20" s="46" t="s">
        <v>387</v>
      </c>
      <c r="AJ20" t="s">
        <v>119</v>
      </c>
      <c r="AK20" t="s">
        <v>234</v>
      </c>
      <c r="AM20" s="45" t="s">
        <v>119</v>
      </c>
      <c r="AN20" s="45" t="s">
        <v>235</v>
      </c>
      <c r="AS20" s="46" t="s">
        <v>554</v>
      </c>
      <c r="AT20" s="46" t="s">
        <v>619</v>
      </c>
    </row>
    <row r="21" spans="1:46" x14ac:dyDescent="0.25">
      <c r="A21" s="46" t="s">
        <v>555</v>
      </c>
      <c r="B21" s="39"/>
      <c r="C21" s="46" t="s">
        <v>388</v>
      </c>
      <c r="D21" s="46" t="s">
        <v>555</v>
      </c>
      <c r="F21" s="46" t="s">
        <v>620</v>
      </c>
      <c r="H21" s="46" t="s">
        <v>555</v>
      </c>
      <c r="N21" t="s">
        <v>701</v>
      </c>
      <c r="O21" t="s">
        <v>701</v>
      </c>
      <c r="V21" t="s">
        <v>714</v>
      </c>
      <c r="AA21" t="s">
        <v>705</v>
      </c>
      <c r="AB21" s="46" t="s">
        <v>555</v>
      </c>
      <c r="AD21" s="46" t="s">
        <v>388</v>
      </c>
      <c r="AE21" s="46" t="s">
        <v>388</v>
      </c>
      <c r="AJ21" t="s">
        <v>120</v>
      </c>
      <c r="AK21" t="s">
        <v>234</v>
      </c>
      <c r="AM21" s="45" t="s">
        <v>120</v>
      </c>
      <c r="AN21" s="45" t="s">
        <v>235</v>
      </c>
      <c r="AS21" s="46" t="s">
        <v>555</v>
      </c>
      <c r="AT21" s="46" t="s">
        <v>620</v>
      </c>
    </row>
    <row r="22" spans="1:46" x14ac:dyDescent="0.25">
      <c r="A22" s="46" t="s">
        <v>556</v>
      </c>
      <c r="B22" s="39"/>
      <c r="C22" s="46" t="s">
        <v>389</v>
      </c>
      <c r="D22" s="46" t="s">
        <v>556</v>
      </c>
      <c r="F22" s="46" t="s">
        <v>621</v>
      </c>
      <c r="H22" s="46" t="s">
        <v>556</v>
      </c>
      <c r="N22" t="s">
        <v>702</v>
      </c>
      <c r="O22" t="s">
        <v>702</v>
      </c>
      <c r="V22" s="52" t="s">
        <v>715</v>
      </c>
      <c r="AA22" t="s">
        <v>705</v>
      </c>
      <c r="AB22" s="46" t="s">
        <v>556</v>
      </c>
      <c r="AD22" s="46" t="s">
        <v>389</v>
      </c>
      <c r="AE22" s="46" t="s">
        <v>389</v>
      </c>
      <c r="AJ22" t="s">
        <v>121</v>
      </c>
      <c r="AK22" t="s">
        <v>234</v>
      </c>
      <c r="AM22" s="45" t="s">
        <v>121</v>
      </c>
      <c r="AN22" s="45" t="s">
        <v>235</v>
      </c>
      <c r="AS22" s="46" t="s">
        <v>556</v>
      </c>
      <c r="AT22" s="46" t="s">
        <v>621</v>
      </c>
    </row>
    <row r="23" spans="1:46" x14ac:dyDescent="0.25">
      <c r="A23" s="46" t="s">
        <v>557</v>
      </c>
      <c r="B23" s="39"/>
      <c r="C23" s="46" t="s">
        <v>390</v>
      </c>
      <c r="D23" s="46" t="s">
        <v>557</v>
      </c>
      <c r="F23" s="46" t="s">
        <v>622</v>
      </c>
      <c r="H23" s="46" t="s">
        <v>557</v>
      </c>
      <c r="V23" s="23" t="s">
        <v>716</v>
      </c>
      <c r="AA23" t="s">
        <v>705</v>
      </c>
      <c r="AB23" s="46" t="s">
        <v>557</v>
      </c>
      <c r="AD23" s="46" t="s">
        <v>390</v>
      </c>
      <c r="AE23" s="46" t="s">
        <v>390</v>
      </c>
      <c r="AJ23" t="s">
        <v>122</v>
      </c>
      <c r="AK23" t="s">
        <v>236</v>
      </c>
      <c r="AM23" s="45" t="s">
        <v>122</v>
      </c>
      <c r="AN23" s="45" t="s">
        <v>237</v>
      </c>
      <c r="AS23" s="46" t="s">
        <v>557</v>
      </c>
      <c r="AT23" s="46" t="s">
        <v>622</v>
      </c>
    </row>
    <row r="24" spans="1:46" x14ac:dyDescent="0.25">
      <c r="A24" s="46" t="s">
        <v>558</v>
      </c>
      <c r="B24" s="39"/>
      <c r="C24" s="46" t="s">
        <v>391</v>
      </c>
      <c r="D24" s="46" t="s">
        <v>558</v>
      </c>
      <c r="F24" s="46" t="s">
        <v>623</v>
      </c>
      <c r="H24" s="46" t="s">
        <v>558</v>
      </c>
      <c r="V24" t="s">
        <v>717</v>
      </c>
      <c r="AA24" t="s">
        <v>705</v>
      </c>
      <c r="AB24" s="46" t="s">
        <v>558</v>
      </c>
      <c r="AD24" s="46" t="s">
        <v>391</v>
      </c>
      <c r="AE24" s="46" t="s">
        <v>391</v>
      </c>
      <c r="AJ24" t="s">
        <v>123</v>
      </c>
      <c r="AK24" t="s">
        <v>236</v>
      </c>
      <c r="AM24" s="45" t="s">
        <v>123</v>
      </c>
      <c r="AN24" s="45" t="s">
        <v>237</v>
      </c>
      <c r="AS24" s="46" t="s">
        <v>558</v>
      </c>
      <c r="AT24" s="46" t="s">
        <v>623</v>
      </c>
    </row>
    <row r="25" spans="1:46" x14ac:dyDescent="0.25">
      <c r="A25" s="46" t="s">
        <v>559</v>
      </c>
      <c r="B25" s="39"/>
      <c r="C25" s="46" t="s">
        <v>392</v>
      </c>
      <c r="D25" s="46" t="s">
        <v>559</v>
      </c>
      <c r="F25" s="46" t="s">
        <v>624</v>
      </c>
      <c r="H25" s="46" t="s">
        <v>559</v>
      </c>
      <c r="V25" t="s">
        <v>718</v>
      </c>
      <c r="AA25" t="s">
        <v>705</v>
      </c>
      <c r="AB25" s="46" t="s">
        <v>559</v>
      </c>
      <c r="AD25" s="46" t="s">
        <v>392</v>
      </c>
      <c r="AE25" s="46" t="s">
        <v>392</v>
      </c>
      <c r="AJ25" t="s">
        <v>124</v>
      </c>
      <c r="AK25" t="s">
        <v>236</v>
      </c>
      <c r="AM25" s="45" t="s">
        <v>124</v>
      </c>
      <c r="AN25" s="45" t="s">
        <v>237</v>
      </c>
      <c r="AS25" s="46" t="s">
        <v>559</v>
      </c>
      <c r="AT25" s="46" t="s">
        <v>624</v>
      </c>
    </row>
    <row r="26" spans="1:46" x14ac:dyDescent="0.25">
      <c r="A26" s="46" t="s">
        <v>560</v>
      </c>
      <c r="B26" s="39"/>
      <c r="C26" s="46" t="s">
        <v>393</v>
      </c>
      <c r="D26" s="46" t="s">
        <v>560</v>
      </c>
      <c r="F26" s="46" t="s">
        <v>625</v>
      </c>
      <c r="H26" s="46" t="s">
        <v>560</v>
      </c>
      <c r="V26" t="s">
        <v>719</v>
      </c>
      <c r="AA26" t="s">
        <v>705</v>
      </c>
      <c r="AB26" s="46" t="s">
        <v>560</v>
      </c>
      <c r="AD26" s="46" t="s">
        <v>393</v>
      </c>
      <c r="AE26" s="46" t="s">
        <v>393</v>
      </c>
      <c r="AJ26" t="s">
        <v>125</v>
      </c>
      <c r="AK26" t="s">
        <v>236</v>
      </c>
      <c r="AM26" s="45" t="s">
        <v>125</v>
      </c>
      <c r="AN26" s="45" t="s">
        <v>237</v>
      </c>
      <c r="AS26" s="46" t="s">
        <v>560</v>
      </c>
      <c r="AT26" s="46" t="s">
        <v>625</v>
      </c>
    </row>
    <row r="27" spans="1:46" x14ac:dyDescent="0.25">
      <c r="A27" s="46" t="s">
        <v>561</v>
      </c>
      <c r="B27" s="39"/>
      <c r="C27" s="46" t="s">
        <v>394</v>
      </c>
      <c r="D27" s="46" t="s">
        <v>561</v>
      </c>
      <c r="F27" s="46" t="s">
        <v>626</v>
      </c>
      <c r="H27" s="46" t="s">
        <v>561</v>
      </c>
      <c r="V27" t="s">
        <v>720</v>
      </c>
      <c r="AA27" t="s">
        <v>705</v>
      </c>
      <c r="AB27" s="46" t="s">
        <v>561</v>
      </c>
      <c r="AD27" s="46" t="s">
        <v>394</v>
      </c>
      <c r="AE27" s="46" t="s">
        <v>394</v>
      </c>
      <c r="AJ27" t="s">
        <v>126</v>
      </c>
      <c r="AK27" t="s">
        <v>238</v>
      </c>
      <c r="AM27" s="45" t="s">
        <v>126</v>
      </c>
      <c r="AN27" s="45" t="s">
        <v>239</v>
      </c>
      <c r="AS27" s="46" t="s">
        <v>561</v>
      </c>
      <c r="AT27" s="46" t="s">
        <v>626</v>
      </c>
    </row>
    <row r="28" spans="1:46" x14ac:dyDescent="0.25">
      <c r="A28" s="46" t="s">
        <v>562</v>
      </c>
      <c r="B28" s="39"/>
      <c r="C28" s="46" t="s">
        <v>395</v>
      </c>
      <c r="D28" s="46" t="s">
        <v>562</v>
      </c>
      <c r="F28" s="46" t="s">
        <v>627</v>
      </c>
      <c r="H28" s="46" t="s">
        <v>562</v>
      </c>
      <c r="V28" t="s">
        <v>77</v>
      </c>
      <c r="AA28" t="s">
        <v>705</v>
      </c>
      <c r="AB28" s="46" t="s">
        <v>562</v>
      </c>
      <c r="AD28" s="46" t="s">
        <v>395</v>
      </c>
      <c r="AE28" s="46" t="s">
        <v>395</v>
      </c>
      <c r="AJ28" t="s">
        <v>127</v>
      </c>
      <c r="AK28" t="s">
        <v>240</v>
      </c>
      <c r="AM28" s="45" t="s">
        <v>127</v>
      </c>
      <c r="AN28" s="45" t="s">
        <v>241</v>
      </c>
      <c r="AS28" s="46" t="s">
        <v>562</v>
      </c>
      <c r="AT28" s="46" t="s">
        <v>627</v>
      </c>
    </row>
    <row r="29" spans="1:46" x14ac:dyDescent="0.25">
      <c r="A29" s="46" t="s">
        <v>563</v>
      </c>
      <c r="B29" s="39"/>
      <c r="C29" s="46" t="s">
        <v>396</v>
      </c>
      <c r="D29" s="46" t="s">
        <v>563</v>
      </c>
      <c r="F29" s="46" t="s">
        <v>628</v>
      </c>
      <c r="H29" s="46" t="s">
        <v>563</v>
      </c>
      <c r="V29" t="s">
        <v>101</v>
      </c>
      <c r="AA29" t="s">
        <v>705</v>
      </c>
      <c r="AB29" s="46" t="s">
        <v>563</v>
      </c>
      <c r="AD29" s="46" t="s">
        <v>396</v>
      </c>
      <c r="AE29" s="46" t="s">
        <v>396</v>
      </c>
      <c r="AJ29" t="s">
        <v>127</v>
      </c>
      <c r="AK29" t="s">
        <v>242</v>
      </c>
      <c r="AM29" s="45" t="s">
        <v>127</v>
      </c>
      <c r="AN29" s="45" t="s">
        <v>243</v>
      </c>
      <c r="AS29" s="46" t="s">
        <v>563</v>
      </c>
      <c r="AT29" s="46" t="s">
        <v>628</v>
      </c>
    </row>
    <row r="30" spans="1:46" x14ac:dyDescent="0.25">
      <c r="A30" s="46" t="s">
        <v>564</v>
      </c>
      <c r="B30" s="39"/>
      <c r="C30" s="46" t="s">
        <v>397</v>
      </c>
      <c r="D30" s="46" t="s">
        <v>564</v>
      </c>
      <c r="F30" s="46" t="s">
        <v>629</v>
      </c>
      <c r="H30" s="46" t="s">
        <v>564</v>
      </c>
      <c r="M30" s="34"/>
      <c r="V30" s="9" t="s">
        <v>104</v>
      </c>
      <c r="AA30" t="s">
        <v>705</v>
      </c>
      <c r="AB30" s="46" t="s">
        <v>564</v>
      </c>
      <c r="AD30" s="46" t="s">
        <v>397</v>
      </c>
      <c r="AE30" s="46" t="s">
        <v>397</v>
      </c>
      <c r="AJ30" t="s">
        <v>127</v>
      </c>
      <c r="AK30" t="s">
        <v>244</v>
      </c>
      <c r="AM30" s="45" t="s">
        <v>127</v>
      </c>
      <c r="AN30" s="45" t="s">
        <v>245</v>
      </c>
      <c r="AS30" s="46" t="s">
        <v>564</v>
      </c>
      <c r="AT30" s="46" t="s">
        <v>629</v>
      </c>
    </row>
    <row r="31" spans="1:46" x14ac:dyDescent="0.25">
      <c r="A31" s="46" t="s">
        <v>565</v>
      </c>
      <c r="B31" s="39"/>
      <c r="C31" s="46" t="s">
        <v>398</v>
      </c>
      <c r="D31" s="46" t="s">
        <v>565</v>
      </c>
      <c r="F31" s="46" t="s">
        <v>630</v>
      </c>
      <c r="H31" s="46" t="s">
        <v>565</v>
      </c>
      <c r="AA31" t="s">
        <v>705</v>
      </c>
      <c r="AB31" s="46" t="s">
        <v>565</v>
      </c>
      <c r="AD31" s="46" t="s">
        <v>398</v>
      </c>
      <c r="AE31" s="46" t="s">
        <v>398</v>
      </c>
      <c r="AJ31" t="s">
        <v>128</v>
      </c>
      <c r="AK31" t="s">
        <v>252</v>
      </c>
      <c r="AM31" s="45" t="s">
        <v>128</v>
      </c>
      <c r="AN31" s="45" t="s">
        <v>253</v>
      </c>
      <c r="AS31" s="46" t="s">
        <v>565</v>
      </c>
      <c r="AT31" s="46" t="s">
        <v>630</v>
      </c>
    </row>
    <row r="32" spans="1:46" x14ac:dyDescent="0.25">
      <c r="A32" s="46" t="s">
        <v>566</v>
      </c>
      <c r="B32" s="39"/>
      <c r="C32" s="46" t="s">
        <v>399</v>
      </c>
      <c r="D32" s="46" t="s">
        <v>566</v>
      </c>
      <c r="F32" s="46" t="s">
        <v>631</v>
      </c>
      <c r="H32" s="46" t="s">
        <v>566</v>
      </c>
      <c r="M32" s="35"/>
      <c r="AA32" t="s">
        <v>705</v>
      </c>
      <c r="AB32" s="46" t="s">
        <v>566</v>
      </c>
      <c r="AD32" s="46" t="s">
        <v>399</v>
      </c>
      <c r="AE32" s="46" t="s">
        <v>399</v>
      </c>
      <c r="AJ32" t="s">
        <v>129</v>
      </c>
      <c r="AK32" t="s">
        <v>246</v>
      </c>
      <c r="AM32" s="45" t="s">
        <v>129</v>
      </c>
      <c r="AN32" s="45" t="s">
        <v>247</v>
      </c>
      <c r="AS32" s="46" t="s">
        <v>566</v>
      </c>
      <c r="AT32" s="46" t="s">
        <v>631</v>
      </c>
    </row>
    <row r="33" spans="1:46" x14ac:dyDescent="0.25">
      <c r="A33" s="46" t="s">
        <v>567</v>
      </c>
      <c r="B33" s="39"/>
      <c r="C33" s="46" t="s">
        <v>400</v>
      </c>
      <c r="D33" s="46" t="s">
        <v>567</v>
      </c>
      <c r="F33" s="46" t="s">
        <v>632</v>
      </c>
      <c r="H33" s="46" t="s">
        <v>567</v>
      </c>
      <c r="AA33" t="s">
        <v>705</v>
      </c>
      <c r="AB33" s="46" t="s">
        <v>567</v>
      </c>
      <c r="AD33" s="46" t="s">
        <v>400</v>
      </c>
      <c r="AE33" s="46" t="s">
        <v>400</v>
      </c>
      <c r="AJ33" t="s">
        <v>129</v>
      </c>
      <c r="AK33" t="s">
        <v>248</v>
      </c>
      <c r="AM33" s="45" t="s">
        <v>129</v>
      </c>
      <c r="AN33" s="45" t="s">
        <v>249</v>
      </c>
      <c r="AS33" s="46" t="s">
        <v>567</v>
      </c>
      <c r="AT33" s="46" t="s">
        <v>632</v>
      </c>
    </row>
    <row r="34" spans="1:46" x14ac:dyDescent="0.25">
      <c r="A34" s="46" t="s">
        <v>568</v>
      </c>
      <c r="B34" s="39"/>
      <c r="C34" s="46" t="s">
        <v>401</v>
      </c>
      <c r="D34" s="46" t="s">
        <v>568</v>
      </c>
      <c r="F34" s="46" t="s">
        <v>633</v>
      </c>
      <c r="H34" s="46" t="s">
        <v>568</v>
      </c>
      <c r="AA34" t="s">
        <v>705</v>
      </c>
      <c r="AB34" s="46" t="s">
        <v>568</v>
      </c>
      <c r="AD34" s="46" t="s">
        <v>401</v>
      </c>
      <c r="AE34" s="46" t="s">
        <v>401</v>
      </c>
      <c r="AJ34" t="s">
        <v>130</v>
      </c>
      <c r="AK34" t="s">
        <v>246</v>
      </c>
      <c r="AM34" s="45" t="s">
        <v>130</v>
      </c>
      <c r="AN34" s="45" t="s">
        <v>247</v>
      </c>
      <c r="AS34" s="46" t="s">
        <v>568</v>
      </c>
      <c r="AT34" s="46" t="s">
        <v>633</v>
      </c>
    </row>
    <row r="35" spans="1:46" x14ac:dyDescent="0.25">
      <c r="A35" s="46" t="s">
        <v>569</v>
      </c>
      <c r="B35" s="39"/>
      <c r="C35" s="46" t="s">
        <v>402</v>
      </c>
      <c r="D35" s="46" t="s">
        <v>569</v>
      </c>
      <c r="F35" s="46" t="s">
        <v>634</v>
      </c>
      <c r="H35" s="46" t="s">
        <v>569</v>
      </c>
      <c r="V35" s="9"/>
      <c r="AA35" t="s">
        <v>705</v>
      </c>
      <c r="AB35" s="46" t="s">
        <v>569</v>
      </c>
      <c r="AD35" s="46" t="s">
        <v>402</v>
      </c>
      <c r="AE35" s="46" t="s">
        <v>402</v>
      </c>
      <c r="AJ35" t="s">
        <v>130</v>
      </c>
      <c r="AK35" t="s">
        <v>248</v>
      </c>
      <c r="AM35" s="45" t="s">
        <v>130</v>
      </c>
      <c r="AN35" s="45" t="s">
        <v>249</v>
      </c>
      <c r="AS35" s="46" t="s">
        <v>569</v>
      </c>
      <c r="AT35" s="46" t="s">
        <v>634</v>
      </c>
    </row>
    <row r="36" spans="1:46" x14ac:dyDescent="0.25">
      <c r="A36" s="46" t="s">
        <v>570</v>
      </c>
      <c r="B36" s="39"/>
      <c r="C36" s="46" t="s">
        <v>403</v>
      </c>
      <c r="D36" s="46" t="s">
        <v>570</v>
      </c>
      <c r="F36" s="46" t="s">
        <v>635</v>
      </c>
      <c r="H36" s="46" t="s">
        <v>570</v>
      </c>
      <c r="V36" s="9"/>
      <c r="AA36" t="s">
        <v>705</v>
      </c>
      <c r="AB36" s="46" t="s">
        <v>570</v>
      </c>
      <c r="AD36" s="46" t="s">
        <v>403</v>
      </c>
      <c r="AE36" s="46" t="s">
        <v>403</v>
      </c>
      <c r="AJ36" t="s">
        <v>131</v>
      </c>
      <c r="AK36" t="s">
        <v>250</v>
      </c>
      <c r="AM36" s="45" t="s">
        <v>131</v>
      </c>
      <c r="AN36" s="45" t="s">
        <v>251</v>
      </c>
      <c r="AS36" s="46" t="s">
        <v>570</v>
      </c>
      <c r="AT36" s="46" t="s">
        <v>635</v>
      </c>
    </row>
    <row r="37" spans="1:46" x14ac:dyDescent="0.25">
      <c r="A37" s="46" t="s">
        <v>571</v>
      </c>
      <c r="B37" s="39"/>
      <c r="C37" s="46" t="s">
        <v>404</v>
      </c>
      <c r="D37" s="46" t="s">
        <v>571</v>
      </c>
      <c r="F37" s="46" t="s">
        <v>636</v>
      </c>
      <c r="H37" s="46" t="s">
        <v>571</v>
      </c>
      <c r="AA37" t="s">
        <v>705</v>
      </c>
      <c r="AB37" s="46" t="s">
        <v>571</v>
      </c>
      <c r="AD37" s="46" t="s">
        <v>404</v>
      </c>
      <c r="AE37" s="46" t="s">
        <v>404</v>
      </c>
      <c r="AJ37" t="s">
        <v>132</v>
      </c>
      <c r="AK37" t="s">
        <v>254</v>
      </c>
      <c r="AM37" s="45" t="s">
        <v>132</v>
      </c>
      <c r="AN37" s="45" t="s">
        <v>255</v>
      </c>
      <c r="AS37" s="46" t="s">
        <v>571</v>
      </c>
      <c r="AT37" s="46" t="s">
        <v>636</v>
      </c>
    </row>
    <row r="38" spans="1:46" x14ac:dyDescent="0.25">
      <c r="A38" s="46" t="s">
        <v>572</v>
      </c>
      <c r="B38" s="39"/>
      <c r="C38" s="46" t="s">
        <v>405</v>
      </c>
      <c r="D38" s="46" t="s">
        <v>572</v>
      </c>
      <c r="F38" s="46" t="s">
        <v>637</v>
      </c>
      <c r="H38" s="46" t="s">
        <v>572</v>
      </c>
      <c r="AA38" t="s">
        <v>705</v>
      </c>
      <c r="AB38" s="46" t="s">
        <v>572</v>
      </c>
      <c r="AD38" s="46" t="s">
        <v>405</v>
      </c>
      <c r="AE38" s="46" t="s">
        <v>405</v>
      </c>
      <c r="AJ38" t="s">
        <v>133</v>
      </c>
      <c r="AK38" t="s">
        <v>254</v>
      </c>
      <c r="AM38" s="45" t="s">
        <v>133</v>
      </c>
      <c r="AN38" s="45" t="s">
        <v>255</v>
      </c>
      <c r="AS38" s="46" t="s">
        <v>572</v>
      </c>
      <c r="AT38" s="46" t="s">
        <v>637</v>
      </c>
    </row>
    <row r="39" spans="1:46" x14ac:dyDescent="0.25">
      <c r="A39" s="46" t="s">
        <v>573</v>
      </c>
      <c r="B39" s="39"/>
      <c r="C39" s="46" t="s">
        <v>406</v>
      </c>
      <c r="D39" s="46" t="s">
        <v>573</v>
      </c>
      <c r="F39" s="46" t="s">
        <v>638</v>
      </c>
      <c r="H39" s="46" t="s">
        <v>573</v>
      </c>
      <c r="AA39" t="s">
        <v>705</v>
      </c>
      <c r="AB39" s="46" t="s">
        <v>573</v>
      </c>
      <c r="AD39" s="46" t="s">
        <v>406</v>
      </c>
      <c r="AE39" s="46" t="s">
        <v>406</v>
      </c>
      <c r="AJ39" t="s">
        <v>134</v>
      </c>
      <c r="AK39" t="s">
        <v>262</v>
      </c>
      <c r="AM39" s="45" t="s">
        <v>134</v>
      </c>
      <c r="AN39" s="45" t="s">
        <v>263</v>
      </c>
      <c r="AS39" s="46" t="s">
        <v>573</v>
      </c>
      <c r="AT39" s="46" t="s">
        <v>638</v>
      </c>
    </row>
    <row r="40" spans="1:46" x14ac:dyDescent="0.25">
      <c r="A40" s="46" t="s">
        <v>574</v>
      </c>
      <c r="B40" s="39"/>
      <c r="C40" s="46" t="s">
        <v>407</v>
      </c>
      <c r="D40" s="46" t="s">
        <v>574</v>
      </c>
      <c r="F40" s="46" t="s">
        <v>639</v>
      </c>
      <c r="H40" s="46" t="s">
        <v>574</v>
      </c>
      <c r="AA40" t="s">
        <v>705</v>
      </c>
      <c r="AB40" s="46" t="s">
        <v>574</v>
      </c>
      <c r="AD40" s="46" t="s">
        <v>407</v>
      </c>
      <c r="AE40" s="46" t="s">
        <v>407</v>
      </c>
      <c r="AJ40" t="s">
        <v>135</v>
      </c>
      <c r="AK40" t="s">
        <v>264</v>
      </c>
      <c r="AM40" s="45" t="s">
        <v>135</v>
      </c>
      <c r="AN40" s="45" t="s">
        <v>265</v>
      </c>
      <c r="AS40" s="46" t="s">
        <v>574</v>
      </c>
      <c r="AT40" s="46" t="s">
        <v>639</v>
      </c>
    </row>
    <row r="41" spans="1:46" x14ac:dyDescent="0.25">
      <c r="A41" s="46" t="s">
        <v>575</v>
      </c>
      <c r="B41" s="39"/>
      <c r="C41" s="46" t="s">
        <v>408</v>
      </c>
      <c r="D41" s="46" t="s">
        <v>575</v>
      </c>
      <c r="F41" s="46" t="s">
        <v>640</v>
      </c>
      <c r="H41" s="46" t="s">
        <v>575</v>
      </c>
      <c r="AA41" t="s">
        <v>705</v>
      </c>
      <c r="AB41" s="46" t="s">
        <v>575</v>
      </c>
      <c r="AD41" s="46" t="s">
        <v>408</v>
      </c>
      <c r="AE41" s="46" t="s">
        <v>408</v>
      </c>
      <c r="AJ41" t="s">
        <v>136</v>
      </c>
      <c r="AK41" t="s">
        <v>280</v>
      </c>
      <c r="AM41" s="45" t="s">
        <v>136</v>
      </c>
      <c r="AN41" s="45" t="s">
        <v>281</v>
      </c>
      <c r="AS41" s="46" t="s">
        <v>575</v>
      </c>
      <c r="AT41" s="46" t="s">
        <v>640</v>
      </c>
    </row>
    <row r="42" spans="1:46" x14ac:dyDescent="0.25">
      <c r="A42" s="46" t="s">
        <v>576</v>
      </c>
      <c r="B42" s="39"/>
      <c r="C42" s="46" t="s">
        <v>409</v>
      </c>
      <c r="D42" s="46" t="s">
        <v>576</v>
      </c>
      <c r="F42" s="46" t="s">
        <v>641</v>
      </c>
      <c r="H42" s="46" t="s">
        <v>576</v>
      </c>
      <c r="AA42" t="s">
        <v>705</v>
      </c>
      <c r="AB42" s="46" t="s">
        <v>576</v>
      </c>
      <c r="AD42" s="46" t="s">
        <v>409</v>
      </c>
      <c r="AE42" s="46" t="s">
        <v>409</v>
      </c>
      <c r="AJ42" t="s">
        <v>137</v>
      </c>
      <c r="AK42" t="s">
        <v>272</v>
      </c>
      <c r="AM42" s="45" t="s">
        <v>137</v>
      </c>
      <c r="AN42" s="45" t="s">
        <v>273</v>
      </c>
      <c r="AS42" s="46" t="s">
        <v>576</v>
      </c>
      <c r="AT42" s="46" t="s">
        <v>641</v>
      </c>
    </row>
    <row r="43" spans="1:46" x14ac:dyDescent="0.25">
      <c r="A43" s="46" t="s">
        <v>577</v>
      </c>
      <c r="B43" s="39"/>
      <c r="C43" s="46" t="s">
        <v>410</v>
      </c>
      <c r="D43" s="46" t="s">
        <v>577</v>
      </c>
      <c r="F43" s="46" t="s">
        <v>642</v>
      </c>
      <c r="H43" s="46" t="s">
        <v>577</v>
      </c>
      <c r="AA43" t="s">
        <v>705</v>
      </c>
      <c r="AB43" s="46" t="s">
        <v>577</v>
      </c>
      <c r="AD43" s="46" t="s">
        <v>410</v>
      </c>
      <c r="AE43" s="46" t="s">
        <v>410</v>
      </c>
      <c r="AJ43" t="s">
        <v>138</v>
      </c>
      <c r="AK43" t="s">
        <v>274</v>
      </c>
      <c r="AM43" s="45" t="s">
        <v>138</v>
      </c>
      <c r="AN43" s="45" t="s">
        <v>275</v>
      </c>
      <c r="AS43" s="46" t="s">
        <v>577</v>
      </c>
      <c r="AT43" s="46" t="s">
        <v>642</v>
      </c>
    </row>
    <row r="44" spans="1:46" x14ac:dyDescent="0.25">
      <c r="A44" s="46" t="s">
        <v>578</v>
      </c>
      <c r="B44" s="39"/>
      <c r="C44" s="46" t="s">
        <v>411</v>
      </c>
      <c r="D44" s="46" t="s">
        <v>578</v>
      </c>
      <c r="F44" s="46" t="s">
        <v>643</v>
      </c>
      <c r="H44" s="46" t="s">
        <v>578</v>
      </c>
      <c r="AA44" t="s">
        <v>705</v>
      </c>
      <c r="AB44" s="46" t="s">
        <v>578</v>
      </c>
      <c r="AD44" s="46" t="s">
        <v>411</v>
      </c>
      <c r="AE44" s="46" t="s">
        <v>411</v>
      </c>
      <c r="AJ44" t="s">
        <v>138</v>
      </c>
      <c r="AK44" t="s">
        <v>276</v>
      </c>
      <c r="AM44" s="45" t="s">
        <v>138</v>
      </c>
      <c r="AN44" s="45" t="s">
        <v>277</v>
      </c>
      <c r="AS44" s="46" t="s">
        <v>578</v>
      </c>
      <c r="AT44" s="46" t="s">
        <v>643</v>
      </c>
    </row>
    <row r="45" spans="1:46" x14ac:dyDescent="0.25">
      <c r="A45" s="46" t="s">
        <v>579</v>
      </c>
      <c r="B45" s="39"/>
      <c r="C45" s="46" t="s">
        <v>412</v>
      </c>
      <c r="D45" s="46" t="s">
        <v>579</v>
      </c>
      <c r="F45" s="46" t="s">
        <v>644</v>
      </c>
      <c r="H45" s="46" t="s">
        <v>579</v>
      </c>
      <c r="AA45" t="s">
        <v>705</v>
      </c>
      <c r="AB45" s="46" t="s">
        <v>579</v>
      </c>
      <c r="AD45" s="46" t="s">
        <v>412</v>
      </c>
      <c r="AE45" s="46" t="s">
        <v>412</v>
      </c>
      <c r="AJ45" t="s">
        <v>138</v>
      </c>
      <c r="AK45" t="s">
        <v>278</v>
      </c>
      <c r="AM45" s="45" t="s">
        <v>138</v>
      </c>
      <c r="AN45" s="45" t="s">
        <v>279</v>
      </c>
      <c r="AS45" s="46" t="s">
        <v>579</v>
      </c>
      <c r="AT45" s="46" t="s">
        <v>644</v>
      </c>
    </row>
    <row r="46" spans="1:46" x14ac:dyDescent="0.25">
      <c r="A46" s="46" t="s">
        <v>580</v>
      </c>
      <c r="B46" s="39"/>
      <c r="C46" s="46" t="s">
        <v>413</v>
      </c>
      <c r="D46" s="46" t="s">
        <v>580</v>
      </c>
      <c r="F46" s="46" t="s">
        <v>645</v>
      </c>
      <c r="H46" s="46" t="s">
        <v>580</v>
      </c>
      <c r="AA46" t="s">
        <v>705</v>
      </c>
      <c r="AB46" s="46" t="s">
        <v>580</v>
      </c>
      <c r="AD46" s="46" t="s">
        <v>413</v>
      </c>
      <c r="AE46" s="46" t="s">
        <v>413</v>
      </c>
      <c r="AJ46" t="s">
        <v>138</v>
      </c>
      <c r="AK46" t="s">
        <v>256</v>
      </c>
      <c r="AM46" s="45" t="s">
        <v>138</v>
      </c>
      <c r="AN46" s="45" t="s">
        <v>257</v>
      </c>
      <c r="AS46" s="46" t="s">
        <v>580</v>
      </c>
      <c r="AT46" s="46" t="s">
        <v>645</v>
      </c>
    </row>
    <row r="47" spans="1:46" x14ac:dyDescent="0.25">
      <c r="A47" s="46" t="s">
        <v>581</v>
      </c>
      <c r="B47" s="39"/>
      <c r="C47" s="46" t="s">
        <v>414</v>
      </c>
      <c r="D47" s="46" t="s">
        <v>581</v>
      </c>
      <c r="F47" s="46" t="s">
        <v>646</v>
      </c>
      <c r="H47" s="46" t="s">
        <v>581</v>
      </c>
      <c r="AA47" t="s">
        <v>705</v>
      </c>
      <c r="AB47" s="46" t="s">
        <v>581</v>
      </c>
      <c r="AD47" s="46" t="s">
        <v>414</v>
      </c>
      <c r="AE47" s="46" t="s">
        <v>414</v>
      </c>
      <c r="AJ47" t="s">
        <v>138</v>
      </c>
      <c r="AK47" t="s">
        <v>258</v>
      </c>
      <c r="AM47" s="45" t="s">
        <v>138</v>
      </c>
      <c r="AN47" s="45" t="s">
        <v>259</v>
      </c>
      <c r="AS47" s="46" t="s">
        <v>581</v>
      </c>
      <c r="AT47" s="46" t="s">
        <v>646</v>
      </c>
    </row>
    <row r="48" spans="1:46" x14ac:dyDescent="0.25">
      <c r="A48" s="46" t="s">
        <v>582</v>
      </c>
      <c r="B48" s="39"/>
      <c r="C48" s="46" t="s">
        <v>415</v>
      </c>
      <c r="D48" s="46" t="s">
        <v>582</v>
      </c>
      <c r="F48" s="46" t="s">
        <v>647</v>
      </c>
      <c r="H48" s="46" t="s">
        <v>582</v>
      </c>
      <c r="AA48" t="s">
        <v>705</v>
      </c>
      <c r="AB48" s="46" t="s">
        <v>582</v>
      </c>
      <c r="AD48" s="46" t="s">
        <v>415</v>
      </c>
      <c r="AE48" s="46" t="s">
        <v>415</v>
      </c>
      <c r="AJ48" t="s">
        <v>138</v>
      </c>
      <c r="AK48" t="s">
        <v>260</v>
      </c>
      <c r="AM48" s="45" t="s">
        <v>138</v>
      </c>
      <c r="AN48" s="45" t="s">
        <v>261</v>
      </c>
      <c r="AS48" s="46" t="s">
        <v>582</v>
      </c>
      <c r="AT48" s="46" t="s">
        <v>647</v>
      </c>
    </row>
    <row r="49" spans="1:46" x14ac:dyDescent="0.25">
      <c r="A49" s="46" t="s">
        <v>583</v>
      </c>
      <c r="B49" s="39"/>
      <c r="C49" s="46" t="s">
        <v>416</v>
      </c>
      <c r="D49" s="46" t="s">
        <v>583</v>
      </c>
      <c r="F49" s="46" t="s">
        <v>648</v>
      </c>
      <c r="H49" s="46" t="s">
        <v>583</v>
      </c>
      <c r="Y49" s="6"/>
      <c r="AA49" t="s">
        <v>705</v>
      </c>
      <c r="AB49" s="46" t="s">
        <v>583</v>
      </c>
      <c r="AD49" s="46" t="s">
        <v>416</v>
      </c>
      <c r="AE49" s="46" t="s">
        <v>416</v>
      </c>
      <c r="AJ49" t="s">
        <v>138</v>
      </c>
      <c r="AK49" t="s">
        <v>266</v>
      </c>
      <c r="AM49" s="45" t="s">
        <v>138</v>
      </c>
      <c r="AN49" s="45" t="s">
        <v>267</v>
      </c>
      <c r="AS49" s="46" t="s">
        <v>583</v>
      </c>
      <c r="AT49" s="46" t="s">
        <v>648</v>
      </c>
    </row>
    <row r="50" spans="1:46" x14ac:dyDescent="0.25">
      <c r="A50" s="46" t="s">
        <v>584</v>
      </c>
      <c r="B50" s="39"/>
      <c r="C50" s="46" t="s">
        <v>417</v>
      </c>
      <c r="D50" s="46" t="s">
        <v>584</v>
      </c>
      <c r="F50" s="46" t="s">
        <v>649</v>
      </c>
      <c r="H50" s="46" t="s">
        <v>584</v>
      </c>
      <c r="Y50" s="6"/>
      <c r="AA50" t="s">
        <v>705</v>
      </c>
      <c r="AB50" s="46" t="s">
        <v>584</v>
      </c>
      <c r="AD50" s="46" t="s">
        <v>417</v>
      </c>
      <c r="AE50" s="46" t="s">
        <v>417</v>
      </c>
      <c r="AJ50" t="s">
        <v>138</v>
      </c>
      <c r="AK50" t="s">
        <v>268</v>
      </c>
      <c r="AM50" s="45" t="s">
        <v>138</v>
      </c>
      <c r="AN50" s="45" t="s">
        <v>269</v>
      </c>
      <c r="AS50" s="46" t="s">
        <v>584</v>
      </c>
      <c r="AT50" s="46" t="s">
        <v>649</v>
      </c>
    </row>
    <row r="51" spans="1:46" x14ac:dyDescent="0.25">
      <c r="A51" s="46" t="s">
        <v>585</v>
      </c>
      <c r="B51" s="39"/>
      <c r="C51" s="46" t="s">
        <v>418</v>
      </c>
      <c r="D51" s="46" t="s">
        <v>585</v>
      </c>
      <c r="F51" s="46" t="s">
        <v>650</v>
      </c>
      <c r="H51" s="46" t="s">
        <v>585</v>
      </c>
      <c r="AA51" t="s">
        <v>705</v>
      </c>
      <c r="AB51" s="46" t="s">
        <v>585</v>
      </c>
      <c r="AD51" s="46" t="s">
        <v>418</v>
      </c>
      <c r="AE51" s="46" t="s">
        <v>418</v>
      </c>
      <c r="AJ51" t="s">
        <v>138</v>
      </c>
      <c r="AK51" t="s">
        <v>270</v>
      </c>
      <c r="AM51" s="45" t="s">
        <v>138</v>
      </c>
      <c r="AN51" s="45" t="s">
        <v>271</v>
      </c>
      <c r="AS51" s="46" t="s">
        <v>585</v>
      </c>
      <c r="AT51" s="46" t="s">
        <v>650</v>
      </c>
    </row>
    <row r="52" spans="1:46" x14ac:dyDescent="0.25">
      <c r="A52" s="46" t="s">
        <v>586</v>
      </c>
      <c r="B52" s="39"/>
      <c r="C52" s="46" t="s">
        <v>419</v>
      </c>
      <c r="D52" s="46" t="s">
        <v>586</v>
      </c>
      <c r="F52" s="46" t="s">
        <v>651</v>
      </c>
      <c r="H52" s="46" t="s">
        <v>586</v>
      </c>
      <c r="AA52" t="s">
        <v>705</v>
      </c>
      <c r="AB52" s="46" t="s">
        <v>586</v>
      </c>
      <c r="AD52" s="46" t="s">
        <v>419</v>
      </c>
      <c r="AE52" s="46" t="s">
        <v>419</v>
      </c>
      <c r="AJ52" t="s">
        <v>139</v>
      </c>
      <c r="AK52" t="s">
        <v>282</v>
      </c>
      <c r="AM52" s="45" t="s">
        <v>139</v>
      </c>
      <c r="AN52" s="45" t="s">
        <v>283</v>
      </c>
      <c r="AS52" s="46" t="s">
        <v>586</v>
      </c>
      <c r="AT52" s="46" t="s">
        <v>651</v>
      </c>
    </row>
    <row r="53" spans="1:46" x14ac:dyDescent="0.25">
      <c r="A53" s="46" t="s">
        <v>587</v>
      </c>
      <c r="B53" s="39"/>
      <c r="C53" s="46" t="s">
        <v>420</v>
      </c>
      <c r="D53" s="46" t="s">
        <v>587</v>
      </c>
      <c r="F53" s="46" t="s">
        <v>652</v>
      </c>
      <c r="H53" s="46" t="s">
        <v>587</v>
      </c>
      <c r="AA53" t="s">
        <v>705</v>
      </c>
      <c r="AB53" s="46" t="s">
        <v>587</v>
      </c>
      <c r="AD53" s="46" t="s">
        <v>420</v>
      </c>
      <c r="AE53" s="46" t="s">
        <v>420</v>
      </c>
      <c r="AJ53" t="s">
        <v>139</v>
      </c>
      <c r="AK53" t="s">
        <v>284</v>
      </c>
      <c r="AM53" s="45" t="s">
        <v>139</v>
      </c>
      <c r="AN53" s="45" t="s">
        <v>285</v>
      </c>
      <c r="AS53" s="46" t="s">
        <v>587</v>
      </c>
      <c r="AT53" s="46" t="s">
        <v>652</v>
      </c>
    </row>
    <row r="54" spans="1:46" x14ac:dyDescent="0.25">
      <c r="A54" s="46" t="s">
        <v>588</v>
      </c>
      <c r="B54" s="39"/>
      <c r="C54" s="46" t="s">
        <v>421</v>
      </c>
      <c r="D54" s="46" t="s">
        <v>588</v>
      </c>
      <c r="F54" s="46" t="s">
        <v>653</v>
      </c>
      <c r="H54" s="46" t="s">
        <v>588</v>
      </c>
      <c r="AA54" t="s">
        <v>705</v>
      </c>
      <c r="AB54" s="46" t="s">
        <v>588</v>
      </c>
      <c r="AD54" s="46" t="s">
        <v>421</v>
      </c>
      <c r="AE54" s="46" t="s">
        <v>421</v>
      </c>
      <c r="AJ54" t="s">
        <v>139</v>
      </c>
      <c r="AK54" t="s">
        <v>286</v>
      </c>
      <c r="AM54" s="45" t="s">
        <v>139</v>
      </c>
      <c r="AN54" s="45" t="s">
        <v>287</v>
      </c>
      <c r="AS54" s="46" t="s">
        <v>588</v>
      </c>
      <c r="AT54" s="46" t="s">
        <v>653</v>
      </c>
    </row>
    <row r="55" spans="1:46" x14ac:dyDescent="0.25">
      <c r="A55" s="46" t="s">
        <v>589</v>
      </c>
      <c r="B55" s="39"/>
      <c r="C55" s="46" t="s">
        <v>422</v>
      </c>
      <c r="D55" s="46" t="s">
        <v>589</v>
      </c>
      <c r="F55" s="46" t="s">
        <v>654</v>
      </c>
      <c r="H55" s="46" t="s">
        <v>589</v>
      </c>
      <c r="AA55" t="s">
        <v>705</v>
      </c>
      <c r="AB55" s="46" t="s">
        <v>589</v>
      </c>
      <c r="AD55" s="46" t="s">
        <v>422</v>
      </c>
      <c r="AE55" s="46" t="s">
        <v>422</v>
      </c>
      <c r="AJ55" t="s">
        <v>140</v>
      </c>
      <c r="AK55" t="s">
        <v>288</v>
      </c>
      <c r="AM55" s="45" t="s">
        <v>140</v>
      </c>
      <c r="AN55" s="45" t="s">
        <v>289</v>
      </c>
      <c r="AS55" s="46" t="s">
        <v>589</v>
      </c>
      <c r="AT55" s="46" t="s">
        <v>654</v>
      </c>
    </row>
    <row r="56" spans="1:46" x14ac:dyDescent="0.25">
      <c r="A56" s="46" t="s">
        <v>590</v>
      </c>
      <c r="B56" s="33"/>
      <c r="C56" s="46" t="s">
        <v>423</v>
      </c>
      <c r="D56" s="46" t="s">
        <v>590</v>
      </c>
      <c r="F56" s="46" t="s">
        <v>655</v>
      </c>
      <c r="H56" s="46" t="s">
        <v>590</v>
      </c>
      <c r="AA56" t="s">
        <v>705</v>
      </c>
      <c r="AB56" s="55" t="s">
        <v>590</v>
      </c>
      <c r="AD56" s="46" t="s">
        <v>423</v>
      </c>
      <c r="AE56" s="46" t="s">
        <v>423</v>
      </c>
      <c r="AJ56" t="s">
        <v>141</v>
      </c>
      <c r="AK56" t="s">
        <v>290</v>
      </c>
      <c r="AM56" s="45" t="s">
        <v>141</v>
      </c>
      <c r="AN56" s="45" t="s">
        <v>291</v>
      </c>
      <c r="AS56" s="46" t="s">
        <v>590</v>
      </c>
      <c r="AT56" s="46" t="s">
        <v>655</v>
      </c>
    </row>
    <row r="57" spans="1:46" x14ac:dyDescent="0.25">
      <c r="A57" s="46" t="s">
        <v>591</v>
      </c>
      <c r="B57" s="33"/>
      <c r="C57" s="46" t="s">
        <v>424</v>
      </c>
      <c r="D57" s="46" t="s">
        <v>591</v>
      </c>
      <c r="F57" s="46" t="s">
        <v>656</v>
      </c>
      <c r="H57" s="46" t="s">
        <v>591</v>
      </c>
      <c r="AA57" t="s">
        <v>705</v>
      </c>
      <c r="AB57" s="55" t="s">
        <v>591</v>
      </c>
      <c r="AD57" s="46" t="s">
        <v>424</v>
      </c>
      <c r="AE57" s="46" t="s">
        <v>424</v>
      </c>
      <c r="AJ57" t="s">
        <v>142</v>
      </c>
      <c r="AK57" t="s">
        <v>292</v>
      </c>
      <c r="AM57" s="45" t="s">
        <v>142</v>
      </c>
      <c r="AN57" s="45" t="s">
        <v>293</v>
      </c>
      <c r="AS57" s="46" t="s">
        <v>591</v>
      </c>
      <c r="AT57" s="46" t="s">
        <v>656</v>
      </c>
    </row>
    <row r="58" spans="1:46" x14ac:dyDescent="0.25">
      <c r="A58" s="46" t="s">
        <v>592</v>
      </c>
      <c r="B58" s="33"/>
      <c r="C58" s="46" t="s">
        <v>425</v>
      </c>
      <c r="D58" s="46" t="s">
        <v>592</v>
      </c>
      <c r="F58" s="46" t="s">
        <v>657</v>
      </c>
      <c r="H58" s="46" t="s">
        <v>592</v>
      </c>
      <c r="AA58" t="s">
        <v>705</v>
      </c>
      <c r="AB58" s="55" t="s">
        <v>592</v>
      </c>
      <c r="AD58" s="46" t="s">
        <v>425</v>
      </c>
      <c r="AE58" s="46" t="s">
        <v>425</v>
      </c>
      <c r="AJ58" t="s">
        <v>143</v>
      </c>
      <c r="AK58" t="s">
        <v>294</v>
      </c>
      <c r="AM58" s="45" t="s">
        <v>143</v>
      </c>
      <c r="AN58" s="45" t="s">
        <v>295</v>
      </c>
      <c r="AS58" s="46" t="s">
        <v>592</v>
      </c>
      <c r="AT58" s="46" t="s">
        <v>657</v>
      </c>
    </row>
    <row r="59" spans="1:46" x14ac:dyDescent="0.25">
      <c r="A59" s="46" t="s">
        <v>593</v>
      </c>
      <c r="B59" s="33"/>
      <c r="C59" s="46" t="s">
        <v>426</v>
      </c>
      <c r="D59" s="46" t="s">
        <v>593</v>
      </c>
      <c r="F59" s="46" t="s">
        <v>658</v>
      </c>
      <c r="H59" s="46" t="s">
        <v>593</v>
      </c>
      <c r="AA59" t="s">
        <v>705</v>
      </c>
      <c r="AB59" s="55" t="s">
        <v>593</v>
      </c>
      <c r="AD59" s="46" t="s">
        <v>426</v>
      </c>
      <c r="AE59" s="46" t="s">
        <v>426</v>
      </c>
      <c r="AJ59" t="s">
        <v>144</v>
      </c>
      <c r="AK59" t="s">
        <v>296</v>
      </c>
      <c r="AM59" s="45" t="s">
        <v>144</v>
      </c>
      <c r="AN59" s="45" t="s">
        <v>297</v>
      </c>
      <c r="AS59" s="46" t="s">
        <v>593</v>
      </c>
      <c r="AT59" s="46" t="s">
        <v>658</v>
      </c>
    </row>
    <row r="60" spans="1:46" x14ac:dyDescent="0.25">
      <c r="A60" s="46" t="s">
        <v>594</v>
      </c>
      <c r="B60" s="33"/>
      <c r="C60" s="46" t="s">
        <v>427</v>
      </c>
      <c r="D60" s="46" t="s">
        <v>594</v>
      </c>
      <c r="F60" s="46" t="s">
        <v>659</v>
      </c>
      <c r="H60" s="46" t="s">
        <v>594</v>
      </c>
      <c r="Y60" s="6"/>
      <c r="AA60" t="s">
        <v>705</v>
      </c>
      <c r="AB60" s="55" t="s">
        <v>594</v>
      </c>
      <c r="AD60" s="46" t="s">
        <v>427</v>
      </c>
      <c r="AE60" s="46" t="s">
        <v>427</v>
      </c>
      <c r="AJ60" t="s">
        <v>145</v>
      </c>
      <c r="AK60" t="s">
        <v>298</v>
      </c>
      <c r="AM60" s="45" t="s">
        <v>145</v>
      </c>
      <c r="AN60" s="45" t="s">
        <v>299</v>
      </c>
      <c r="AS60" s="46" t="s">
        <v>594</v>
      </c>
      <c r="AT60" s="46" t="s">
        <v>659</v>
      </c>
    </row>
    <row r="61" spans="1:46" x14ac:dyDescent="0.25">
      <c r="A61" s="46" t="s">
        <v>595</v>
      </c>
      <c r="B61" s="33"/>
      <c r="C61" s="46" t="s">
        <v>428</v>
      </c>
      <c r="D61" s="46" t="s">
        <v>595</v>
      </c>
      <c r="F61" s="46" t="s">
        <v>660</v>
      </c>
      <c r="H61" s="46" t="s">
        <v>595</v>
      </c>
      <c r="AA61" t="s">
        <v>705</v>
      </c>
      <c r="AB61" s="55" t="s">
        <v>595</v>
      </c>
      <c r="AD61" s="46" t="s">
        <v>428</v>
      </c>
      <c r="AE61" s="46" t="s">
        <v>428</v>
      </c>
      <c r="AJ61" t="s">
        <v>146</v>
      </c>
      <c r="AK61" t="s">
        <v>300</v>
      </c>
      <c r="AM61" s="45" t="s">
        <v>146</v>
      </c>
      <c r="AN61" s="45" t="s">
        <v>301</v>
      </c>
      <c r="AP61" s="22"/>
      <c r="AS61" s="46" t="s">
        <v>595</v>
      </c>
      <c r="AT61" s="46" t="s">
        <v>660</v>
      </c>
    </row>
    <row r="62" spans="1:46" x14ac:dyDescent="0.25">
      <c r="A62" s="46" t="s">
        <v>596</v>
      </c>
      <c r="B62" s="33"/>
      <c r="C62" s="46" t="s">
        <v>429</v>
      </c>
      <c r="D62" s="46" t="s">
        <v>596</v>
      </c>
      <c r="F62" s="46" t="s">
        <v>661</v>
      </c>
      <c r="H62" s="46" t="s">
        <v>596</v>
      </c>
      <c r="AA62" t="s">
        <v>705</v>
      </c>
      <c r="AB62" s="55" t="s">
        <v>596</v>
      </c>
      <c r="AD62" s="46" t="s">
        <v>429</v>
      </c>
      <c r="AE62" s="46" t="s">
        <v>429</v>
      </c>
      <c r="AJ62" t="s">
        <v>147</v>
      </c>
      <c r="AK62" t="s">
        <v>302</v>
      </c>
      <c r="AM62" s="45" t="s">
        <v>147</v>
      </c>
      <c r="AN62" s="45" t="s">
        <v>303</v>
      </c>
      <c r="AP62" s="22"/>
      <c r="AS62" s="46" t="s">
        <v>596</v>
      </c>
      <c r="AT62" s="46" t="s">
        <v>661</v>
      </c>
    </row>
    <row r="63" spans="1:46" x14ac:dyDescent="0.25">
      <c r="A63" s="46" t="s">
        <v>597</v>
      </c>
      <c r="B63" s="39"/>
      <c r="C63" s="46" t="s">
        <v>430</v>
      </c>
      <c r="D63" s="46" t="s">
        <v>597</v>
      </c>
      <c r="F63" s="46" t="s">
        <v>662</v>
      </c>
      <c r="H63" s="46" t="s">
        <v>597</v>
      </c>
      <c r="AA63" t="s">
        <v>705</v>
      </c>
      <c r="AB63" s="46" t="s">
        <v>597</v>
      </c>
      <c r="AD63" s="46" t="s">
        <v>430</v>
      </c>
      <c r="AE63" s="46" t="s">
        <v>430</v>
      </c>
      <c r="AJ63" t="s">
        <v>148</v>
      </c>
      <c r="AK63" t="s">
        <v>304</v>
      </c>
      <c r="AM63" s="45" t="s">
        <v>148</v>
      </c>
      <c r="AN63" s="45" t="s">
        <v>305</v>
      </c>
      <c r="AP63" s="22"/>
      <c r="AS63" s="46" t="s">
        <v>597</v>
      </c>
      <c r="AT63" s="46" t="s">
        <v>662</v>
      </c>
    </row>
    <row r="64" spans="1:46" x14ac:dyDescent="0.25">
      <c r="A64" s="46" t="s">
        <v>598</v>
      </c>
      <c r="B64" s="39"/>
      <c r="C64" s="46" t="s">
        <v>431</v>
      </c>
      <c r="D64" s="46" t="s">
        <v>598</v>
      </c>
      <c r="F64" s="46" t="s">
        <v>663</v>
      </c>
      <c r="H64" s="46" t="s">
        <v>598</v>
      </c>
      <c r="AA64" t="s">
        <v>705</v>
      </c>
      <c r="AB64" s="46" t="s">
        <v>598</v>
      </c>
      <c r="AD64" s="46" t="s">
        <v>431</v>
      </c>
      <c r="AE64" s="46" t="s">
        <v>431</v>
      </c>
      <c r="AJ64" t="s">
        <v>148</v>
      </c>
      <c r="AK64" t="s">
        <v>306</v>
      </c>
      <c r="AM64" s="45" t="s">
        <v>148</v>
      </c>
      <c r="AN64" s="45" t="s">
        <v>307</v>
      </c>
      <c r="AP64" s="22"/>
      <c r="AS64" s="46" t="s">
        <v>598</v>
      </c>
      <c r="AT64" s="46" t="s">
        <v>663</v>
      </c>
    </row>
    <row r="65" spans="1:46" x14ac:dyDescent="0.25">
      <c r="A65" s="46" t="s">
        <v>599</v>
      </c>
      <c r="B65" s="39"/>
      <c r="C65" s="46" t="s">
        <v>432</v>
      </c>
      <c r="D65" s="46" t="s">
        <v>599</v>
      </c>
      <c r="F65" s="46" t="s">
        <v>664</v>
      </c>
      <c r="H65" s="46" t="s">
        <v>599</v>
      </c>
      <c r="AA65" t="s">
        <v>705</v>
      </c>
      <c r="AB65" s="46" t="s">
        <v>599</v>
      </c>
      <c r="AD65" s="46" t="s">
        <v>432</v>
      </c>
      <c r="AE65" s="46" t="s">
        <v>432</v>
      </c>
      <c r="AJ65" t="s">
        <v>149</v>
      </c>
      <c r="AK65" t="s">
        <v>308</v>
      </c>
      <c r="AM65" s="45" t="s">
        <v>149</v>
      </c>
      <c r="AN65" s="45" t="s">
        <v>309</v>
      </c>
      <c r="AS65" s="46" t="s">
        <v>599</v>
      </c>
      <c r="AT65" s="46" t="s">
        <v>664</v>
      </c>
    </row>
    <row r="66" spans="1:46" x14ac:dyDescent="0.25">
      <c r="A66" s="46" t="s">
        <v>600</v>
      </c>
      <c r="B66" s="39"/>
      <c r="C66" s="46" t="s">
        <v>433</v>
      </c>
      <c r="D66" s="46" t="s">
        <v>600</v>
      </c>
      <c r="F66" s="46" t="s">
        <v>665</v>
      </c>
      <c r="H66" s="46" t="s">
        <v>600</v>
      </c>
      <c r="AA66" t="s">
        <v>705</v>
      </c>
      <c r="AB66" s="46" t="s">
        <v>600</v>
      </c>
      <c r="AD66" s="46" t="s">
        <v>433</v>
      </c>
      <c r="AE66" s="46" t="s">
        <v>433</v>
      </c>
      <c r="AJ66" t="s">
        <v>149</v>
      </c>
      <c r="AK66" t="s">
        <v>310</v>
      </c>
      <c r="AM66" s="45" t="s">
        <v>149</v>
      </c>
      <c r="AN66" s="45" t="s">
        <v>311</v>
      </c>
      <c r="AP66" s="22"/>
      <c r="AS66" s="46" t="s">
        <v>600</v>
      </c>
      <c r="AT66" s="46" t="s">
        <v>665</v>
      </c>
    </row>
    <row r="67" spans="1:46" x14ac:dyDescent="0.25">
      <c r="A67" s="46" t="s">
        <v>601</v>
      </c>
      <c r="B67" s="39"/>
      <c r="C67" s="46" t="s">
        <v>434</v>
      </c>
      <c r="D67" s="46" t="s">
        <v>601</v>
      </c>
      <c r="F67" s="46" t="s">
        <v>666</v>
      </c>
      <c r="H67" s="46" t="s">
        <v>601</v>
      </c>
      <c r="AA67" t="s">
        <v>705</v>
      </c>
      <c r="AB67" s="46" t="s">
        <v>601</v>
      </c>
      <c r="AD67" s="46" t="s">
        <v>434</v>
      </c>
      <c r="AE67" s="46" t="s">
        <v>434</v>
      </c>
      <c r="AJ67" t="s">
        <v>150</v>
      </c>
      <c r="AK67" t="s">
        <v>312</v>
      </c>
      <c r="AM67" s="45" t="s">
        <v>150</v>
      </c>
      <c r="AN67" s="45" t="s">
        <v>313</v>
      </c>
      <c r="AP67" s="22"/>
      <c r="AS67" s="46" t="s">
        <v>601</v>
      </c>
      <c r="AT67" s="46" t="s">
        <v>666</v>
      </c>
    </row>
    <row r="68" spans="1:46" x14ac:dyDescent="0.25">
      <c r="A68" s="46" t="s">
        <v>602</v>
      </c>
      <c r="B68" s="39"/>
      <c r="C68" s="46" t="s">
        <v>435</v>
      </c>
      <c r="D68" s="46" t="s">
        <v>602</v>
      </c>
      <c r="F68" s="46" t="s">
        <v>667</v>
      </c>
      <c r="H68" s="46" t="s">
        <v>602</v>
      </c>
      <c r="AA68" t="s">
        <v>705</v>
      </c>
      <c r="AB68" s="46" t="s">
        <v>602</v>
      </c>
      <c r="AD68" s="46" t="s">
        <v>435</v>
      </c>
      <c r="AE68" s="46" t="s">
        <v>435</v>
      </c>
      <c r="AJ68" t="s">
        <v>150</v>
      </c>
      <c r="AK68" t="s">
        <v>314</v>
      </c>
      <c r="AM68" s="45" t="s">
        <v>150</v>
      </c>
      <c r="AN68" s="45" t="s">
        <v>315</v>
      </c>
      <c r="AP68" s="22"/>
      <c r="AS68" s="46" t="s">
        <v>602</v>
      </c>
      <c r="AT68" s="46" t="s">
        <v>667</v>
      </c>
    </row>
    <row r="69" spans="1:46" x14ac:dyDescent="0.25">
      <c r="A69" s="46" t="s">
        <v>603</v>
      </c>
      <c r="B69" s="39"/>
      <c r="C69" s="46" t="s">
        <v>436</v>
      </c>
      <c r="D69" s="46" t="s">
        <v>603</v>
      </c>
      <c r="F69" s="46" t="s">
        <v>668</v>
      </c>
      <c r="H69" s="46" t="s">
        <v>603</v>
      </c>
      <c r="AA69" t="s">
        <v>705</v>
      </c>
      <c r="AB69" s="46" t="s">
        <v>603</v>
      </c>
      <c r="AD69" s="46" t="s">
        <v>436</v>
      </c>
      <c r="AE69" s="46" t="s">
        <v>436</v>
      </c>
      <c r="AJ69" t="s">
        <v>151</v>
      </c>
      <c r="AK69" t="s">
        <v>314</v>
      </c>
      <c r="AM69" s="45" t="s">
        <v>151</v>
      </c>
      <c r="AN69" s="45" t="s">
        <v>315</v>
      </c>
      <c r="AP69" s="22"/>
      <c r="AS69" s="46" t="s">
        <v>603</v>
      </c>
      <c r="AT69" s="46" t="s">
        <v>668</v>
      </c>
    </row>
    <row r="70" spans="1:46" x14ac:dyDescent="0.25">
      <c r="A70" s="46" t="s">
        <v>604</v>
      </c>
      <c r="B70" s="39"/>
      <c r="C70" s="46" t="s">
        <v>437</v>
      </c>
      <c r="D70" s="46" t="s">
        <v>604</v>
      </c>
      <c r="F70" s="46" t="s">
        <v>669</v>
      </c>
      <c r="H70" s="46" t="s">
        <v>604</v>
      </c>
      <c r="AA70" t="s">
        <v>705</v>
      </c>
      <c r="AB70" s="46" t="s">
        <v>604</v>
      </c>
      <c r="AD70" s="46" t="s">
        <v>437</v>
      </c>
      <c r="AE70" s="46" t="s">
        <v>437</v>
      </c>
      <c r="AJ70" t="s">
        <v>152</v>
      </c>
      <c r="AK70" t="s">
        <v>316</v>
      </c>
      <c r="AM70" s="45" t="s">
        <v>152</v>
      </c>
      <c r="AN70" s="45" t="s">
        <v>317</v>
      </c>
      <c r="AP70" s="22"/>
      <c r="AS70" s="46" t="s">
        <v>604</v>
      </c>
      <c r="AT70" s="46" t="s">
        <v>669</v>
      </c>
    </row>
    <row r="71" spans="1:46" x14ac:dyDescent="0.25">
      <c r="A71" s="46" t="s">
        <v>605</v>
      </c>
      <c r="B71" s="39"/>
      <c r="C71" s="46" t="s">
        <v>438</v>
      </c>
      <c r="D71" s="46" t="s">
        <v>605</v>
      </c>
      <c r="F71" s="41"/>
      <c r="H71" s="39"/>
      <c r="AA71" t="s">
        <v>706</v>
      </c>
      <c r="AB71" s="46" t="s">
        <v>605</v>
      </c>
      <c r="AD71" s="46" t="s">
        <v>438</v>
      </c>
      <c r="AE71" s="46" t="s">
        <v>438</v>
      </c>
      <c r="AJ71" t="s">
        <v>153</v>
      </c>
      <c r="AK71" t="s">
        <v>316</v>
      </c>
      <c r="AM71" s="45" t="s">
        <v>153</v>
      </c>
      <c r="AN71" s="45" t="s">
        <v>317</v>
      </c>
      <c r="AP71" s="22"/>
      <c r="AS71" s="39"/>
      <c r="AT71" s="41"/>
    </row>
    <row r="72" spans="1:46" x14ac:dyDescent="0.25">
      <c r="A72" s="46" t="s">
        <v>606</v>
      </c>
      <c r="B72" s="39"/>
      <c r="C72" s="46" t="s">
        <v>439</v>
      </c>
      <c r="D72" s="46" t="s">
        <v>606</v>
      </c>
      <c r="F72" s="41"/>
      <c r="H72" s="39"/>
      <c r="AA72" t="s">
        <v>706</v>
      </c>
      <c r="AB72" s="46" t="s">
        <v>606</v>
      </c>
      <c r="AD72" s="46" t="s">
        <v>439</v>
      </c>
      <c r="AE72" s="46" t="s">
        <v>439</v>
      </c>
      <c r="AJ72" t="s">
        <v>154</v>
      </c>
      <c r="AK72" t="s">
        <v>316</v>
      </c>
      <c r="AM72" s="45" t="s">
        <v>154</v>
      </c>
      <c r="AN72" s="45" t="s">
        <v>317</v>
      </c>
      <c r="AP72" s="22"/>
      <c r="AS72" s="39"/>
      <c r="AT72" s="41"/>
    </row>
    <row r="73" spans="1:46" x14ac:dyDescent="0.25">
      <c r="A73" s="46" t="s">
        <v>607</v>
      </c>
      <c r="B73" s="39"/>
      <c r="C73" s="46" t="s">
        <v>440</v>
      </c>
      <c r="D73" s="46" t="s">
        <v>607</v>
      </c>
      <c r="F73" s="41"/>
      <c r="H73" s="39"/>
      <c r="AA73" t="s">
        <v>706</v>
      </c>
      <c r="AB73" s="46" t="s">
        <v>607</v>
      </c>
      <c r="AD73" s="46" t="s">
        <v>440</v>
      </c>
      <c r="AE73" s="46" t="s">
        <v>440</v>
      </c>
      <c r="AJ73" t="s">
        <v>155</v>
      </c>
      <c r="AK73" t="s">
        <v>316</v>
      </c>
      <c r="AM73" s="45" t="s">
        <v>155</v>
      </c>
      <c r="AN73" s="45" t="s">
        <v>317</v>
      </c>
      <c r="AS73" s="39"/>
      <c r="AT73" s="41"/>
    </row>
    <row r="74" spans="1:46" x14ac:dyDescent="0.25">
      <c r="A74" s="46" t="s">
        <v>608</v>
      </c>
      <c r="B74" s="39"/>
      <c r="C74" s="46" t="s">
        <v>441</v>
      </c>
      <c r="D74" s="46" t="s">
        <v>608</v>
      </c>
      <c r="F74" s="41"/>
      <c r="H74" s="39"/>
      <c r="AA74" t="s">
        <v>706</v>
      </c>
      <c r="AB74" s="46" t="s">
        <v>608</v>
      </c>
      <c r="AD74" s="46" t="s">
        <v>441</v>
      </c>
      <c r="AE74" s="46" t="s">
        <v>441</v>
      </c>
      <c r="AJ74" t="s">
        <v>156</v>
      </c>
      <c r="AK74" t="s">
        <v>318</v>
      </c>
      <c r="AM74" s="45" t="s">
        <v>156</v>
      </c>
      <c r="AN74" s="45" t="s">
        <v>319</v>
      </c>
      <c r="AS74" s="39"/>
      <c r="AT74" s="41"/>
    </row>
    <row r="75" spans="1:46" x14ac:dyDescent="0.25">
      <c r="A75" s="46" t="s">
        <v>609</v>
      </c>
      <c r="B75" s="39"/>
      <c r="C75" s="46" t="s">
        <v>442</v>
      </c>
      <c r="D75" s="46" t="s">
        <v>609</v>
      </c>
      <c r="F75" s="41"/>
      <c r="H75" s="39"/>
      <c r="AA75" t="s">
        <v>706</v>
      </c>
      <c r="AB75" s="46" t="s">
        <v>609</v>
      </c>
      <c r="AD75" s="46" t="s">
        <v>442</v>
      </c>
      <c r="AE75" s="46" t="s">
        <v>442</v>
      </c>
      <c r="AJ75" t="s">
        <v>157</v>
      </c>
      <c r="AK75" t="s">
        <v>318</v>
      </c>
      <c r="AM75" s="45" t="s">
        <v>157</v>
      </c>
      <c r="AN75" s="45" t="s">
        <v>319</v>
      </c>
      <c r="AS75" s="39"/>
      <c r="AT75" s="41"/>
    </row>
    <row r="76" spans="1:46" x14ac:dyDescent="0.25">
      <c r="A76" s="46" t="s">
        <v>610</v>
      </c>
      <c r="B76" s="39"/>
      <c r="C76" s="46" t="s">
        <v>443</v>
      </c>
      <c r="D76" s="46" t="s">
        <v>610</v>
      </c>
      <c r="H76" s="39"/>
      <c r="AA76" t="s">
        <v>706</v>
      </c>
      <c r="AB76" s="46" t="s">
        <v>610</v>
      </c>
      <c r="AD76" s="46" t="s">
        <v>443</v>
      </c>
      <c r="AE76" s="46" t="s">
        <v>443</v>
      </c>
      <c r="AJ76" t="s">
        <v>158</v>
      </c>
      <c r="AK76" t="s">
        <v>320</v>
      </c>
      <c r="AM76" s="45" t="s">
        <v>158</v>
      </c>
      <c r="AN76" s="45" t="s">
        <v>321</v>
      </c>
      <c r="AS76" s="39"/>
      <c r="AT76" s="41"/>
    </row>
    <row r="77" spans="1:46" x14ac:dyDescent="0.25">
      <c r="A77" s="46" t="s">
        <v>611</v>
      </c>
      <c r="B77" s="39"/>
      <c r="C77" s="46" t="s">
        <v>444</v>
      </c>
      <c r="D77" s="46" t="s">
        <v>611</v>
      </c>
      <c r="H77" s="39"/>
      <c r="AA77" t="s">
        <v>706</v>
      </c>
      <c r="AB77" s="46" t="s">
        <v>611</v>
      </c>
      <c r="AD77" s="46" t="s">
        <v>444</v>
      </c>
      <c r="AE77" s="46" t="s">
        <v>444</v>
      </c>
      <c r="AJ77" t="s">
        <v>158</v>
      </c>
      <c r="AK77" t="s">
        <v>322</v>
      </c>
      <c r="AM77" s="45" t="s">
        <v>158</v>
      </c>
      <c r="AN77" s="45" t="s">
        <v>323</v>
      </c>
      <c r="AS77" s="39"/>
      <c r="AT77" s="41"/>
    </row>
    <row r="78" spans="1:46" x14ac:dyDescent="0.25">
      <c r="A78" s="46" t="s">
        <v>612</v>
      </c>
      <c r="B78" s="39"/>
      <c r="C78" s="46" t="s">
        <v>445</v>
      </c>
      <c r="D78" s="46" t="s">
        <v>612</v>
      </c>
      <c r="H78" s="39"/>
      <c r="AA78" t="s">
        <v>706</v>
      </c>
      <c r="AB78" s="46" t="s">
        <v>612</v>
      </c>
      <c r="AD78" s="46" t="s">
        <v>445</v>
      </c>
      <c r="AE78" s="46" t="s">
        <v>445</v>
      </c>
      <c r="AJ78" s="32" t="s">
        <v>159</v>
      </c>
      <c r="AK78" s="33" t="s">
        <v>203</v>
      </c>
      <c r="AM78" s="32" t="s">
        <v>159</v>
      </c>
      <c r="AN78" s="33" t="s">
        <v>210</v>
      </c>
      <c r="AS78" s="39"/>
      <c r="AT78" s="41"/>
    </row>
    <row r="79" spans="1:46" x14ac:dyDescent="0.25">
      <c r="A79" s="46" t="s">
        <v>613</v>
      </c>
      <c r="B79" s="39"/>
      <c r="C79" s="46" t="s">
        <v>446</v>
      </c>
      <c r="D79" s="46" t="s">
        <v>613</v>
      </c>
      <c r="H79" s="39"/>
      <c r="AA79" t="s">
        <v>706</v>
      </c>
      <c r="AB79" s="46" t="s">
        <v>613</v>
      </c>
      <c r="AD79" s="46" t="s">
        <v>446</v>
      </c>
      <c r="AE79" s="46" t="s">
        <v>446</v>
      </c>
      <c r="AJ79" s="32" t="s">
        <v>180</v>
      </c>
      <c r="AK79" s="33" t="s">
        <v>204</v>
      </c>
      <c r="AM79" s="32" t="s">
        <v>211</v>
      </c>
      <c r="AN79" s="43" t="s">
        <v>324</v>
      </c>
      <c r="AS79" s="39"/>
      <c r="AT79" s="41"/>
    </row>
    <row r="80" spans="1:46" x14ac:dyDescent="0.25">
      <c r="A80" s="46" t="s">
        <v>614</v>
      </c>
      <c r="B80" s="39"/>
      <c r="C80" s="46" t="s">
        <v>447</v>
      </c>
      <c r="D80" s="46" t="s">
        <v>614</v>
      </c>
      <c r="H80" s="39"/>
      <c r="AA80" t="s">
        <v>706</v>
      </c>
      <c r="AB80" s="46" t="s">
        <v>614</v>
      </c>
      <c r="AD80" s="46" t="s">
        <v>447</v>
      </c>
      <c r="AE80" s="46" t="s">
        <v>447</v>
      </c>
      <c r="AJ80" s="32" t="s">
        <v>181</v>
      </c>
      <c r="AK80" s="33" t="s">
        <v>205</v>
      </c>
      <c r="AM80" s="32" t="s">
        <v>179</v>
      </c>
      <c r="AN80" s="43" t="s">
        <v>324</v>
      </c>
      <c r="AS80" s="39"/>
      <c r="AT80" s="41"/>
    </row>
    <row r="81" spans="1:40" x14ac:dyDescent="0.25">
      <c r="A81" s="46" t="s">
        <v>615</v>
      </c>
      <c r="B81" s="40"/>
      <c r="C81" s="46" t="s">
        <v>448</v>
      </c>
      <c r="D81" s="46" t="s">
        <v>615</v>
      </c>
      <c r="AA81" s="44" t="s">
        <v>706</v>
      </c>
      <c r="AB81" s="46" t="s">
        <v>615</v>
      </c>
      <c r="AD81" s="46" t="s">
        <v>448</v>
      </c>
      <c r="AE81" s="46" t="s">
        <v>448</v>
      </c>
      <c r="AJ81" s="32" t="s">
        <v>182</v>
      </c>
      <c r="AK81" s="33" t="s">
        <v>206</v>
      </c>
      <c r="AM81" s="32" t="s">
        <v>180</v>
      </c>
      <c r="AN81" s="43" t="s">
        <v>324</v>
      </c>
    </row>
    <row r="82" spans="1:40" x14ac:dyDescent="0.25">
      <c r="A82" s="46" t="s">
        <v>616</v>
      </c>
      <c r="B82" s="41"/>
      <c r="C82" s="46" t="s">
        <v>449</v>
      </c>
      <c r="D82" s="46" t="s">
        <v>616</v>
      </c>
      <c r="AA82" t="s">
        <v>706</v>
      </c>
      <c r="AB82" s="46" t="s">
        <v>616</v>
      </c>
      <c r="AD82" s="46" t="s">
        <v>449</v>
      </c>
      <c r="AE82" s="46" t="s">
        <v>449</v>
      </c>
      <c r="AJ82" s="32" t="s">
        <v>183</v>
      </c>
      <c r="AK82" s="33" t="s">
        <v>207</v>
      </c>
      <c r="AM82" s="32" t="s">
        <v>181</v>
      </c>
      <c r="AN82" s="43" t="s">
        <v>324</v>
      </c>
    </row>
    <row r="83" spans="1:40" x14ac:dyDescent="0.25">
      <c r="A83" s="46" t="s">
        <v>617</v>
      </c>
      <c r="B83" s="41"/>
      <c r="C83" s="46" t="s">
        <v>450</v>
      </c>
      <c r="D83" s="46" t="s">
        <v>617</v>
      </c>
      <c r="AA83" t="s">
        <v>706</v>
      </c>
      <c r="AB83" s="46" t="s">
        <v>617</v>
      </c>
      <c r="AD83" s="46" t="s">
        <v>450</v>
      </c>
      <c r="AE83" s="46" t="s">
        <v>450</v>
      </c>
      <c r="AJ83" s="32" t="s">
        <v>187</v>
      </c>
      <c r="AK83" s="33" t="s">
        <v>208</v>
      </c>
      <c r="AM83" s="32" t="s">
        <v>182</v>
      </c>
      <c r="AN83" s="43" t="s">
        <v>324</v>
      </c>
    </row>
    <row r="84" spans="1:40" x14ac:dyDescent="0.25">
      <c r="A84" s="46" t="s">
        <v>618</v>
      </c>
      <c r="B84" s="41"/>
      <c r="C84" s="46" t="s">
        <v>451</v>
      </c>
      <c r="D84" s="46" t="s">
        <v>618</v>
      </c>
      <c r="AA84" t="s">
        <v>706</v>
      </c>
      <c r="AB84" s="46" t="s">
        <v>618</v>
      </c>
      <c r="AD84" s="46" t="s">
        <v>451</v>
      </c>
      <c r="AE84" s="46" t="s">
        <v>451</v>
      </c>
      <c r="AJ84" s="32" t="s">
        <v>188</v>
      </c>
      <c r="AK84" s="33" t="s">
        <v>209</v>
      </c>
      <c r="AM84" s="32" t="s">
        <v>183</v>
      </c>
      <c r="AN84" s="43" t="s">
        <v>324</v>
      </c>
    </row>
    <row r="85" spans="1:40" x14ac:dyDescent="0.25">
      <c r="A85" s="46" t="s">
        <v>619</v>
      </c>
      <c r="B85" s="41"/>
      <c r="C85" s="46" t="s">
        <v>452</v>
      </c>
      <c r="D85" s="46" t="s">
        <v>619</v>
      </c>
      <c r="AA85" t="s">
        <v>706</v>
      </c>
      <c r="AB85" s="46" t="s">
        <v>619</v>
      </c>
      <c r="AD85" s="46" t="s">
        <v>452</v>
      </c>
      <c r="AE85" s="46" t="s">
        <v>452</v>
      </c>
      <c r="AJ85" t="s">
        <v>160</v>
      </c>
      <c r="AK85" s="39" t="s">
        <v>248</v>
      </c>
      <c r="AM85" s="32" t="s">
        <v>184</v>
      </c>
      <c r="AN85" s="43" t="s">
        <v>324</v>
      </c>
    </row>
    <row r="86" spans="1:40" x14ac:dyDescent="0.25">
      <c r="A86" s="46" t="s">
        <v>620</v>
      </c>
      <c r="B86" s="41"/>
      <c r="C86" s="46" t="s">
        <v>453</v>
      </c>
      <c r="D86" s="46" t="s">
        <v>620</v>
      </c>
      <c r="AA86" t="s">
        <v>706</v>
      </c>
      <c r="AB86" s="46" t="s">
        <v>620</v>
      </c>
      <c r="AD86" s="46" t="s">
        <v>453</v>
      </c>
      <c r="AE86" s="46" t="s">
        <v>453</v>
      </c>
      <c r="AJ86" t="s">
        <v>161</v>
      </c>
      <c r="AK86" t="s">
        <v>329</v>
      </c>
      <c r="AM86" s="32" t="s">
        <v>185</v>
      </c>
      <c r="AN86" s="43" t="s">
        <v>324</v>
      </c>
    </row>
    <row r="87" spans="1:40" x14ac:dyDescent="0.25">
      <c r="A87" s="46" t="s">
        <v>621</v>
      </c>
      <c r="B87" s="41"/>
      <c r="C87" s="46" t="s">
        <v>454</v>
      </c>
      <c r="D87" s="46" t="s">
        <v>621</v>
      </c>
      <c r="AA87" t="s">
        <v>706</v>
      </c>
      <c r="AB87" s="46" t="s">
        <v>621</v>
      </c>
      <c r="AD87" s="46" t="s">
        <v>454</v>
      </c>
      <c r="AE87" s="46" t="s">
        <v>454</v>
      </c>
      <c r="AJ87" t="s">
        <v>162</v>
      </c>
      <c r="AK87" t="s">
        <v>331</v>
      </c>
      <c r="AM87" s="32" t="s">
        <v>186</v>
      </c>
      <c r="AN87" s="43" t="s">
        <v>324</v>
      </c>
    </row>
    <row r="88" spans="1:40" x14ac:dyDescent="0.25">
      <c r="A88" s="46" t="s">
        <v>622</v>
      </c>
      <c r="B88" s="41"/>
      <c r="C88" s="46" t="s">
        <v>455</v>
      </c>
      <c r="D88" s="46" t="s">
        <v>622</v>
      </c>
      <c r="AA88" t="s">
        <v>706</v>
      </c>
      <c r="AB88" s="46" t="s">
        <v>622</v>
      </c>
      <c r="AD88" s="46" t="s">
        <v>455</v>
      </c>
      <c r="AE88" s="46" t="s">
        <v>455</v>
      </c>
      <c r="AJ88" t="s">
        <v>163</v>
      </c>
      <c r="AK88" t="s">
        <v>333</v>
      </c>
      <c r="AM88" s="32" t="s">
        <v>187</v>
      </c>
      <c r="AN88" s="43" t="s">
        <v>324</v>
      </c>
    </row>
    <row r="89" spans="1:40" x14ac:dyDescent="0.25">
      <c r="A89" s="46" t="s">
        <v>623</v>
      </c>
      <c r="B89" s="41"/>
      <c r="C89" s="46" t="s">
        <v>456</v>
      </c>
      <c r="D89" s="46" t="s">
        <v>623</v>
      </c>
      <c r="AA89" t="s">
        <v>706</v>
      </c>
      <c r="AB89" s="46" t="s">
        <v>623</v>
      </c>
      <c r="AD89" s="46" t="s">
        <v>456</v>
      </c>
      <c r="AE89" s="46" t="s">
        <v>456</v>
      </c>
      <c r="AJ89" t="s">
        <v>163</v>
      </c>
      <c r="AK89" t="s">
        <v>335</v>
      </c>
      <c r="AM89" s="32" t="s">
        <v>188</v>
      </c>
      <c r="AN89" s="43" t="s">
        <v>324</v>
      </c>
    </row>
    <row r="90" spans="1:40" x14ac:dyDescent="0.25">
      <c r="A90" s="46" t="s">
        <v>624</v>
      </c>
      <c r="B90" s="41"/>
      <c r="C90" s="46" t="s">
        <v>457</v>
      </c>
      <c r="D90" s="46" t="s">
        <v>624</v>
      </c>
      <c r="AA90" t="s">
        <v>706</v>
      </c>
      <c r="AB90" s="46" t="s">
        <v>624</v>
      </c>
      <c r="AD90" s="46" t="s">
        <v>457</v>
      </c>
      <c r="AE90" s="46" t="s">
        <v>457</v>
      </c>
      <c r="AJ90" t="s">
        <v>164</v>
      </c>
      <c r="AK90" t="s">
        <v>337</v>
      </c>
      <c r="AM90" s="45" t="s">
        <v>160</v>
      </c>
      <c r="AN90" s="41" t="s">
        <v>249</v>
      </c>
    </row>
    <row r="91" spans="1:40" x14ac:dyDescent="0.25">
      <c r="A91" s="46" t="s">
        <v>625</v>
      </c>
      <c r="B91" s="41"/>
      <c r="C91" s="46" t="s">
        <v>458</v>
      </c>
      <c r="D91" s="46" t="s">
        <v>625</v>
      </c>
      <c r="AA91" t="s">
        <v>706</v>
      </c>
      <c r="AB91" s="46" t="s">
        <v>625</v>
      </c>
      <c r="AD91" s="46" t="s">
        <v>458</v>
      </c>
      <c r="AE91" s="46" t="s">
        <v>458</v>
      </c>
      <c r="AJ91" t="s">
        <v>164</v>
      </c>
      <c r="AK91" t="s">
        <v>339</v>
      </c>
      <c r="AM91" s="45" t="s">
        <v>161</v>
      </c>
      <c r="AN91" s="45" t="s">
        <v>325</v>
      </c>
    </row>
    <row r="92" spans="1:40" x14ac:dyDescent="0.25">
      <c r="A92" s="46" t="s">
        <v>626</v>
      </c>
      <c r="B92" s="41"/>
      <c r="C92" s="46" t="s">
        <v>459</v>
      </c>
      <c r="D92" s="46" t="s">
        <v>626</v>
      </c>
      <c r="AA92" t="s">
        <v>706</v>
      </c>
      <c r="AB92" s="46" t="s">
        <v>626</v>
      </c>
      <c r="AD92" s="46" t="s">
        <v>459</v>
      </c>
      <c r="AE92" s="46" t="s">
        <v>459</v>
      </c>
      <c r="AJ92" t="s">
        <v>165</v>
      </c>
      <c r="AK92" t="s">
        <v>341</v>
      </c>
      <c r="AM92" s="45" t="s">
        <v>162</v>
      </c>
      <c r="AN92" s="45" t="s">
        <v>326</v>
      </c>
    </row>
    <row r="93" spans="1:40" x14ac:dyDescent="0.25">
      <c r="A93" s="46" t="s">
        <v>627</v>
      </c>
      <c r="B93" s="41"/>
      <c r="C93" s="46" t="s">
        <v>460</v>
      </c>
      <c r="D93" s="46" t="s">
        <v>627</v>
      </c>
      <c r="AA93" t="s">
        <v>706</v>
      </c>
      <c r="AB93" s="46" t="s">
        <v>627</v>
      </c>
      <c r="AD93" s="46" t="s">
        <v>460</v>
      </c>
      <c r="AE93" s="46" t="s">
        <v>460</v>
      </c>
      <c r="AJ93" t="s">
        <v>166</v>
      </c>
      <c r="AK93" t="s">
        <v>341</v>
      </c>
      <c r="AM93" s="45" t="s">
        <v>163</v>
      </c>
      <c r="AN93" s="40" t="s">
        <v>218</v>
      </c>
    </row>
    <row r="94" spans="1:40" x14ac:dyDescent="0.25">
      <c r="A94" s="46" t="s">
        <v>628</v>
      </c>
      <c r="B94" s="41"/>
      <c r="C94" s="46" t="s">
        <v>461</v>
      </c>
      <c r="D94" s="46" t="s">
        <v>628</v>
      </c>
      <c r="AA94" t="s">
        <v>706</v>
      </c>
      <c r="AB94" s="46" t="s">
        <v>628</v>
      </c>
      <c r="AD94" s="46" t="s">
        <v>461</v>
      </c>
      <c r="AE94" s="46" t="s">
        <v>461</v>
      </c>
      <c r="AJ94" t="s">
        <v>167</v>
      </c>
      <c r="AK94" t="s">
        <v>341</v>
      </c>
      <c r="AM94" s="45" t="s">
        <v>163</v>
      </c>
      <c r="AN94" s="45" t="s">
        <v>327</v>
      </c>
    </row>
    <row r="95" spans="1:40" x14ac:dyDescent="0.25">
      <c r="A95" s="46" t="s">
        <v>629</v>
      </c>
      <c r="B95" s="41"/>
      <c r="C95" s="46" t="s">
        <v>462</v>
      </c>
      <c r="D95" s="46" t="s">
        <v>629</v>
      </c>
      <c r="AA95" t="s">
        <v>706</v>
      </c>
      <c r="AB95" s="46" t="s">
        <v>629</v>
      </c>
      <c r="AD95" s="46" t="s">
        <v>462</v>
      </c>
      <c r="AE95" s="46" t="s">
        <v>462</v>
      </c>
      <c r="AJ95" t="s">
        <v>168</v>
      </c>
      <c r="AK95" t="s">
        <v>341</v>
      </c>
      <c r="AM95" s="45" t="s">
        <v>164</v>
      </c>
      <c r="AN95" s="45" t="s">
        <v>328</v>
      </c>
    </row>
    <row r="96" spans="1:40" x14ac:dyDescent="0.25">
      <c r="A96" s="46" t="s">
        <v>630</v>
      </c>
      <c r="B96" s="41"/>
      <c r="C96" s="46" t="s">
        <v>463</v>
      </c>
      <c r="D96" s="46" t="s">
        <v>630</v>
      </c>
      <c r="AA96" t="s">
        <v>706</v>
      </c>
      <c r="AB96" s="46" t="s">
        <v>630</v>
      </c>
      <c r="AD96" s="46" t="s">
        <v>463</v>
      </c>
      <c r="AE96" s="46" t="s">
        <v>463</v>
      </c>
      <c r="AJ96" t="s">
        <v>169</v>
      </c>
      <c r="AK96" t="s">
        <v>343</v>
      </c>
      <c r="AM96" s="45" t="s">
        <v>164</v>
      </c>
      <c r="AN96" s="45" t="s">
        <v>330</v>
      </c>
    </row>
    <row r="97" spans="1:40" x14ac:dyDescent="0.25">
      <c r="A97" s="46" t="s">
        <v>631</v>
      </c>
      <c r="B97" s="41"/>
      <c r="C97" s="46" t="s">
        <v>464</v>
      </c>
      <c r="D97" s="46" t="s">
        <v>631</v>
      </c>
      <c r="AA97" t="s">
        <v>706</v>
      </c>
      <c r="AB97" s="46" t="s">
        <v>631</v>
      </c>
      <c r="AD97" s="46" t="s">
        <v>464</v>
      </c>
      <c r="AE97" s="46" t="s">
        <v>464</v>
      </c>
      <c r="AJ97" t="s">
        <v>169</v>
      </c>
      <c r="AK97" t="s">
        <v>345</v>
      </c>
      <c r="AM97" s="45" t="s">
        <v>165</v>
      </c>
      <c r="AN97" s="45" t="s">
        <v>332</v>
      </c>
    </row>
    <row r="98" spans="1:40" x14ac:dyDescent="0.25">
      <c r="A98" s="46" t="s">
        <v>632</v>
      </c>
      <c r="B98" s="41"/>
      <c r="C98" s="46" t="s">
        <v>465</v>
      </c>
      <c r="D98" s="46" t="s">
        <v>632</v>
      </c>
      <c r="AA98" t="s">
        <v>706</v>
      </c>
      <c r="AB98" s="46" t="s">
        <v>632</v>
      </c>
      <c r="AD98" s="46" t="s">
        <v>465</v>
      </c>
      <c r="AE98" s="46" t="s">
        <v>465</v>
      </c>
      <c r="AJ98" t="s">
        <v>170</v>
      </c>
      <c r="AK98" t="s">
        <v>347</v>
      </c>
      <c r="AM98" s="45" t="s">
        <v>166</v>
      </c>
      <c r="AN98" s="45" t="s">
        <v>332</v>
      </c>
    </row>
    <row r="99" spans="1:40" x14ac:dyDescent="0.25">
      <c r="A99" s="46" t="s">
        <v>633</v>
      </c>
      <c r="B99" s="41"/>
      <c r="C99" s="46" t="s">
        <v>466</v>
      </c>
      <c r="D99" s="46" t="s">
        <v>633</v>
      </c>
      <c r="AA99" t="s">
        <v>706</v>
      </c>
      <c r="AB99" s="46" t="s">
        <v>633</v>
      </c>
      <c r="AD99" s="46" t="s">
        <v>466</v>
      </c>
      <c r="AE99" s="46" t="s">
        <v>466</v>
      </c>
      <c r="AJ99" t="s">
        <v>171</v>
      </c>
      <c r="AK99" t="s">
        <v>349</v>
      </c>
      <c r="AM99" s="45" t="s">
        <v>167</v>
      </c>
      <c r="AN99" s="45" t="s">
        <v>332</v>
      </c>
    </row>
    <row r="100" spans="1:40" x14ac:dyDescent="0.25">
      <c r="A100" s="46" t="s">
        <v>634</v>
      </c>
      <c r="B100" s="41"/>
      <c r="C100" s="46" t="s">
        <v>467</v>
      </c>
      <c r="D100" s="46" t="s">
        <v>634</v>
      </c>
      <c r="AA100" t="s">
        <v>706</v>
      </c>
      <c r="AB100" s="46" t="s">
        <v>634</v>
      </c>
      <c r="AD100" s="46" t="s">
        <v>467</v>
      </c>
      <c r="AE100" s="46" t="s">
        <v>467</v>
      </c>
      <c r="AJ100" t="s">
        <v>172</v>
      </c>
      <c r="AK100" t="s">
        <v>351</v>
      </c>
      <c r="AM100" s="45" t="s">
        <v>168</v>
      </c>
      <c r="AN100" s="45" t="s">
        <v>332</v>
      </c>
    </row>
    <row r="101" spans="1:40" x14ac:dyDescent="0.25">
      <c r="A101" s="46" t="s">
        <v>635</v>
      </c>
      <c r="B101" s="41"/>
      <c r="C101" s="46" t="s">
        <v>468</v>
      </c>
      <c r="D101" s="46" t="s">
        <v>635</v>
      </c>
      <c r="AA101" t="s">
        <v>706</v>
      </c>
      <c r="AB101" s="46" t="s">
        <v>635</v>
      </c>
      <c r="AD101" s="46" t="s">
        <v>468</v>
      </c>
      <c r="AE101" s="46" t="s">
        <v>468</v>
      </c>
      <c r="AJ101" t="s">
        <v>173</v>
      </c>
      <c r="AK101" t="s">
        <v>353</v>
      </c>
      <c r="AM101" s="45" t="s">
        <v>169</v>
      </c>
      <c r="AN101" s="45" t="s">
        <v>334</v>
      </c>
    </row>
    <row r="102" spans="1:40" x14ac:dyDescent="0.25">
      <c r="A102" s="46" t="s">
        <v>636</v>
      </c>
      <c r="B102" s="41"/>
      <c r="C102" s="46" t="s">
        <v>469</v>
      </c>
      <c r="D102" s="46" t="s">
        <v>636</v>
      </c>
      <c r="AA102" t="s">
        <v>706</v>
      </c>
      <c r="AB102" s="46" t="s">
        <v>636</v>
      </c>
      <c r="AD102" s="46" t="s">
        <v>469</v>
      </c>
      <c r="AE102" s="46" t="s">
        <v>469</v>
      </c>
      <c r="AJ102" t="s">
        <v>174</v>
      </c>
      <c r="AK102" t="s">
        <v>358</v>
      </c>
      <c r="AM102" s="45" t="s">
        <v>169</v>
      </c>
      <c r="AN102" s="45" t="s">
        <v>336</v>
      </c>
    </row>
    <row r="103" spans="1:40" x14ac:dyDescent="0.25">
      <c r="A103" s="46" t="s">
        <v>637</v>
      </c>
      <c r="B103" s="41"/>
      <c r="C103" s="46" t="s">
        <v>470</v>
      </c>
      <c r="D103" s="46" t="s">
        <v>637</v>
      </c>
      <c r="AA103" t="s">
        <v>706</v>
      </c>
      <c r="AB103" s="46" t="s">
        <v>637</v>
      </c>
      <c r="AD103" s="46" t="s">
        <v>470</v>
      </c>
      <c r="AE103" s="46" t="s">
        <v>470</v>
      </c>
      <c r="AJ103" t="s">
        <v>174</v>
      </c>
      <c r="AK103" t="s">
        <v>359</v>
      </c>
      <c r="AM103" s="45" t="s">
        <v>170</v>
      </c>
      <c r="AN103" s="45" t="s">
        <v>338</v>
      </c>
    </row>
    <row r="104" spans="1:40" x14ac:dyDescent="0.25">
      <c r="A104" s="46" t="s">
        <v>638</v>
      </c>
      <c r="B104" s="41"/>
      <c r="C104" s="46" t="s">
        <v>471</v>
      </c>
      <c r="D104" s="46" t="s">
        <v>638</v>
      </c>
      <c r="AA104" t="s">
        <v>706</v>
      </c>
      <c r="AB104" s="46" t="s">
        <v>638</v>
      </c>
      <c r="AD104" s="46" t="s">
        <v>471</v>
      </c>
      <c r="AE104" s="46" t="s">
        <v>471</v>
      </c>
      <c r="AJ104" t="s">
        <v>175</v>
      </c>
      <c r="AK104" t="s">
        <v>355</v>
      </c>
      <c r="AM104" s="45" t="s">
        <v>171</v>
      </c>
      <c r="AN104" s="45" t="s">
        <v>340</v>
      </c>
    </row>
    <row r="105" spans="1:40" x14ac:dyDescent="0.25">
      <c r="A105" s="46" t="s">
        <v>639</v>
      </c>
      <c r="B105" s="41"/>
      <c r="C105" s="46" t="s">
        <v>472</v>
      </c>
      <c r="D105" s="46" t="s">
        <v>639</v>
      </c>
      <c r="AA105" t="s">
        <v>706</v>
      </c>
      <c r="AB105" s="46" t="s">
        <v>639</v>
      </c>
      <c r="AD105" s="46" t="s">
        <v>472</v>
      </c>
      <c r="AE105" s="46" t="s">
        <v>472</v>
      </c>
      <c r="AJ105" t="s">
        <v>176</v>
      </c>
      <c r="AK105" t="s">
        <v>356</v>
      </c>
      <c r="AM105" s="45" t="s">
        <v>172</v>
      </c>
      <c r="AN105" s="45" t="s">
        <v>342</v>
      </c>
    </row>
    <row r="106" spans="1:40" x14ac:dyDescent="0.25">
      <c r="A106" s="46" t="s">
        <v>640</v>
      </c>
      <c r="B106" s="41"/>
      <c r="C106" s="46" t="s">
        <v>473</v>
      </c>
      <c r="D106" s="46" t="s">
        <v>640</v>
      </c>
      <c r="AA106" t="s">
        <v>706</v>
      </c>
      <c r="AB106" s="46" t="s">
        <v>640</v>
      </c>
      <c r="AD106" s="46" t="s">
        <v>473</v>
      </c>
      <c r="AE106" s="46" t="s">
        <v>473</v>
      </c>
      <c r="AJ106" t="s">
        <v>177</v>
      </c>
      <c r="AK106" t="s">
        <v>357</v>
      </c>
      <c r="AM106" s="45" t="s">
        <v>173</v>
      </c>
      <c r="AN106" s="45" t="s">
        <v>344</v>
      </c>
    </row>
    <row r="107" spans="1:40" x14ac:dyDescent="0.25">
      <c r="A107" s="46" t="s">
        <v>641</v>
      </c>
      <c r="B107" s="41"/>
      <c r="C107" s="46" t="s">
        <v>474</v>
      </c>
      <c r="D107" s="46" t="s">
        <v>641</v>
      </c>
      <c r="AA107" t="s">
        <v>706</v>
      </c>
      <c r="AB107" s="46" t="s">
        <v>641</v>
      </c>
      <c r="AD107" s="46" t="s">
        <v>474</v>
      </c>
      <c r="AE107" s="46" t="s">
        <v>474</v>
      </c>
      <c r="AJ107" t="s">
        <v>178</v>
      </c>
      <c r="AK107" t="s">
        <v>351</v>
      </c>
      <c r="AM107" s="45" t="s">
        <v>174</v>
      </c>
      <c r="AN107" s="45" t="s">
        <v>352</v>
      </c>
    </row>
    <row r="108" spans="1:40" x14ac:dyDescent="0.25">
      <c r="A108" s="46" t="s">
        <v>642</v>
      </c>
      <c r="B108" s="41"/>
      <c r="C108" s="46" t="s">
        <v>475</v>
      </c>
      <c r="D108" s="46" t="s">
        <v>642</v>
      </c>
      <c r="AA108" t="s">
        <v>706</v>
      </c>
      <c r="AB108" s="46" t="s">
        <v>642</v>
      </c>
      <c r="AD108" s="46" t="s">
        <v>475</v>
      </c>
      <c r="AE108" s="46" t="s">
        <v>475</v>
      </c>
      <c r="AM108" s="45" t="s">
        <v>174</v>
      </c>
      <c r="AN108" s="45" t="s">
        <v>354</v>
      </c>
    </row>
    <row r="109" spans="1:40" x14ac:dyDescent="0.25">
      <c r="A109" s="46" t="s">
        <v>643</v>
      </c>
      <c r="B109" s="41"/>
      <c r="C109" s="46" t="s">
        <v>476</v>
      </c>
      <c r="D109" s="46" t="s">
        <v>643</v>
      </c>
      <c r="AA109" t="s">
        <v>706</v>
      </c>
      <c r="AB109" s="46" t="s">
        <v>643</v>
      </c>
      <c r="AD109" s="46" t="s">
        <v>476</v>
      </c>
      <c r="AE109" s="46" t="s">
        <v>476</v>
      </c>
      <c r="AM109" s="45" t="s">
        <v>175</v>
      </c>
      <c r="AN109" s="45" t="s">
        <v>346</v>
      </c>
    </row>
    <row r="110" spans="1:40" x14ac:dyDescent="0.25">
      <c r="A110" s="46" t="s">
        <v>644</v>
      </c>
      <c r="B110" s="41"/>
      <c r="C110" s="46" t="s">
        <v>477</v>
      </c>
      <c r="D110" s="46" t="s">
        <v>644</v>
      </c>
      <c r="AA110" t="s">
        <v>706</v>
      </c>
      <c r="AB110" s="46" t="s">
        <v>644</v>
      </c>
      <c r="AD110" s="46" t="s">
        <v>477</v>
      </c>
      <c r="AE110" s="46" t="s">
        <v>477</v>
      </c>
      <c r="AM110" s="45" t="s">
        <v>176</v>
      </c>
      <c r="AN110" s="45" t="s">
        <v>348</v>
      </c>
    </row>
    <row r="111" spans="1:40" x14ac:dyDescent="0.25">
      <c r="A111" s="46" t="s">
        <v>645</v>
      </c>
      <c r="B111" s="41"/>
      <c r="C111" s="46" t="s">
        <v>478</v>
      </c>
      <c r="D111" s="46" t="s">
        <v>645</v>
      </c>
      <c r="AA111" t="s">
        <v>706</v>
      </c>
      <c r="AB111" s="46" t="s">
        <v>645</v>
      </c>
      <c r="AD111" s="46" t="s">
        <v>478</v>
      </c>
      <c r="AE111" s="46" t="s">
        <v>478</v>
      </c>
      <c r="AM111" s="45" t="s">
        <v>177</v>
      </c>
      <c r="AN111" s="45" t="s">
        <v>350</v>
      </c>
    </row>
    <row r="112" spans="1:40" x14ac:dyDescent="0.25">
      <c r="A112" s="46" t="s">
        <v>646</v>
      </c>
      <c r="B112" s="41"/>
      <c r="C112" s="46" t="s">
        <v>479</v>
      </c>
      <c r="D112" s="46" t="s">
        <v>646</v>
      </c>
      <c r="AA112" t="s">
        <v>706</v>
      </c>
      <c r="AB112" s="46" t="s">
        <v>646</v>
      </c>
      <c r="AD112" s="46" t="s">
        <v>479</v>
      </c>
      <c r="AE112" s="46" t="s">
        <v>479</v>
      </c>
      <c r="AM112" s="45" t="s">
        <v>178</v>
      </c>
      <c r="AN112" s="45" t="s">
        <v>342</v>
      </c>
    </row>
    <row r="113" spans="1:31" x14ac:dyDescent="0.25">
      <c r="A113" s="46" t="s">
        <v>647</v>
      </c>
      <c r="B113" s="41"/>
      <c r="C113" s="46" t="s">
        <v>480</v>
      </c>
      <c r="D113" s="46" t="s">
        <v>647</v>
      </c>
      <c r="AA113" t="s">
        <v>706</v>
      </c>
      <c r="AB113" s="46" t="s">
        <v>647</v>
      </c>
      <c r="AD113" s="46" t="s">
        <v>480</v>
      </c>
      <c r="AE113" s="46" t="s">
        <v>480</v>
      </c>
    </row>
    <row r="114" spans="1:31" x14ac:dyDescent="0.25">
      <c r="A114" s="46" t="s">
        <v>648</v>
      </c>
      <c r="B114" s="41"/>
      <c r="C114" s="46" t="s">
        <v>481</v>
      </c>
      <c r="D114" s="46" t="s">
        <v>648</v>
      </c>
      <c r="AA114" t="s">
        <v>706</v>
      </c>
      <c r="AB114" s="46" t="s">
        <v>648</v>
      </c>
      <c r="AD114" s="46" t="s">
        <v>481</v>
      </c>
      <c r="AE114" s="46" t="s">
        <v>481</v>
      </c>
    </row>
    <row r="115" spans="1:31" x14ac:dyDescent="0.25">
      <c r="A115" s="46" t="s">
        <v>649</v>
      </c>
      <c r="B115" s="41"/>
      <c r="C115" s="46" t="s">
        <v>482</v>
      </c>
      <c r="D115" s="46" t="s">
        <v>649</v>
      </c>
      <c r="AA115" t="s">
        <v>706</v>
      </c>
      <c r="AB115" s="46" t="s">
        <v>649</v>
      </c>
      <c r="AD115" s="46" t="s">
        <v>482</v>
      </c>
      <c r="AE115" s="46" t="s">
        <v>482</v>
      </c>
    </row>
    <row r="116" spans="1:31" x14ac:dyDescent="0.25">
      <c r="A116" s="46" t="s">
        <v>650</v>
      </c>
      <c r="B116" s="41"/>
      <c r="C116" s="46" t="s">
        <v>483</v>
      </c>
      <c r="D116" s="46" t="s">
        <v>650</v>
      </c>
      <c r="AA116" t="s">
        <v>706</v>
      </c>
      <c r="AB116" s="46" t="s">
        <v>650</v>
      </c>
      <c r="AD116" s="46" t="s">
        <v>483</v>
      </c>
      <c r="AE116" s="46" t="s">
        <v>483</v>
      </c>
    </row>
    <row r="117" spans="1:31" x14ac:dyDescent="0.25">
      <c r="A117" s="46" t="s">
        <v>651</v>
      </c>
      <c r="B117" s="41"/>
      <c r="C117" s="46" t="s">
        <v>484</v>
      </c>
      <c r="D117" s="46" t="s">
        <v>651</v>
      </c>
      <c r="AA117" t="s">
        <v>706</v>
      </c>
      <c r="AB117" s="46" t="s">
        <v>651</v>
      </c>
      <c r="AD117" s="46" t="s">
        <v>484</v>
      </c>
      <c r="AE117" s="46" t="s">
        <v>484</v>
      </c>
    </row>
    <row r="118" spans="1:31" x14ac:dyDescent="0.25">
      <c r="A118" s="46" t="s">
        <v>652</v>
      </c>
      <c r="B118" s="41"/>
      <c r="C118" s="46" t="s">
        <v>485</v>
      </c>
      <c r="D118" s="46" t="s">
        <v>652</v>
      </c>
      <c r="AA118" t="s">
        <v>706</v>
      </c>
      <c r="AB118" s="46" t="s">
        <v>652</v>
      </c>
      <c r="AD118" s="46" t="s">
        <v>485</v>
      </c>
      <c r="AE118" s="46" t="s">
        <v>485</v>
      </c>
    </row>
    <row r="119" spans="1:31" x14ac:dyDescent="0.25">
      <c r="A119" s="46" t="s">
        <v>653</v>
      </c>
      <c r="B119" s="41"/>
      <c r="C119" s="46" t="s">
        <v>486</v>
      </c>
      <c r="D119" s="46" t="s">
        <v>653</v>
      </c>
      <c r="AA119" t="s">
        <v>706</v>
      </c>
      <c r="AB119" s="46" t="s">
        <v>653</v>
      </c>
      <c r="AD119" s="46" t="s">
        <v>486</v>
      </c>
      <c r="AE119" s="46" t="s">
        <v>486</v>
      </c>
    </row>
    <row r="120" spans="1:31" x14ac:dyDescent="0.25">
      <c r="A120" s="46" t="s">
        <v>654</v>
      </c>
      <c r="B120" s="41"/>
      <c r="C120" s="46" t="s">
        <v>487</v>
      </c>
      <c r="D120" s="46" t="s">
        <v>654</v>
      </c>
      <c r="AA120" t="s">
        <v>706</v>
      </c>
      <c r="AB120" s="46" t="s">
        <v>654</v>
      </c>
      <c r="AD120" s="46" t="s">
        <v>487</v>
      </c>
      <c r="AE120" s="46" t="s">
        <v>487</v>
      </c>
    </row>
    <row r="121" spans="1:31" x14ac:dyDescent="0.25">
      <c r="A121" s="46" t="s">
        <v>655</v>
      </c>
      <c r="B121" s="41"/>
      <c r="C121" s="46" t="s">
        <v>488</v>
      </c>
      <c r="D121" s="46" t="s">
        <v>655</v>
      </c>
      <c r="AA121" t="s">
        <v>706</v>
      </c>
      <c r="AB121" s="46" t="s">
        <v>655</v>
      </c>
      <c r="AD121" s="46" t="s">
        <v>488</v>
      </c>
      <c r="AE121" s="46" t="s">
        <v>488</v>
      </c>
    </row>
    <row r="122" spans="1:31" x14ac:dyDescent="0.25">
      <c r="A122" s="46" t="s">
        <v>656</v>
      </c>
      <c r="B122" s="41"/>
      <c r="C122" s="46" t="s">
        <v>489</v>
      </c>
      <c r="D122" s="46" t="s">
        <v>656</v>
      </c>
      <c r="AA122" t="s">
        <v>706</v>
      </c>
      <c r="AB122" s="46" t="s">
        <v>656</v>
      </c>
      <c r="AD122" s="46" t="s">
        <v>489</v>
      </c>
      <c r="AE122" s="46" t="s">
        <v>489</v>
      </c>
    </row>
    <row r="123" spans="1:31" x14ac:dyDescent="0.25">
      <c r="A123" s="46" t="s">
        <v>657</v>
      </c>
      <c r="B123" s="41"/>
      <c r="C123" s="46" t="s">
        <v>490</v>
      </c>
      <c r="D123" s="46" t="s">
        <v>657</v>
      </c>
      <c r="AA123" t="s">
        <v>706</v>
      </c>
      <c r="AB123" s="46" t="s">
        <v>657</v>
      </c>
      <c r="AD123" s="46" t="s">
        <v>490</v>
      </c>
      <c r="AE123" s="46" t="s">
        <v>490</v>
      </c>
    </row>
    <row r="124" spans="1:31" x14ac:dyDescent="0.25">
      <c r="A124" s="46" t="s">
        <v>658</v>
      </c>
      <c r="B124" s="41"/>
      <c r="C124" s="46" t="s">
        <v>491</v>
      </c>
      <c r="D124" s="46" t="s">
        <v>658</v>
      </c>
      <c r="AA124" t="s">
        <v>706</v>
      </c>
      <c r="AB124" s="46" t="s">
        <v>658</v>
      </c>
      <c r="AD124" s="46" t="s">
        <v>491</v>
      </c>
      <c r="AE124" s="46" t="s">
        <v>491</v>
      </c>
    </row>
    <row r="125" spans="1:31" x14ac:dyDescent="0.25">
      <c r="A125" s="46" t="s">
        <v>659</v>
      </c>
      <c r="B125" s="41"/>
      <c r="C125" s="46" t="s">
        <v>492</v>
      </c>
      <c r="D125" s="46" t="s">
        <v>659</v>
      </c>
      <c r="AA125" t="s">
        <v>706</v>
      </c>
      <c r="AB125" s="46" t="s">
        <v>659</v>
      </c>
      <c r="AD125" s="46" t="s">
        <v>492</v>
      </c>
      <c r="AE125" s="46" t="s">
        <v>492</v>
      </c>
    </row>
    <row r="126" spans="1:31" x14ac:dyDescent="0.25">
      <c r="A126" s="46" t="s">
        <v>660</v>
      </c>
      <c r="B126" s="41"/>
      <c r="C126" s="46" t="s">
        <v>493</v>
      </c>
      <c r="D126" s="46" t="s">
        <v>660</v>
      </c>
      <c r="AA126" t="s">
        <v>706</v>
      </c>
      <c r="AB126" s="46" t="s">
        <v>660</v>
      </c>
      <c r="AD126" s="46" t="s">
        <v>493</v>
      </c>
      <c r="AE126" s="46" t="s">
        <v>493</v>
      </c>
    </row>
    <row r="127" spans="1:31" x14ac:dyDescent="0.25">
      <c r="A127" s="46" t="s">
        <v>661</v>
      </c>
      <c r="B127" s="41"/>
      <c r="C127" s="46" t="s">
        <v>494</v>
      </c>
      <c r="D127" s="46" t="s">
        <v>661</v>
      </c>
      <c r="AA127" t="s">
        <v>706</v>
      </c>
      <c r="AB127" s="46" t="s">
        <v>661</v>
      </c>
      <c r="AD127" s="46" t="s">
        <v>494</v>
      </c>
      <c r="AE127" s="46" t="s">
        <v>494</v>
      </c>
    </row>
    <row r="128" spans="1:31" x14ac:dyDescent="0.25">
      <c r="A128" s="46" t="s">
        <v>662</v>
      </c>
      <c r="B128" s="41"/>
      <c r="C128" s="46" t="s">
        <v>495</v>
      </c>
      <c r="D128" s="46" t="s">
        <v>662</v>
      </c>
      <c r="AA128" t="s">
        <v>706</v>
      </c>
      <c r="AB128" s="46" t="s">
        <v>662</v>
      </c>
      <c r="AD128" s="46" t="s">
        <v>495</v>
      </c>
      <c r="AE128" s="46" t="s">
        <v>495</v>
      </c>
    </row>
    <row r="129" spans="1:31" x14ac:dyDescent="0.25">
      <c r="A129" s="46" t="s">
        <v>663</v>
      </c>
      <c r="B129" s="41"/>
      <c r="C129" s="46" t="s">
        <v>496</v>
      </c>
      <c r="D129" s="46" t="s">
        <v>663</v>
      </c>
      <c r="AA129" t="s">
        <v>706</v>
      </c>
      <c r="AB129" s="46" t="s">
        <v>663</v>
      </c>
      <c r="AD129" s="46" t="s">
        <v>496</v>
      </c>
      <c r="AE129" s="46" t="s">
        <v>496</v>
      </c>
    </row>
    <row r="130" spans="1:31" x14ac:dyDescent="0.25">
      <c r="A130" s="46" t="s">
        <v>664</v>
      </c>
      <c r="B130" s="41"/>
      <c r="C130" s="46" t="s">
        <v>497</v>
      </c>
      <c r="D130" s="46" t="s">
        <v>664</v>
      </c>
      <c r="AA130" t="s">
        <v>706</v>
      </c>
      <c r="AB130" s="46" t="s">
        <v>664</v>
      </c>
      <c r="AD130" s="46" t="s">
        <v>497</v>
      </c>
      <c r="AE130" s="46" t="s">
        <v>497</v>
      </c>
    </row>
    <row r="131" spans="1:31" x14ac:dyDescent="0.25">
      <c r="A131" s="46" t="s">
        <v>665</v>
      </c>
      <c r="B131" s="41"/>
      <c r="C131" s="46" t="s">
        <v>498</v>
      </c>
      <c r="D131" s="46" t="s">
        <v>665</v>
      </c>
      <c r="AA131" t="s">
        <v>706</v>
      </c>
      <c r="AB131" s="46" t="s">
        <v>665</v>
      </c>
      <c r="AD131" s="46" t="s">
        <v>498</v>
      </c>
      <c r="AE131" s="46" t="s">
        <v>498</v>
      </c>
    </row>
    <row r="132" spans="1:31" x14ac:dyDescent="0.25">
      <c r="A132" s="46" t="s">
        <v>666</v>
      </c>
      <c r="B132" s="33"/>
      <c r="C132" s="46" t="s">
        <v>499</v>
      </c>
      <c r="D132" s="46" t="s">
        <v>666</v>
      </c>
      <c r="AA132" t="s">
        <v>706</v>
      </c>
      <c r="AB132" s="55" t="s">
        <v>666</v>
      </c>
      <c r="AD132" s="46" t="s">
        <v>499</v>
      </c>
      <c r="AE132" s="46" t="s">
        <v>499</v>
      </c>
    </row>
    <row r="133" spans="1:31" x14ac:dyDescent="0.25">
      <c r="A133" s="46" t="s">
        <v>667</v>
      </c>
      <c r="B133" s="43"/>
      <c r="C133" s="46" t="s">
        <v>500</v>
      </c>
      <c r="D133" s="46" t="s">
        <v>667</v>
      </c>
      <c r="AA133" t="s">
        <v>706</v>
      </c>
      <c r="AB133" s="46" t="s">
        <v>667</v>
      </c>
      <c r="AD133" s="46" t="s">
        <v>500</v>
      </c>
      <c r="AE133" s="46" t="s">
        <v>500</v>
      </c>
    </row>
    <row r="134" spans="1:31" x14ac:dyDescent="0.25">
      <c r="A134" s="46" t="s">
        <v>668</v>
      </c>
      <c r="B134" s="41"/>
      <c r="C134" s="46" t="s">
        <v>501</v>
      </c>
      <c r="D134" s="46" t="s">
        <v>668</v>
      </c>
      <c r="AA134" t="s">
        <v>706</v>
      </c>
      <c r="AB134" s="46" t="s">
        <v>668</v>
      </c>
      <c r="AD134" s="46" t="s">
        <v>501</v>
      </c>
      <c r="AE134" s="46" t="s">
        <v>501</v>
      </c>
    </row>
    <row r="135" spans="1:31" x14ac:dyDescent="0.25">
      <c r="A135" s="46" t="s">
        <v>669</v>
      </c>
      <c r="B135" s="41"/>
      <c r="C135" s="46" t="s">
        <v>502</v>
      </c>
      <c r="D135" s="46" t="s">
        <v>669</v>
      </c>
      <c r="AA135" t="s">
        <v>706</v>
      </c>
      <c r="AB135" s="46" t="s">
        <v>669</v>
      </c>
      <c r="AD135" s="46" t="s">
        <v>502</v>
      </c>
      <c r="AE135" s="46" t="s">
        <v>502</v>
      </c>
    </row>
    <row r="136" spans="1:31" x14ac:dyDescent="0.25">
      <c r="A136" s="46" t="s">
        <v>670</v>
      </c>
      <c r="B136" s="41"/>
      <c r="C136" s="46" t="s">
        <v>528</v>
      </c>
      <c r="D136" s="46" t="s">
        <v>670</v>
      </c>
      <c r="AA136" t="s">
        <v>71</v>
      </c>
      <c r="AB136" s="46" t="s">
        <v>673</v>
      </c>
      <c r="AD136" s="46" t="s">
        <v>528</v>
      </c>
      <c r="AE136" s="46" t="s">
        <v>528</v>
      </c>
    </row>
    <row r="137" spans="1:31" x14ac:dyDescent="0.25">
      <c r="A137" s="46" t="s">
        <v>671</v>
      </c>
      <c r="B137" s="41"/>
      <c r="C137" s="46" t="s">
        <v>529</v>
      </c>
      <c r="D137" s="46" t="s">
        <v>671</v>
      </c>
      <c r="AA137" t="s">
        <v>71</v>
      </c>
      <c r="AB137" s="46" t="s">
        <v>674</v>
      </c>
      <c r="AD137" s="46" t="s">
        <v>529</v>
      </c>
      <c r="AE137" s="46" t="s">
        <v>529</v>
      </c>
    </row>
    <row r="138" spans="1:31" x14ac:dyDescent="0.25">
      <c r="A138" s="46" t="s">
        <v>672</v>
      </c>
      <c r="B138" s="41"/>
      <c r="C138" s="46" t="s">
        <v>530</v>
      </c>
      <c r="D138" s="46" t="s">
        <v>672</v>
      </c>
      <c r="AA138" t="s">
        <v>71</v>
      </c>
      <c r="AB138" s="46" t="s">
        <v>675</v>
      </c>
      <c r="AD138" s="46" t="s">
        <v>530</v>
      </c>
      <c r="AE138" s="46" t="s">
        <v>530</v>
      </c>
    </row>
    <row r="139" spans="1:31" x14ac:dyDescent="0.25">
      <c r="A139" s="46" t="s">
        <v>213</v>
      </c>
      <c r="B139" s="41"/>
      <c r="C139" s="46" t="s">
        <v>503</v>
      </c>
      <c r="D139" s="46" t="s">
        <v>213</v>
      </c>
      <c r="AA139" t="s">
        <v>71</v>
      </c>
      <c r="AB139" s="46" t="s">
        <v>676</v>
      </c>
      <c r="AD139" s="46" t="s">
        <v>503</v>
      </c>
      <c r="AE139" s="46" t="s">
        <v>503</v>
      </c>
    </row>
    <row r="140" spans="1:31" x14ac:dyDescent="0.25">
      <c r="A140" s="46" t="s">
        <v>673</v>
      </c>
      <c r="B140" s="41"/>
      <c r="C140" s="46" t="s">
        <v>504</v>
      </c>
      <c r="D140" s="46" t="s">
        <v>673</v>
      </c>
      <c r="AA140" t="s">
        <v>71</v>
      </c>
      <c r="AB140" s="46" t="s">
        <v>677</v>
      </c>
      <c r="AD140" s="46" t="s">
        <v>504</v>
      </c>
      <c r="AE140" s="46" t="s">
        <v>504</v>
      </c>
    </row>
    <row r="141" spans="1:31" x14ac:dyDescent="0.25">
      <c r="A141" s="46" t="s">
        <v>674</v>
      </c>
      <c r="B141" s="41"/>
      <c r="C141" s="46" t="s">
        <v>505</v>
      </c>
      <c r="D141" s="46" t="s">
        <v>674</v>
      </c>
      <c r="AA141" t="s">
        <v>72</v>
      </c>
      <c r="AB141" s="46" t="s">
        <v>678</v>
      </c>
      <c r="AD141" s="46" t="s">
        <v>505</v>
      </c>
      <c r="AE141" s="46" t="s">
        <v>505</v>
      </c>
    </row>
    <row r="142" spans="1:31" x14ac:dyDescent="0.25">
      <c r="A142" s="46" t="s">
        <v>675</v>
      </c>
      <c r="B142" s="41"/>
      <c r="C142" s="46" t="s">
        <v>506</v>
      </c>
      <c r="D142" s="46" t="s">
        <v>675</v>
      </c>
      <c r="AA142" t="s">
        <v>707</v>
      </c>
      <c r="AB142" s="46" t="s">
        <v>213</v>
      </c>
      <c r="AD142" s="46" t="s">
        <v>506</v>
      </c>
      <c r="AE142" s="46" t="s">
        <v>506</v>
      </c>
    </row>
    <row r="143" spans="1:31" x14ac:dyDescent="0.25">
      <c r="A143" s="46" t="s">
        <v>676</v>
      </c>
      <c r="B143" s="41"/>
      <c r="C143" s="46" t="s">
        <v>507</v>
      </c>
      <c r="D143" s="46" t="s">
        <v>676</v>
      </c>
      <c r="AA143" t="s">
        <v>707</v>
      </c>
      <c r="AB143" s="46" t="s">
        <v>214</v>
      </c>
      <c r="AD143" s="46" t="s">
        <v>507</v>
      </c>
      <c r="AE143" s="46" t="s">
        <v>507</v>
      </c>
    </row>
    <row r="144" spans="1:31" x14ac:dyDescent="0.25">
      <c r="A144" s="46" t="s">
        <v>677</v>
      </c>
      <c r="B144" s="41"/>
      <c r="C144" s="46" t="s">
        <v>508</v>
      </c>
      <c r="D144" s="46" t="s">
        <v>677</v>
      </c>
      <c r="AA144" t="s">
        <v>73</v>
      </c>
      <c r="AB144" s="46" t="s">
        <v>683</v>
      </c>
      <c r="AD144" s="46" t="s">
        <v>508</v>
      </c>
      <c r="AE144" s="46" t="s">
        <v>508</v>
      </c>
    </row>
    <row r="145" spans="1:42" x14ac:dyDescent="0.25">
      <c r="A145" s="46" t="s">
        <v>678</v>
      </c>
      <c r="B145" s="41"/>
      <c r="C145" s="46" t="s">
        <v>509</v>
      </c>
      <c r="D145" s="46" t="s">
        <v>678</v>
      </c>
      <c r="AA145" t="s">
        <v>74</v>
      </c>
      <c r="AB145" s="46" t="s">
        <v>684</v>
      </c>
      <c r="AD145" s="46" t="s">
        <v>509</v>
      </c>
      <c r="AE145" s="46" t="s">
        <v>509</v>
      </c>
      <c r="AP145" s="9"/>
    </row>
    <row r="146" spans="1:42" x14ac:dyDescent="0.25">
      <c r="A146" s="46" t="s">
        <v>214</v>
      </c>
      <c r="B146" s="41"/>
      <c r="C146" s="46" t="s">
        <v>510</v>
      </c>
      <c r="D146" s="46" t="s">
        <v>214</v>
      </c>
      <c r="AA146" t="s">
        <v>708</v>
      </c>
      <c r="AB146" s="46" t="s">
        <v>699</v>
      </c>
      <c r="AD146" s="46" t="s">
        <v>510</v>
      </c>
      <c r="AE146" s="46" t="s">
        <v>510</v>
      </c>
      <c r="AO146" s="9"/>
    </row>
    <row r="147" spans="1:42" x14ac:dyDescent="0.25">
      <c r="A147" s="46" t="s">
        <v>679</v>
      </c>
      <c r="B147" s="41"/>
      <c r="C147" s="46" t="s">
        <v>531</v>
      </c>
      <c r="D147" s="46" t="s">
        <v>679</v>
      </c>
      <c r="AA147" t="s">
        <v>710</v>
      </c>
      <c r="AB147" s="46" t="s">
        <v>700</v>
      </c>
      <c r="AD147" s="46" t="s">
        <v>531</v>
      </c>
      <c r="AE147" s="46" t="s">
        <v>531</v>
      </c>
    </row>
    <row r="148" spans="1:42" x14ac:dyDescent="0.25">
      <c r="A148" s="46" t="s">
        <v>680</v>
      </c>
      <c r="B148" s="41"/>
      <c r="C148" s="46" t="s">
        <v>532</v>
      </c>
      <c r="D148" s="46" t="s">
        <v>680</v>
      </c>
      <c r="AA148" t="s">
        <v>711</v>
      </c>
      <c r="AB148" s="46" t="s">
        <v>701</v>
      </c>
      <c r="AD148" s="46" t="s">
        <v>532</v>
      </c>
      <c r="AE148" s="46" t="s">
        <v>532</v>
      </c>
      <c r="AK148" s="9"/>
      <c r="AL148" s="9"/>
    </row>
    <row r="149" spans="1:42" x14ac:dyDescent="0.25">
      <c r="A149" s="46" t="s">
        <v>681</v>
      </c>
      <c r="B149" s="41"/>
      <c r="C149" s="46" t="s">
        <v>533</v>
      </c>
      <c r="D149" s="46" t="s">
        <v>681</v>
      </c>
      <c r="AA149" t="s">
        <v>711</v>
      </c>
      <c r="AB149" s="46" t="s">
        <v>702</v>
      </c>
      <c r="AD149" s="46" t="s">
        <v>533</v>
      </c>
      <c r="AE149" s="46" t="s">
        <v>533</v>
      </c>
    </row>
    <row r="150" spans="1:42" x14ac:dyDescent="0.25">
      <c r="A150" s="46" t="s">
        <v>682</v>
      </c>
      <c r="B150" s="41"/>
      <c r="C150" s="46" t="s">
        <v>534</v>
      </c>
      <c r="D150" s="46" t="s">
        <v>682</v>
      </c>
      <c r="AA150" t="s">
        <v>713</v>
      </c>
      <c r="AB150" s="46" t="s">
        <v>698</v>
      </c>
      <c r="AD150" s="46" t="s">
        <v>534</v>
      </c>
      <c r="AE150" s="46" t="s">
        <v>534</v>
      </c>
    </row>
    <row r="151" spans="1:42" x14ac:dyDescent="0.25">
      <c r="A151" s="46" t="s">
        <v>683</v>
      </c>
      <c r="B151" s="41"/>
      <c r="C151" s="46" t="s">
        <v>511</v>
      </c>
      <c r="D151" s="46" t="s">
        <v>683</v>
      </c>
      <c r="AA151" t="s">
        <v>714</v>
      </c>
      <c r="AB151" s="46" t="s">
        <v>697</v>
      </c>
      <c r="AD151" s="46" t="s">
        <v>511</v>
      </c>
      <c r="AE151" s="46" t="s">
        <v>511</v>
      </c>
    </row>
    <row r="152" spans="1:42" x14ac:dyDescent="0.25">
      <c r="A152" s="46" t="s">
        <v>684</v>
      </c>
      <c r="B152" s="42"/>
      <c r="C152" s="46" t="s">
        <v>512</v>
      </c>
      <c r="D152" s="46" t="s">
        <v>684</v>
      </c>
      <c r="E152" s="42"/>
      <c r="AA152" t="s">
        <v>716</v>
      </c>
      <c r="AB152" s="46" t="s">
        <v>685</v>
      </c>
      <c r="AD152" s="46" t="s">
        <v>512</v>
      </c>
      <c r="AE152" s="46" t="s">
        <v>512</v>
      </c>
    </row>
    <row r="153" spans="1:42" x14ac:dyDescent="0.25">
      <c r="A153" s="46" t="s">
        <v>722</v>
      </c>
      <c r="B153" s="42"/>
      <c r="C153" s="46" t="s">
        <v>723</v>
      </c>
      <c r="D153" s="46" t="s">
        <v>722</v>
      </c>
      <c r="AA153" t="s">
        <v>716</v>
      </c>
      <c r="AB153" s="46" t="s">
        <v>686</v>
      </c>
      <c r="AD153" s="46" t="s">
        <v>723</v>
      </c>
      <c r="AE153" s="46" t="s">
        <v>723</v>
      </c>
    </row>
    <row r="154" spans="1:42" ht="12" customHeight="1" x14ac:dyDescent="0.25">
      <c r="A154" s="46" t="s">
        <v>215</v>
      </c>
      <c r="B154" s="42"/>
      <c r="C154" s="46" t="s">
        <v>724</v>
      </c>
      <c r="D154" s="46" t="s">
        <v>215</v>
      </c>
      <c r="AA154" t="s">
        <v>716</v>
      </c>
      <c r="AB154" s="46" t="s">
        <v>687</v>
      </c>
      <c r="AD154" s="46" t="s">
        <v>724</v>
      </c>
      <c r="AE154" s="46" t="s">
        <v>724</v>
      </c>
    </row>
    <row r="155" spans="1:42" x14ac:dyDescent="0.25">
      <c r="A155" s="46" t="s">
        <v>685</v>
      </c>
      <c r="B155" s="42"/>
      <c r="C155" s="46" t="s">
        <v>513</v>
      </c>
      <c r="D155" s="46" t="s">
        <v>685</v>
      </c>
      <c r="AA155" t="s">
        <v>716</v>
      </c>
      <c r="AB155" s="46" t="s">
        <v>688</v>
      </c>
      <c r="AD155" s="46" t="s">
        <v>513</v>
      </c>
      <c r="AE155" s="46" t="s">
        <v>513</v>
      </c>
    </row>
    <row r="156" spans="1:42" x14ac:dyDescent="0.25">
      <c r="A156" s="46" t="s">
        <v>686</v>
      </c>
      <c r="B156" s="42"/>
      <c r="C156" s="46" t="s">
        <v>514</v>
      </c>
      <c r="D156" s="46" t="s">
        <v>686</v>
      </c>
      <c r="AA156" t="s">
        <v>716</v>
      </c>
      <c r="AB156" s="46" t="s">
        <v>689</v>
      </c>
      <c r="AD156" s="46" t="s">
        <v>514</v>
      </c>
      <c r="AE156" s="46" t="s">
        <v>514</v>
      </c>
    </row>
    <row r="157" spans="1:42" x14ac:dyDescent="0.25">
      <c r="A157" s="46" t="s">
        <v>687</v>
      </c>
      <c r="B157" s="42"/>
      <c r="C157" s="46" t="s">
        <v>515</v>
      </c>
      <c r="D157" s="46" t="s">
        <v>687</v>
      </c>
      <c r="AA157" t="s">
        <v>716</v>
      </c>
      <c r="AB157" s="46" t="s">
        <v>690</v>
      </c>
      <c r="AD157" s="46" t="s">
        <v>515</v>
      </c>
      <c r="AE157" s="46" t="s">
        <v>515</v>
      </c>
    </row>
    <row r="158" spans="1:42" x14ac:dyDescent="0.25">
      <c r="A158" s="46" t="s">
        <v>688</v>
      </c>
      <c r="B158" s="42"/>
      <c r="C158" s="46" t="s">
        <v>516</v>
      </c>
      <c r="D158" s="46" t="s">
        <v>688</v>
      </c>
      <c r="AA158" t="s">
        <v>716</v>
      </c>
      <c r="AB158" s="46" t="s">
        <v>691</v>
      </c>
      <c r="AD158" s="46" t="s">
        <v>516</v>
      </c>
      <c r="AE158" s="46" t="s">
        <v>516</v>
      </c>
    </row>
    <row r="159" spans="1:42" x14ac:dyDescent="0.25">
      <c r="A159" s="46" t="s">
        <v>689</v>
      </c>
      <c r="B159" s="47"/>
      <c r="C159" s="46" t="s">
        <v>517</v>
      </c>
      <c r="D159" s="46" t="s">
        <v>689</v>
      </c>
      <c r="AA159" t="s">
        <v>716</v>
      </c>
      <c r="AB159" s="56" t="s">
        <v>692</v>
      </c>
      <c r="AD159" s="46" t="s">
        <v>517</v>
      </c>
      <c r="AE159" s="46" t="s">
        <v>517</v>
      </c>
    </row>
    <row r="160" spans="1:42" x14ac:dyDescent="0.25">
      <c r="A160" s="46" t="s">
        <v>690</v>
      </c>
      <c r="B160" s="47"/>
      <c r="C160" s="46" t="s">
        <v>518</v>
      </c>
      <c r="D160" s="46" t="s">
        <v>690</v>
      </c>
      <c r="AA160" t="s">
        <v>716</v>
      </c>
      <c r="AB160" s="56" t="s">
        <v>693</v>
      </c>
      <c r="AD160" s="46" t="s">
        <v>518</v>
      </c>
      <c r="AE160" s="46" t="s">
        <v>518</v>
      </c>
    </row>
    <row r="161" spans="1:31" x14ac:dyDescent="0.25">
      <c r="A161" s="46" t="s">
        <v>691</v>
      </c>
      <c r="B161" s="48"/>
      <c r="C161" s="46" t="s">
        <v>519</v>
      </c>
      <c r="D161" s="46" t="s">
        <v>691</v>
      </c>
      <c r="AA161" t="s">
        <v>716</v>
      </c>
      <c r="AB161" s="46" t="s">
        <v>694</v>
      </c>
      <c r="AD161" s="46" t="s">
        <v>519</v>
      </c>
      <c r="AE161" s="46" t="s">
        <v>519</v>
      </c>
    </row>
    <row r="162" spans="1:31" x14ac:dyDescent="0.25">
      <c r="A162" s="46" t="s">
        <v>692</v>
      </c>
      <c r="B162" s="48"/>
      <c r="C162" s="46" t="s">
        <v>520</v>
      </c>
      <c r="D162" s="46" t="s">
        <v>692</v>
      </c>
      <c r="AA162" t="s">
        <v>716</v>
      </c>
      <c r="AB162" s="57" t="s">
        <v>695</v>
      </c>
      <c r="AD162" s="46" t="s">
        <v>520</v>
      </c>
      <c r="AE162" s="46" t="s">
        <v>520</v>
      </c>
    </row>
    <row r="163" spans="1:31" x14ac:dyDescent="0.25">
      <c r="A163" s="46" t="s">
        <v>693</v>
      </c>
      <c r="B163" s="48"/>
      <c r="C163" s="46" t="s">
        <v>535</v>
      </c>
      <c r="D163" s="46" t="s">
        <v>693</v>
      </c>
      <c r="AA163" t="s">
        <v>716</v>
      </c>
      <c r="AB163" s="57" t="s">
        <v>696</v>
      </c>
      <c r="AD163" s="46" t="s">
        <v>535</v>
      </c>
      <c r="AE163" s="46" t="s">
        <v>535</v>
      </c>
    </row>
    <row r="164" spans="1:31" x14ac:dyDescent="0.25">
      <c r="A164" s="46" t="s">
        <v>694</v>
      </c>
      <c r="B164" s="48"/>
      <c r="C164" s="46" t="s">
        <v>536</v>
      </c>
      <c r="D164" s="46" t="s">
        <v>694</v>
      </c>
      <c r="AA164" t="s">
        <v>717</v>
      </c>
      <c r="AB164" s="57" t="s">
        <v>703</v>
      </c>
      <c r="AD164" s="46" t="s">
        <v>536</v>
      </c>
      <c r="AE164" s="46" t="s">
        <v>536</v>
      </c>
    </row>
    <row r="165" spans="1:31" x14ac:dyDescent="0.25">
      <c r="A165" s="46" t="s">
        <v>695</v>
      </c>
      <c r="B165" s="48"/>
      <c r="C165" s="46" t="s">
        <v>537</v>
      </c>
      <c r="D165" s="46" t="s">
        <v>695</v>
      </c>
      <c r="AA165" t="s">
        <v>77</v>
      </c>
      <c r="AB165" s="57" t="s">
        <v>704</v>
      </c>
      <c r="AD165" s="46" t="s">
        <v>537</v>
      </c>
      <c r="AE165" s="46" t="s">
        <v>537</v>
      </c>
    </row>
    <row r="166" spans="1:31" x14ac:dyDescent="0.25">
      <c r="A166" s="46" t="s">
        <v>696</v>
      </c>
      <c r="B166" s="48"/>
      <c r="C166" s="46" t="s">
        <v>538</v>
      </c>
      <c r="D166" s="46" t="s">
        <v>696</v>
      </c>
      <c r="AB166" s="57"/>
      <c r="AD166" s="46" t="s">
        <v>538</v>
      </c>
      <c r="AE166" s="46" t="s">
        <v>538</v>
      </c>
    </row>
    <row r="167" spans="1:31" x14ac:dyDescent="0.25">
      <c r="A167" s="46" t="s">
        <v>697</v>
      </c>
      <c r="B167" s="38"/>
      <c r="C167" s="46" t="s">
        <v>521</v>
      </c>
      <c r="D167" s="46" t="s">
        <v>697</v>
      </c>
      <c r="AB167" s="57"/>
      <c r="AD167" s="46" t="s">
        <v>521</v>
      </c>
      <c r="AE167" s="46" t="s">
        <v>521</v>
      </c>
    </row>
    <row r="168" spans="1:31" x14ac:dyDescent="0.25">
      <c r="A168" s="46" t="s">
        <v>698</v>
      </c>
      <c r="B168" s="49"/>
      <c r="C168" s="46" t="s">
        <v>522</v>
      </c>
      <c r="D168" s="46" t="s">
        <v>698</v>
      </c>
      <c r="AB168" s="46"/>
      <c r="AD168" s="46" t="s">
        <v>522</v>
      </c>
      <c r="AE168" s="46" t="s">
        <v>522</v>
      </c>
    </row>
    <row r="169" spans="1:31" x14ac:dyDescent="0.25">
      <c r="A169" s="46" t="s">
        <v>699</v>
      </c>
      <c r="B169" s="49"/>
      <c r="C169" s="46" t="s">
        <v>523</v>
      </c>
      <c r="D169" s="46" t="s">
        <v>699</v>
      </c>
      <c r="AB169" s="46"/>
      <c r="AD169" s="46" t="s">
        <v>523</v>
      </c>
      <c r="AE169" s="46" t="s">
        <v>523</v>
      </c>
    </row>
    <row r="170" spans="1:31" x14ac:dyDescent="0.25">
      <c r="A170" s="46" t="s">
        <v>700</v>
      </c>
      <c r="B170" s="38"/>
      <c r="C170" s="46" t="s">
        <v>524</v>
      </c>
      <c r="D170" s="46" t="s">
        <v>700</v>
      </c>
      <c r="AB170" s="46"/>
      <c r="AD170" s="46" t="s">
        <v>524</v>
      </c>
      <c r="AE170" s="46" t="s">
        <v>524</v>
      </c>
    </row>
    <row r="171" spans="1:31" x14ac:dyDescent="0.25">
      <c r="A171" s="46" t="s">
        <v>701</v>
      </c>
      <c r="B171" s="46"/>
      <c r="C171" s="46" t="s">
        <v>539</v>
      </c>
      <c r="D171" s="46" t="s">
        <v>701</v>
      </c>
      <c r="AB171" s="58"/>
      <c r="AD171" s="46" t="s">
        <v>539</v>
      </c>
      <c r="AE171" s="46" t="s">
        <v>539</v>
      </c>
    </row>
    <row r="172" spans="1:31" x14ac:dyDescent="0.25">
      <c r="A172" s="46" t="s">
        <v>702</v>
      </c>
      <c r="B172" s="38"/>
      <c r="C172" s="46" t="s">
        <v>525</v>
      </c>
      <c r="D172" s="46" t="s">
        <v>702</v>
      </c>
      <c r="AB172" s="58"/>
      <c r="AD172" s="46" t="s">
        <v>525</v>
      </c>
      <c r="AE172" s="46" t="s">
        <v>525</v>
      </c>
    </row>
    <row r="173" spans="1:31" x14ac:dyDescent="0.25">
      <c r="A173" s="46" t="s">
        <v>703</v>
      </c>
      <c r="B173" s="38"/>
      <c r="C173" s="46" t="s">
        <v>526</v>
      </c>
      <c r="D173" s="46" t="s">
        <v>703</v>
      </c>
      <c r="AB173" s="46"/>
      <c r="AD173" s="46" t="s">
        <v>526</v>
      </c>
      <c r="AE173" s="46" t="s">
        <v>526</v>
      </c>
    </row>
    <row r="174" spans="1:31" x14ac:dyDescent="0.25">
      <c r="A174" s="46" t="s">
        <v>721</v>
      </c>
      <c r="B174" s="38"/>
      <c r="C174" s="46" t="s">
        <v>725</v>
      </c>
      <c r="D174" s="46" t="s">
        <v>721</v>
      </c>
      <c r="AB174" s="46"/>
      <c r="AD174" s="46" t="s">
        <v>527</v>
      </c>
      <c r="AE174" s="46" t="s">
        <v>527</v>
      </c>
    </row>
    <row r="175" spans="1:31" x14ac:dyDescent="0.25">
      <c r="A175" s="46" t="s">
        <v>704</v>
      </c>
      <c r="B175" s="38"/>
      <c r="C175" s="46" t="s">
        <v>527</v>
      </c>
      <c r="D175" s="46" t="s">
        <v>704</v>
      </c>
      <c r="AB175" s="46"/>
      <c r="AD175" s="9" t="s">
        <v>202</v>
      </c>
      <c r="AE175" s="9" t="s">
        <v>202</v>
      </c>
    </row>
    <row r="176" spans="1:31" x14ac:dyDescent="0.25">
      <c r="A176" s="46" t="s">
        <v>212</v>
      </c>
      <c r="B176" s="38"/>
      <c r="C176" s="46" t="s">
        <v>202</v>
      </c>
      <c r="D176" s="46" t="s">
        <v>212</v>
      </c>
      <c r="AB176" s="46"/>
    </row>
    <row r="177" spans="1:28" x14ac:dyDescent="0.25">
      <c r="A177" s="38"/>
      <c r="B177" s="38"/>
      <c r="C177" s="46"/>
      <c r="D177" s="46"/>
      <c r="AB177" s="46"/>
    </row>
    <row r="178" spans="1:28" x14ac:dyDescent="0.25">
      <c r="A178" s="38"/>
      <c r="B178" s="38"/>
      <c r="C178" s="46"/>
      <c r="D178" s="46"/>
      <c r="AB178" s="46"/>
    </row>
    <row r="179" spans="1:28" x14ac:dyDescent="0.25">
      <c r="A179" s="38"/>
      <c r="B179" s="38"/>
      <c r="C179" s="46"/>
      <c r="D179" s="46"/>
      <c r="AB179" s="46"/>
    </row>
    <row r="180" spans="1:28" x14ac:dyDescent="0.25">
      <c r="A180" s="38"/>
      <c r="B180" s="38"/>
      <c r="C180" s="46"/>
      <c r="D180" s="46"/>
      <c r="AB180" s="46"/>
    </row>
    <row r="181" spans="1:28" x14ac:dyDescent="0.25">
      <c r="A181" s="38"/>
      <c r="B181" s="38"/>
      <c r="C181" s="46"/>
      <c r="D181" s="46"/>
      <c r="AB181" s="46"/>
    </row>
    <row r="182" spans="1:28" x14ac:dyDescent="0.25">
      <c r="A182" s="51"/>
      <c r="B182" s="51"/>
      <c r="C182" s="46"/>
      <c r="D182" s="46"/>
      <c r="AB182" s="46"/>
    </row>
    <row r="183" spans="1:28" x14ac:dyDescent="0.25">
      <c r="A183" s="51"/>
      <c r="B183" s="51"/>
      <c r="C183" s="9"/>
      <c r="D183" s="9"/>
    </row>
    <row r="184" spans="1:28" x14ac:dyDescent="0.25">
      <c r="A184" s="51"/>
      <c r="B184" s="51"/>
      <c r="C184" s="51"/>
      <c r="D184" s="51"/>
      <c r="AA184" s="52"/>
      <c r="AB184" s="51"/>
    </row>
    <row r="185" spans="1:28" x14ac:dyDescent="0.25">
      <c r="A185" s="38"/>
      <c r="B185" s="38"/>
      <c r="C185" s="51"/>
      <c r="D185" s="51"/>
      <c r="AA185" s="23"/>
      <c r="AB185" s="51"/>
    </row>
    <row r="186" spans="1:28" x14ac:dyDescent="0.25">
      <c r="A186" s="37"/>
      <c r="B186" s="37"/>
      <c r="C186" s="51"/>
      <c r="D186" s="51"/>
      <c r="AB186" s="51"/>
    </row>
    <row r="210" spans="1:2" x14ac:dyDescent="0.25">
      <c r="A210" s="25"/>
    </row>
    <row r="211" spans="1:2" x14ac:dyDescent="0.25">
      <c r="A211" s="9"/>
      <c r="B211" s="9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workbookViewId="0">
      <selection activeCell="B7" sqref="B7"/>
    </sheetView>
  </sheetViews>
  <sheetFormatPr baseColWidth="10" defaultColWidth="8.88671875" defaultRowHeight="13.2" x14ac:dyDescent="0.25"/>
  <cols>
    <col min="1" max="1" width="14.33203125" customWidth="1"/>
    <col min="2" max="2" width="12.6640625" customWidth="1"/>
    <col min="3" max="3" width="36.6640625" customWidth="1"/>
    <col min="4" max="4" width="11.44140625" customWidth="1"/>
  </cols>
  <sheetData>
    <row r="1" spans="1:4" x14ac:dyDescent="0.25">
      <c r="A1" s="1" t="s">
        <v>89</v>
      </c>
      <c r="B1" s="19"/>
      <c r="C1" s="2"/>
      <c r="D1" s="2"/>
    </row>
    <row r="2" spans="1:4" x14ac:dyDescent="0.25">
      <c r="A2" s="2"/>
      <c r="B2" s="15"/>
      <c r="C2" s="5"/>
      <c r="D2" s="2"/>
    </row>
    <row r="3" spans="1:4" x14ac:dyDescent="0.25">
      <c r="A3" s="10" t="s">
        <v>95</v>
      </c>
      <c r="B3" s="15"/>
      <c r="C3" s="1"/>
      <c r="D3" s="16"/>
    </row>
    <row r="4" spans="1:4" x14ac:dyDescent="0.25">
      <c r="A4" s="11" t="s">
        <v>18</v>
      </c>
      <c r="B4" s="17"/>
      <c r="C4" s="3" t="s">
        <v>19</v>
      </c>
      <c r="D4" s="3"/>
    </row>
    <row r="5" spans="1:4" x14ac:dyDescent="0.25">
      <c r="A5" s="12" t="s">
        <v>39</v>
      </c>
      <c r="B5" s="20" t="s">
        <v>360</v>
      </c>
      <c r="C5" s="13"/>
      <c r="D5" s="21"/>
    </row>
    <row r="6" spans="1:4" x14ac:dyDescent="0.25">
      <c r="A6" s="18" t="s">
        <v>83</v>
      </c>
      <c r="B6" s="18"/>
      <c r="C6" s="2" t="s">
        <v>199</v>
      </c>
      <c r="D6" s="14"/>
    </row>
    <row r="7" spans="1:4" x14ac:dyDescent="0.25">
      <c r="A7" s="18" t="s">
        <v>90</v>
      </c>
      <c r="B7" s="53"/>
      <c r="C7" s="2" t="s">
        <v>91</v>
      </c>
      <c r="D7" s="14"/>
    </row>
    <row r="8" spans="1:4" x14ac:dyDescent="0.25">
      <c r="A8" s="18" t="s">
        <v>92</v>
      </c>
      <c r="B8" s="7"/>
      <c r="C8" s="2" t="s">
        <v>93</v>
      </c>
      <c r="D8" s="14"/>
    </row>
    <row r="9" spans="1:4" x14ac:dyDescent="0.25">
      <c r="A9" s="18" t="s">
        <v>52</v>
      </c>
      <c r="B9" s="7"/>
      <c r="C9" s="2" t="s">
        <v>40</v>
      </c>
      <c r="D9" s="14"/>
    </row>
    <row r="10" spans="1:4" x14ac:dyDescent="0.25">
      <c r="A10" s="18" t="s">
        <v>53</v>
      </c>
      <c r="B10" s="7"/>
      <c r="C10" s="2" t="s">
        <v>41</v>
      </c>
      <c r="D10" s="14"/>
    </row>
    <row r="11" spans="1:4" x14ac:dyDescent="0.25">
      <c r="A11" s="18" t="s">
        <v>54</v>
      </c>
      <c r="B11" s="7"/>
      <c r="C11" s="2" t="s">
        <v>42</v>
      </c>
      <c r="D11" s="14"/>
    </row>
    <row r="12" spans="1:4" x14ac:dyDescent="0.25">
      <c r="A12" s="18" t="s">
        <v>55</v>
      </c>
      <c r="B12" s="7"/>
      <c r="C12" s="2" t="s">
        <v>43</v>
      </c>
      <c r="D12" s="14"/>
    </row>
    <row r="13" spans="1:4" x14ac:dyDescent="0.25">
      <c r="A13" s="18" t="s">
        <v>56</v>
      </c>
      <c r="B13" s="7"/>
      <c r="C13" s="2" t="s">
        <v>44</v>
      </c>
      <c r="D13" s="14"/>
    </row>
    <row r="14" spans="1:4" x14ac:dyDescent="0.25">
      <c r="A14" s="18" t="s">
        <v>57</v>
      </c>
      <c r="B14" s="7"/>
      <c r="C14" s="2" t="s">
        <v>45</v>
      </c>
      <c r="D14" s="14"/>
    </row>
    <row r="15" spans="1:4" x14ac:dyDescent="0.25">
      <c r="A15" s="18" t="s">
        <v>58</v>
      </c>
      <c r="B15" s="7"/>
      <c r="C15" s="2" t="s">
        <v>46</v>
      </c>
      <c r="D15" s="14"/>
    </row>
    <row r="16" spans="1:4" x14ac:dyDescent="0.25">
      <c r="A16" s="18" t="s">
        <v>59</v>
      </c>
      <c r="B16" s="7"/>
      <c r="C16" s="2" t="s">
        <v>47</v>
      </c>
      <c r="D16" s="14"/>
    </row>
    <row r="17" spans="1:4" x14ac:dyDescent="0.25">
      <c r="A17" s="18" t="s">
        <v>60</v>
      </c>
      <c r="B17" s="7"/>
      <c r="C17" s="2" t="s">
        <v>48</v>
      </c>
      <c r="D17" s="14"/>
    </row>
    <row r="18" spans="1:4" x14ac:dyDescent="0.25">
      <c r="A18" s="18" t="s">
        <v>61</v>
      </c>
      <c r="B18" s="7"/>
      <c r="C18" s="2" t="s">
        <v>49</v>
      </c>
      <c r="D18" s="14"/>
    </row>
    <row r="19" spans="1:4" x14ac:dyDescent="0.25">
      <c r="A19" s="18" t="s">
        <v>62</v>
      </c>
      <c r="B19" s="7"/>
      <c r="C19" s="2" t="s">
        <v>50</v>
      </c>
      <c r="D19" s="14"/>
    </row>
    <row r="20" spans="1:4" x14ac:dyDescent="0.25">
      <c r="A20" s="18" t="s">
        <v>63</v>
      </c>
      <c r="B20" s="7"/>
      <c r="C20" s="2" t="s">
        <v>51</v>
      </c>
      <c r="D20" s="14"/>
    </row>
    <row r="21" spans="1:4" x14ac:dyDescent="0.25">
      <c r="A21" s="18" t="s">
        <v>99</v>
      </c>
      <c r="B21" s="7"/>
      <c r="C21" s="2" t="s">
        <v>100</v>
      </c>
      <c r="D21" s="14"/>
    </row>
    <row r="22" spans="1:4" x14ac:dyDescent="0.25">
      <c r="A22" s="18"/>
      <c r="B22" s="7"/>
      <c r="C22" s="2"/>
      <c r="D22" s="14"/>
    </row>
    <row r="23" spans="1:4" x14ac:dyDescent="0.25">
      <c r="A23" s="18"/>
      <c r="B23" s="7"/>
      <c r="C23" s="2"/>
      <c r="D23" s="14"/>
    </row>
    <row r="24" spans="1:4" x14ac:dyDescent="0.25">
      <c r="A24" s="18"/>
      <c r="B24" s="7"/>
      <c r="C24" s="2"/>
      <c r="D24" s="14"/>
    </row>
    <row r="25" spans="1:4" x14ac:dyDescent="0.25">
      <c r="A25" s="18"/>
      <c r="B25" s="7"/>
      <c r="C25" s="2"/>
      <c r="D25" s="14"/>
    </row>
    <row r="26" spans="1:4" x14ac:dyDescent="0.25">
      <c r="A26" s="6"/>
    </row>
    <row r="27" spans="1:4" x14ac:dyDescent="0.25">
      <c r="A27" s="6"/>
    </row>
    <row r="28" spans="1:4" x14ac:dyDescent="0.25">
      <c r="A28" s="6"/>
    </row>
    <row r="29" spans="1:4" x14ac:dyDescent="0.25">
      <c r="A29" s="6"/>
    </row>
    <row r="30" spans="1:4" x14ac:dyDescent="0.25">
      <c r="A30" s="6"/>
    </row>
    <row r="31" spans="1:4" x14ac:dyDescent="0.25">
      <c r="A31" s="6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628-C277-405D-87D6-52743636606B}">
  <dimension ref="A1:B1"/>
  <sheetViews>
    <sheetView workbookViewId="0">
      <selection sqref="A1:B1"/>
    </sheetView>
  </sheetViews>
  <sheetFormatPr baseColWidth="10" defaultRowHeight="13.2" x14ac:dyDescent="0.25"/>
  <sheetData>
    <row r="1" spans="1:2" x14ac:dyDescent="0.25">
      <c r="A1" t="s">
        <v>98</v>
      </c>
      <c r="B1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63BF-7331-4CB4-A8C4-FB69D91607C9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14ED-B9ED-4F98-BE97-0403B294BC40}">
  <dimension ref="A1:C1"/>
  <sheetViews>
    <sheetView workbookViewId="0">
      <selection sqref="A1:C1"/>
    </sheetView>
  </sheetViews>
  <sheetFormatPr baseColWidth="10" defaultRowHeight="13.2" x14ac:dyDescent="0.25"/>
  <sheetData>
    <row r="1" spans="1:3" ht="14.4" x14ac:dyDescent="0.25">
      <c r="A1" s="51"/>
      <c r="B1" s="38"/>
      <c r="C1" s="5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Layout</vt:lpstr>
      <vt:lpstr>SplitShr</vt:lpstr>
      <vt:lpstr>Sets</vt:lpstr>
      <vt:lpstr>Macro</vt:lpstr>
      <vt:lpstr>MACRO-Sam</vt:lpstr>
      <vt:lpstr>Proto-SAM</vt:lpstr>
      <vt:lpstr>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Punt</dc:creator>
  <cp:lastModifiedBy>Britz Wolfgang</cp:lastModifiedBy>
  <cp:lastPrinted>2021-03-10T10:05:34Z</cp:lastPrinted>
  <dcterms:created xsi:type="dcterms:W3CDTF">2004-05-04T07:43:16Z</dcterms:created>
  <dcterms:modified xsi:type="dcterms:W3CDTF">2023-03-08T08:03:33Z</dcterms:modified>
</cp:coreProperties>
</file>